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updateLinks="always"/>
  <mc:AlternateContent xmlns:mc="http://schemas.openxmlformats.org/markup-compatibility/2006">
    <mc:Choice Requires="x15">
      <x15ac:absPath xmlns:x15ac="http://schemas.microsoft.com/office/spreadsheetml/2010/11/ac" url="https://d.docs.live.net/d39b8747432be571/Work/04. Company/Synodus/GOV/01.VNA/VNA/images/document/"/>
    </mc:Choice>
  </mc:AlternateContent>
  <xr:revisionPtr revIDLastSave="399" documentId="13_ncr:1_{42B34BF5-E2CD-48B5-A15B-9BDA1D6D15FD}" xr6:coauthVersionLast="47" xr6:coauthVersionMax="47" xr10:uidLastSave="{79A2F494-1077-4C10-9821-EAEF5AE310AC}"/>
  <bookViews>
    <workbookView xWindow="14200" yWindow="500" windowWidth="19400" windowHeight="10280" firstSheet="1" activeTab="1" xr2:uid="{00000000-000D-0000-FFFF-FFFF00000000}"/>
  </bookViews>
  <sheets>
    <sheet name="Tổng quan" sheetId="23" r:id="rId1"/>
    <sheet name=" Biểu mẫu" sheetId="24" r:id="rId2"/>
    <sheet name="_Setting" sheetId="17" state="hidden" r:id="rId3"/>
    <sheet name="Setting" sheetId="11" state="hidden" r:id="rId4"/>
  </sheets>
  <definedNames>
    <definedName name="_xlnm._FilterDatabase" localSheetId="1" hidden="1">' Biểu mẫu'!$S$5:$S$5</definedName>
    <definedName name="R_11">#REF!</definedName>
    <definedName name="R_12">#REF!</definedName>
    <definedName name="R_13">#REF!</definedName>
    <definedName name="R_14">#REF!</definedName>
    <definedName name="R_15">#REF!</definedName>
    <definedName name="R_21">#REF!</definedName>
    <definedName name="R_22">#REF!</definedName>
    <definedName name="R_23">#REF!</definedName>
    <definedName name="R_24">#REF!</definedName>
    <definedName name="R_31">#REF!</definedName>
    <definedName name="R_32">#REF!</definedName>
    <definedName name="R_33">#REF!</definedName>
    <definedName name="R_34">#REF!</definedName>
    <definedName name="R_35">#REF!</definedName>
    <definedName name="R_41">#REF!</definedName>
    <definedName name="R_42">#REF!</definedName>
    <definedName name="R_43">#REF!</definedName>
    <definedName name="R_44">#REF!</definedName>
    <definedName name="R_45">#REF!</definedName>
    <definedName name="R_46">#REF!</definedName>
    <definedName name="R_51">#REF!</definedName>
    <definedName name="R_52">#REF!</definedName>
    <definedName name="R_53">#REF!</definedName>
    <definedName name="R_54">#REF!</definedName>
    <definedName name="R_61">#REF!</definedName>
    <definedName name="R_62">#REF!</definedName>
    <definedName name="R_63">#REF!</definedName>
    <definedName name="R_71">#REF!</definedName>
    <definedName name="R_72">#REF!</definedName>
    <definedName name="R_73">#REF!</definedName>
    <definedName name="R_74">#REF!</definedName>
    <definedName name="R_75">#REF!</definedName>
    <definedName name="R_81">#REF!</definedName>
    <definedName name="R_82">#REF!</definedName>
    <definedName name="R_83">#REF!</definedName>
    <definedName name="R_84">#REF!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0" i="23" l="1" a="1"/>
  <c r="D10" i="23" s="1"/>
  <c r="C10" i="23" a="1"/>
  <c r="C10" i="23"/>
  <c r="B10" i="23" a="1"/>
  <c r="B10" i="23"/>
  <c r="D9" i="23" a="1"/>
  <c r="D9" i="23"/>
  <c r="C9" i="23" a="1"/>
  <c r="C9" i="23"/>
  <c r="B9" i="23" a="1"/>
  <c r="B9" i="23"/>
  <c r="E6" i="23"/>
  <c r="D6" i="23"/>
  <c r="C6" i="23"/>
  <c r="B6" i="2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<sst xmlns="http://schemas.openxmlformats.org/spreadsheetml/2006/main" count="281" uniqueCount="195">
  <si>
    <t>TỔNG QUAN BIỂU MẪU</t>
  </si>
  <si>
    <t>Nguồn dữ liệu</t>
  </si>
  <si>
    <t>Excel - Biểu mẫu</t>
  </si>
  <si>
    <t>Chỉ tiêu</t>
  </si>
  <si>
    <t>Done</t>
  </si>
  <si>
    <t>In review</t>
  </si>
  <si>
    <t>In progress</t>
  </si>
  <si>
    <t>Tổng</t>
  </si>
  <si>
    <t>Số lượng</t>
  </si>
  <si>
    <t>Nội dung</t>
  </si>
  <si>
    <t>PIC theo trạng thái</t>
  </si>
  <si>
    <t>Đầu mối VNA theo trạng thái</t>
  </si>
  <si>
    <t>STT</t>
  </si>
  <si>
    <t>Mã chỉ tiêu</t>
  </si>
  <si>
    <t>Tên chỉ tiêu</t>
  </si>
  <si>
    <t>Link</t>
  </si>
  <si>
    <t>Lấy dữ liệu tháng cũ</t>
  </si>
  <si>
    <t>Tần suất</t>
  </si>
  <si>
    <t>Table(Thiện fill)</t>
  </si>
  <si>
    <t>Tổ/Ban</t>
  </si>
  <si>
    <t>Đầu mối VNA</t>
  </si>
  <si>
    <t>PIC</t>
  </si>
  <si>
    <t>Note</t>
  </si>
  <si>
    <t>Trạng thái</t>
  </si>
  <si>
    <t>Số form nhập</t>
  </si>
  <si>
    <t>Bỏ trường</t>
  </si>
  <si>
    <t>Airline E-1</t>
  </si>
  <si>
    <t>Tiếng ồn</t>
  </si>
  <si>
    <t>Airline E-1 - form tiếng ồn</t>
  </si>
  <si>
    <t>Theo giấy chứng nhận nhà khai thác (AOC) cập nhật.</t>
  </si>
  <si>
    <t>Ban ATCL</t>
  </si>
  <si>
    <t>-ÔngNguyễn Đình Đàn</t>
  </si>
  <si>
    <t>Dongng</t>
  </si>
  <si>
    <t>Không thay đổi</t>
  </si>
  <si>
    <t>GRI 403-9</t>
  </si>
  <si>
    <t>Thương tật do lao động</t>
  </si>
  <si>
    <t xml:space="preserve">GRI 403-9 - form thống kê thương tật </t>
  </si>
  <si>
    <t>6Tháng/Lần</t>
  </si>
  <si>
    <t>Ban TCNL</t>
  </si>
  <si>
    <t>-Ông Trần Quang Anh</t>
  </si>
  <si>
    <t>Input file dữ liệu 6 tháng 1 lần theo biểu mẫu vna</t>
  </si>
  <si>
    <t>GRI 416-1</t>
  </si>
  <si>
    <t>Đánh giá tác động sức khỏe và an toàn của các sản phẩm/dịch vụ</t>
  </si>
  <si>
    <t>GRI 416-1 - Danh mục VSTB</t>
  </si>
  <si>
    <t>Tháng</t>
  </si>
  <si>
    <t xml:space="preserve">Tổ Dịch vụ </t>
  </si>
  <si>
    <t xml:space="preserve">-Bà Hàn Quỳnh Trang 
- Bà Phạm Thị Minh Yến </t>
  </si>
  <si>
    <t>Gồm 5 danh mục sản phẩm trong đó có:
- 3 Danh mục từ nguồn: Đồ uống, Dụng cụ, Vật tư vật phẩm
- 2 Danh mục từ import excel: Suất ăn, Vệ sinh máy bay
- Các biểu mẫu thiết kế cho riêng từng danh mục</t>
  </si>
  <si>
    <t>GRI 416-1 - Danh mục suất ăn</t>
  </si>
  <si>
    <t>- Đã confirm trong Viber, đã gửi email nhưng chưa được confirm bằng email</t>
  </si>
  <si>
    <t>GRI 416-1 - Phân nhóm vật tư vật phẩm</t>
  </si>
  <si>
    <t>Khi có thay đổi</t>
  </si>
  <si>
    <t>-Bà Vũ Hà Lê</t>
  </si>
  <si>
    <t>GRI 418-1</t>
  </si>
  <si>
    <t>Các sự cố liên quan đến dữ liệu cá nhân</t>
  </si>
  <si>
    <t>GRI 418-1 - Các sự cố liên quan đến dữ liệu cá nhân</t>
  </si>
  <si>
    <t>Ban CĐS</t>
  </si>
  <si>
    <t>-Ông Đỗ Duy Thái</t>
  </si>
  <si>
    <t>Hàng tháng VNA sẽ nhập liệu lên hệ thống:
- Tổng số khiếu nại
- Số vụ vi phạm quyền riêng tư
- Số vụ mất dữ liệu</t>
  </si>
  <si>
    <t>- Đã confirm trong cuộc họp khảo sát</t>
  </si>
  <si>
    <t>GRI 202-2</t>
  </si>
  <si>
    <t>Tỷ lệ lãnh đạo cấp cao là người bản địa</t>
  </si>
  <si>
    <t>GRI 202-2 - Tỷ lệ lãnh đạo cấp cao là người bản địa</t>
  </si>
  <si>
    <t>- Ông Trần Quang Anh</t>
  </si>
  <si>
    <t>Hàng tháng VNA sẽ nhập liệu lên hệ thống:
- Tỷ lệ quản lý người Việt Nam tại Việt Nam
- Tỷ lệ quản lý người nước ngoài tại nước ngoài</t>
  </si>
  <si>
    <t>GRI 416-2</t>
  </si>
  <si>
    <t>Các sự cố vi phạm liên quan đến tác động sức khỏe và an toàn của sản phẩm/dịch vụ</t>
  </si>
  <si>
    <t>GRI 416-2 - Các sự cố vi phạm liên quan đến tác động sức khỏe và an toàn của sản phẩm dịch vụ</t>
  </si>
  <si>
    <t>- Mới thay đổi 7/7 chưa confirm lại</t>
  </si>
  <si>
    <t>GRI 417-2</t>
  </si>
  <si>
    <t>Các sự cố vi phạm về thông tin và nhãn sản phẩm/dịch vụ</t>
  </si>
  <si>
    <t>GRI 417-2 - Các sự cố vi phạm về thông tin và nhãn sản phẩm/dịch vụ</t>
  </si>
  <si>
    <t>Airline D-1</t>
  </si>
  <si>
    <t>Number of strikes - Số vụ đình công</t>
  </si>
  <si>
    <t>Airline D-1 Số vụ đình công</t>
  </si>
  <si>
    <t>Hieucm</t>
  </si>
  <si>
    <t>Airline F-2</t>
  </si>
  <si>
    <t>Employee satisfaction - Mức độ hài lòng của nhân viên</t>
  </si>
  <si>
    <t>Airline F-2 - Employee satisfaction - Mức độ hài lòng của nhân viên</t>
  </si>
  <si>
    <t>Năm</t>
  </si>
  <si>
    <t>- Họ chỉ khảo sát 1 lần / 1 năm, thường bắt đầu vào tháng 10, kết thúc trong tháng 11 và tổng hợp số liệu muộn nhất vào tháng 12
- Bao gồm 2 form nhập</t>
  </si>
  <si>
    <t>GRI 202-1</t>
  </si>
  <si>
    <t>Ratios of standard entry level wage by gender compared to local minimum wage - Tỷ lệ lương khởi điểm so với lương tối thiểu vùng 1</t>
  </si>
  <si>
    <t>GRI 202-1 - Ratios of standard entry level wage by gender compared to local minimum wage - Tỷ lệ lương khởi điểm so với lương tối thiểu vùng 1</t>
  </si>
  <si>
    <t>Airline F-1</t>
  </si>
  <si>
    <t>Volunteering during working hours (Scope: Corporate Communications Department) - Tham gia hoạt động tình nguyện (Phạm vi hiện tại: Ban Truyền thông)</t>
  </si>
  <si>
    <t>Airline F-1 - Volunteering during working hours (Scope: Corporate Communications Department) - Tham gia hoạt động tình nguyện (Phạm vi hiện tại: Ban Truyền thông)</t>
  </si>
  <si>
    <t>Ban TT</t>
  </si>
  <si>
    <t>- Bà Đồng Thu Trà My</t>
  </si>
  <si>
    <t>GRI 417-3</t>
  </si>
  <si>
    <t>Incidents of non-compliance concerning marketing communications - Các vụ việc không tuân thủ liên quan đến truyền thông marketing</t>
  </si>
  <si>
    <t>GRI 417-3 - Incidents of non-compliance concerning marketing communications - Các vụ việc không tuân thủ liên quan đến truyền thông marketing</t>
  </si>
  <si>
    <t>GRI 204-1</t>
  </si>
  <si>
    <t>Proportion of spending on local suppliers - Số lượng NCC địa phương / tổng số NCC</t>
  </si>
  <si>
    <t>GRI 204-1 - Proportion of spending on local suppliers - Số lượng NCC địa phương / tổng số NCC</t>
  </si>
  <si>
    <t>- Nhập lần đầu quốc gia của các NCC
- Nhập thêm khi có hợp đồng NCC mới phát sinh</t>
  </si>
  <si>
    <t>Ban TCKT + KHPT</t>
  </si>
  <si>
    <t>- Ông Đức</t>
  </si>
  <si>
    <t>Chưa có mã</t>
  </si>
  <si>
    <t>SAF Report - Báo cáo sử dụng SAF</t>
  </si>
  <si>
    <t>Tổ Kỹ thuật - Phân bổ nhiên liệu SAF</t>
  </si>
  <si>
    <t>- Theo chứng từ nạp nhiên liệu của NCC</t>
  </si>
  <si>
    <t>Tổ Kỹ thuật</t>
  </si>
  <si>
    <t>- Bà Đỗ Thị Như Quỳnh 
- Bà Ngô Việt Hà</t>
  </si>
  <si>
    <t>Nhiplh</t>
  </si>
  <si>
    <t>Phụ thuộc vào kịch bản mô phỏng các phương án phân bổ nhiên liệu SAF vào từng cơ chế đền bù khác nhau để tối ưu chi phí đền bù phát thải; ngoài ra trong tương lai có thể có thêm/bớt một số cơ chế giảm trừ khác =&gt; Nên để import hay CRUD?</t>
  </si>
  <si>
    <t>CO2 emissions report - Báo cáo CO2 phát thải vượt mức</t>
  </si>
  <si>
    <t>Tổ Khai thác - Biểu mẫu tuân thủ tín chỉ carbon (Compliance Form)</t>
  </si>
  <si>
    <t>- Theo định kỳ nộp tín chỉ carbon</t>
  </si>
  <si>
    <t>Tổ Khai thác</t>
  </si>
  <si>
    <t>- Bà Nguyễn Bạch Lê
- Bà Nguyễn Thị Thanh Thanh</t>
  </si>
  <si>
    <t>Tương tự trên</t>
  </si>
  <si>
    <t>GRI 302-4</t>
  </si>
  <si>
    <t xml:space="preserve">Giảm tiêu thụ năng lượng		</t>
  </si>
  <si>
    <t>Tổ Khai thác - GRI 302-4 - Giảm tiêu thụ năng lượng</t>
  </si>
  <si>
    <t>Tháng (15 - 20 hàng tháng)</t>
  </si>
  <si>
    <t>- Bà Nguyễn Bạch Lê</t>
  </si>
  <si>
    <t>Mục tiêu tiết kiệm nhiên liệu (Target saving fuel) (kg)</t>
  </si>
  <si>
    <t>GRI 303-3
&amp; GRI 303-5</t>
  </si>
  <si>
    <t>Water Withdrawal - Lượng nước cấp lên
Water Consumption - Lượng nước tiêu thụ</t>
  </si>
  <si>
    <t xml:space="preserve">Tổ Dịch vụ - GRI 303-3 và GRI 303-5 - Lượng nước cấp lên &amp; tiêu thụ </t>
  </si>
  <si>
    <t>- Ông Bùi Đông Hải</t>
  </si>
  <si>
    <t>Hungnd2</t>
  </si>
  <si>
    <t>- Đã confirm qua mail</t>
  </si>
  <si>
    <t>Bỏ biểu mẫu này</t>
  </si>
  <si>
    <t xml:space="preserve">Airline B-1 </t>
  </si>
  <si>
    <t>Customer satisfaction - Mức độ hài lòng khách hàng (NPS)</t>
  </si>
  <si>
    <t>Tổ Dịch vụ - Airline B-1 - Mục tiêu NPS hàng năm</t>
  </si>
  <si>
    <t xml:space="preserve">Năm </t>
  </si>
  <si>
    <t>- Bà Nguyễn Thị Hằng</t>
  </si>
  <si>
    <t>Bỏ biểu mẫu này vì đã thống nhất lấy số mục tiêu từ danh mục quản lý KPI</t>
  </si>
  <si>
    <t>GRI 406-1</t>
  </si>
  <si>
    <t>Incidents of discrimination and corrective actions taken - Sự cố phân biệt đối xử và biện pháp xử lý</t>
  </si>
  <si>
    <t>Tổ Dịch vụ - GRI 406-1 - Biểu mẫu sự cố phân biệt đối xử</t>
  </si>
  <si>
    <t>- Bà Vũ Thu Hiền</t>
  </si>
  <si>
    <t>GRI 404-2</t>
  </si>
  <si>
    <t>Programs for upgrading employee skills and transition assistance programs - Chương trình nâng cao kỹ năng</t>
  </si>
  <si>
    <t>Ban TCNL - GRI 404-2 - Chương trình nâng cao kỹ năng</t>
  </si>
  <si>
    <t>- Bà Nguyễn Thị Minh Huyền</t>
  </si>
  <si>
    <t>Bao gồm 2 form nhập</t>
  </si>
  <si>
    <t>- Đã confirm và gửi qua mail</t>
  </si>
  <si>
    <t>Rate</t>
  </si>
  <si>
    <t>Internal Resource rate</t>
  </si>
  <si>
    <t>Project status</t>
  </si>
  <si>
    <t>Role</t>
  </si>
  <si>
    <t>Division</t>
  </si>
  <si>
    <t>SA</t>
  </si>
  <si>
    <t>On Going</t>
  </si>
  <si>
    <t>Dev</t>
  </si>
  <si>
    <t>Service</t>
  </si>
  <si>
    <t>Junior</t>
  </si>
  <si>
    <t>UAT(partly)</t>
  </si>
  <si>
    <t>BA</t>
  </si>
  <si>
    <t>Gov</t>
  </si>
  <si>
    <t>Pre-Senior</t>
  </si>
  <si>
    <t>UAT (fully)</t>
  </si>
  <si>
    <t>QC</t>
  </si>
  <si>
    <t>Other</t>
  </si>
  <si>
    <t>Senior</t>
  </si>
  <si>
    <t>Pending</t>
  </si>
  <si>
    <t>DevOpp</t>
  </si>
  <si>
    <t>Techlead</t>
  </si>
  <si>
    <t>Golive</t>
  </si>
  <si>
    <t>Tech lead</t>
  </si>
  <si>
    <t>Expert</t>
  </si>
  <si>
    <t>Maintance</t>
  </si>
  <si>
    <t>PM</t>
  </si>
  <si>
    <t>Close</t>
  </si>
  <si>
    <t>UI/UX</t>
  </si>
  <si>
    <t>Risk Type</t>
  </si>
  <si>
    <t>Risk Source</t>
  </si>
  <si>
    <t>Risk Effect</t>
  </si>
  <si>
    <t>Risk Strategy</t>
  </si>
  <si>
    <t>Impact</t>
  </si>
  <si>
    <t>Probability</t>
  </si>
  <si>
    <t>Opportunity</t>
  </si>
  <si>
    <t>Internal</t>
  </si>
  <si>
    <t>Schedule</t>
  </si>
  <si>
    <t xml:space="preserve">Avoid </t>
  </si>
  <si>
    <t>Threat</t>
  </si>
  <si>
    <t>External</t>
  </si>
  <si>
    <t>Cost</t>
  </si>
  <si>
    <t>Exploit</t>
  </si>
  <si>
    <t>Technical</t>
  </si>
  <si>
    <t>Quality</t>
  </si>
  <si>
    <t>Mitigate</t>
  </si>
  <si>
    <t>Non-Technical</t>
  </si>
  <si>
    <t>Scope</t>
  </si>
  <si>
    <t>Enhance</t>
  </si>
  <si>
    <t>Industry-Specific</t>
  </si>
  <si>
    <t>Transfer</t>
  </si>
  <si>
    <t>Generic</t>
  </si>
  <si>
    <t>Share</t>
  </si>
  <si>
    <t>Escalate</t>
  </si>
  <si>
    <t>Accept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</si>
</sst>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quot;₫&quot;"/>
  </numFmts>
  <fonts count="15" x14ac:knownFonts="1">
    <font>
      <sz val="11"/>
      <color rgb="FF000000"/>
      <name val="Calibri"/>
      <scheme val="minor"/>
    </font>
    <font>
      <sz val="11"/>
      <color theme="1"/>
      <name val="Calibri"/>
      <family val="2"/>
      <scheme val="minor"/>
    </font>
    <font>
      <b/>
      <sz val="11"/>
      <color theme="1"/>
      <name val="Times New Roman"/>
      <family val="1"/>
    </font>
    <font>
      <sz val="11"/>
      <color theme="1"/>
      <name val="Calibri"/>
      <family val="2"/>
    </font>
    <font>
      <sz val="10"/>
      <color theme="1"/>
      <name val="Times New Roman"/>
      <family val="1"/>
    </font>
    <font>
      <sz val="11"/>
      <color theme="1"/>
      <name val="Arial"/>
      <family val="2"/>
    </font>
    <font>
      <sz val="11"/>
      <color rgb="FF000000"/>
      <name val="Arial"/>
      <family val="2"/>
    </font>
    <font>
      <u/>
      <sz val="11"/>
      <color theme="10"/>
      <name val="Calibri"/>
      <family val="2"/>
      <scheme val="minor"/>
    </font>
    <font>
      <b/>
      <sz val="16"/>
      <color rgb="FFFFFFFF"/>
      <name val="Calibri"/>
      <family val="2"/>
      <scheme val="minor"/>
    </font>
    <font>
      <b/>
      <sz val="11"/>
      <color rgb="FF000000"/>
      <name val="Calibri"/>
      <family val="2"/>
      <scheme val="minor"/>
    </font>
    <font>
      <b/>
      <sz val="11"/>
      <color rgb="FF006100"/>
      <name val="Calibri"/>
      <family val="2"/>
    </font>
    <font>
      <b/>
      <sz val="11"/>
      <color rgb="FF1D4E89"/>
      <name val="Calibri"/>
      <family val="2"/>
    </font>
    <font>
      <b/>
      <sz val="11"/>
      <color rgb="FF9C6500"/>
      <name val="Calibri"/>
      <family val="2"/>
    </font>
    <font>
      <sz val="12"/>
      <color rgb="FF000000"/>
      <name val="Times New Roman"/>
      <family val="1"/>
      <charset val="1"/>
    </font>
    <font>
      <sz val="11"/>
      <color rgb="FF000000"/>
      <name val="Calibri"/>
      <family val="2"/>
    </font>
  </fonts>
  <fills count="12">
    <fill>
      <patternFill patternType="none"/>
    </fill>
    <fill>
      <patternFill patternType="gray125"/>
    </fill>
    <fill>
      <patternFill patternType="solid">
        <fgColor rgb="FFFFFFFF"/>
        <bgColor rgb="FFFFFFFF"/>
      </patternFill>
    </fill>
    <fill>
      <patternFill patternType="solid">
        <fgColor rgb="FFD9D9D9"/>
        <bgColor rgb="FFD9D9D9"/>
      </patternFill>
    </fill>
    <fill>
      <patternFill patternType="solid">
        <fgColor rgb="FFB7B7B7"/>
        <bgColor rgb="FFB7B7B7"/>
      </patternFill>
    </fill>
    <fill>
      <patternFill patternType="solid">
        <fgColor rgb="FFFFF2CC"/>
        <bgColor indexed="64"/>
      </patternFill>
    </fill>
    <fill>
      <patternFill patternType="solid">
        <fgColor rgb="FFC6EFCE"/>
        <bgColor indexed="64"/>
      </patternFill>
    </fill>
    <fill>
      <patternFill patternType="solid">
        <fgColor rgb="FFD9EAF7"/>
        <bgColor indexed="64"/>
      </patternFill>
    </fill>
    <fill>
      <patternFill patternType="solid">
        <fgColor rgb="FF1D4E89"/>
        <bgColor indexed="64"/>
      </patternFill>
    </fill>
    <fill>
      <patternFill patternType="solid">
        <fgColor rgb="FFE2EAF4"/>
        <bgColor indexed="64"/>
      </patternFill>
    </fill>
    <fill>
      <patternFill patternType="solid">
        <fgColor rgb="FFDAE9F6"/>
        <bgColor indexed="64"/>
      </patternFill>
    </fill>
    <fill>
      <patternFill patternType="solid">
        <fgColor rgb="FFFFFF00"/>
        <bgColor indexed="64"/>
      </patternFill>
    </fill>
  </fills>
  <borders count="21">
    <border>
      <left/>
      <right/>
      <top/>
      <bottom/>
      <diagonal/>
    </border>
    <border>
      <left/>
      <right style="thin">
        <color rgb="FF0000FF"/>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A9D18E"/>
      </left>
      <right/>
      <top style="thin">
        <color rgb="FFA9D18E"/>
      </top>
      <bottom/>
      <diagonal/>
    </border>
    <border>
      <left style="thin">
        <color rgb="FFA9D18E"/>
      </left>
      <right/>
      <top/>
      <bottom/>
      <diagonal/>
    </border>
    <border>
      <left style="thin">
        <color rgb="FFA9D18E"/>
      </left>
      <right/>
      <top/>
      <bottom style="thin">
        <color rgb="FFA9D18E"/>
      </bottom>
      <diagonal/>
    </border>
    <border>
      <left style="thin">
        <color rgb="FF9DC3E6"/>
      </left>
      <right/>
      <top style="thin">
        <color rgb="FF9DC3E6"/>
      </top>
      <bottom/>
      <diagonal/>
    </border>
    <border>
      <left style="thin">
        <color rgb="FF9DC3E6"/>
      </left>
      <right/>
      <top/>
      <bottom/>
      <diagonal/>
    </border>
    <border>
      <left style="thin">
        <color rgb="FF9DC3E6"/>
      </left>
      <right/>
      <top/>
      <bottom style="thin">
        <color rgb="FF9DC3E6"/>
      </bottom>
      <diagonal/>
    </border>
    <border>
      <left style="thin">
        <color rgb="FFF4B183"/>
      </left>
      <right style="thin">
        <color rgb="FFF4B183"/>
      </right>
      <top style="thin">
        <color rgb="FFF4B183"/>
      </top>
      <bottom/>
      <diagonal/>
    </border>
    <border>
      <left style="thin">
        <color rgb="FFF4B183"/>
      </left>
      <right style="thin">
        <color rgb="FFF4B183"/>
      </right>
      <top/>
      <bottom/>
      <diagonal/>
    </border>
    <border>
      <left style="thin">
        <color rgb="FFF4B183"/>
      </left>
      <right style="thin">
        <color rgb="FFF4B183"/>
      </right>
      <top/>
      <bottom style="thin">
        <color rgb="FFF4B183"/>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s>
  <cellStyleXfs count="2">
    <xf numFmtId="0" fontId="0" fillId="0" borderId="0"/>
    <xf numFmtId="0" fontId="7" fillId="0" borderId="0" applyNumberFormat="0" applyFill="0" applyBorder="0" applyAlignment="0" applyProtection="0"/>
  </cellStyleXfs>
  <cellXfs count="53">
    <xf numFmtId="0" fontId="0" fillId="0" borderId="0" xfId="0"/>
    <xf numFmtId="0" fontId="3" fillId="0" borderId="0" xfId="0" applyFont="1"/>
    <xf numFmtId="0" fontId="2" fillId="3" borderId="3" xfId="0" applyFont="1" applyFill="1" applyBorder="1"/>
    <xf numFmtId="0" fontId="3" fillId="3" borderId="3" xfId="0" applyFont="1" applyFill="1" applyBorder="1"/>
    <xf numFmtId="0" fontId="6" fillId="0" borderId="3" xfId="0" applyFont="1" applyBorder="1"/>
    <xf numFmtId="0" fontId="6" fillId="0" borderId="3" xfId="0" applyFont="1" applyBorder="1" applyAlignment="1">
      <alignment horizontal="right"/>
    </xf>
    <xf numFmtId="0" fontId="5" fillId="2" borderId="3" xfId="0" applyFont="1" applyFill="1" applyBorder="1" applyAlignment="1">
      <alignment vertical="center"/>
    </xf>
    <xf numFmtId="0" fontId="4" fillId="2" borderId="1" xfId="0" applyFont="1" applyFill="1" applyBorder="1" applyAlignment="1">
      <alignment vertical="center"/>
    </xf>
    <xf numFmtId="0" fontId="3" fillId="4" borderId="0" xfId="0" applyFont="1" applyFill="1"/>
    <xf numFmtId="0" fontId="4" fillId="2" borderId="2" xfId="0" applyFont="1" applyFill="1" applyBorder="1" applyAlignment="1">
      <alignment vertical="center"/>
    </xf>
    <xf numFmtId="0" fontId="3" fillId="4" borderId="2" xfId="0" applyFont="1" applyFill="1" applyBorder="1"/>
    <xf numFmtId="164" fontId="0" fillId="0" borderId="0" xfId="0" applyNumberFormat="1"/>
    <xf numFmtId="0" fontId="1" fillId="0" borderId="0" xfId="0" applyFont="1"/>
    <xf numFmtId="22" fontId="0" fillId="0" borderId="0" xfId="0" applyNumberFormat="1"/>
    <xf numFmtId="0" fontId="8" fillId="8" borderId="0" xfId="0" applyFont="1" applyFill="1" applyAlignment="1">
      <alignment horizontal="center"/>
    </xf>
    <xf numFmtId="0" fontId="9" fillId="0" borderId="0" xfId="0" applyFont="1"/>
    <xf numFmtId="0" fontId="0" fillId="0" borderId="0" xfId="0" applyAlignment="1">
      <alignment vertical="top" wrapText="1"/>
    </xf>
    <xf numFmtId="0" fontId="9" fillId="9" borderId="2" xfId="0" applyFont="1" applyFill="1" applyBorder="1" applyAlignment="1">
      <alignment horizontal="center" vertical="top" wrapText="1"/>
    </xf>
    <xf numFmtId="0" fontId="0" fillId="0" borderId="2" xfId="0" applyBorder="1" applyAlignment="1">
      <alignment horizontal="center" vertical="top" wrapText="1"/>
    </xf>
    <xf numFmtId="0" fontId="0" fillId="0" borderId="2" xfId="0" applyBorder="1" applyAlignment="1">
      <alignment vertical="top" wrapText="1"/>
    </xf>
    <xf numFmtId="0" fontId="9" fillId="9" borderId="2" xfId="0" applyFont="1" applyFill="1" applyBorder="1" applyAlignment="1">
      <alignment vertical="top" wrapText="1"/>
    </xf>
    <xf numFmtId="0" fontId="0" fillId="0" borderId="2" xfId="0" applyBorder="1"/>
    <xf numFmtId="0" fontId="10" fillId="6" borderId="4" xfId="0" applyFont="1" applyFill="1" applyBorder="1" applyAlignment="1">
      <alignment horizontal="center" vertical="top" wrapText="1"/>
    </xf>
    <xf numFmtId="0" fontId="10" fillId="6" borderId="5" xfId="0" applyFont="1" applyFill="1" applyBorder="1" applyAlignment="1">
      <alignment horizontal="center" vertical="top" wrapText="1"/>
    </xf>
    <xf numFmtId="0" fontId="10" fillId="6" borderId="6" xfId="0" applyFont="1" applyFill="1" applyBorder="1" applyAlignment="1">
      <alignment horizontal="center" vertical="top" wrapText="1"/>
    </xf>
    <xf numFmtId="0" fontId="11" fillId="7" borderId="7" xfId="0" applyFont="1" applyFill="1" applyBorder="1" applyAlignment="1">
      <alignment horizontal="center" vertical="top" wrapText="1"/>
    </xf>
    <xf numFmtId="0" fontId="11" fillId="7" borderId="8" xfId="0" applyFont="1" applyFill="1" applyBorder="1" applyAlignment="1">
      <alignment horizontal="center" vertical="top" wrapText="1"/>
    </xf>
    <xf numFmtId="0" fontId="11" fillId="7" borderId="9" xfId="0" applyFont="1" applyFill="1" applyBorder="1" applyAlignment="1">
      <alignment horizontal="center" vertical="top" wrapText="1"/>
    </xf>
    <xf numFmtId="0" fontId="12" fillId="5" borderId="10" xfId="0" applyFont="1" applyFill="1" applyBorder="1" applyAlignment="1">
      <alignment horizontal="center" vertical="top" wrapText="1"/>
    </xf>
    <xf numFmtId="0" fontId="12" fillId="5" borderId="11" xfId="0" applyFont="1" applyFill="1" applyBorder="1" applyAlignment="1">
      <alignment horizontal="center" vertical="top" wrapText="1"/>
    </xf>
    <xf numFmtId="0" fontId="12" fillId="5" borderId="12" xfId="0" applyFont="1" applyFill="1" applyBorder="1" applyAlignment="1">
      <alignment horizontal="center" vertical="top" wrapText="1"/>
    </xf>
    <xf numFmtId="0" fontId="0" fillId="0" borderId="3" xfId="0" applyBorder="1" applyAlignment="1">
      <alignment wrapText="1"/>
    </xf>
    <xf numFmtId="0" fontId="7" fillId="0" borderId="3" xfId="1" applyBorder="1" applyAlignment="1">
      <alignment wrapText="1"/>
    </xf>
    <xf numFmtId="0" fontId="13" fillId="0" borderId="3" xfId="0" applyFont="1" applyBorder="1" applyAlignment="1">
      <alignment wrapText="1"/>
    </xf>
    <xf numFmtId="0" fontId="0" fillId="0" borderId="3" xfId="0" quotePrefix="1" applyBorder="1" applyAlignment="1">
      <alignment wrapText="1"/>
    </xf>
    <xf numFmtId="0" fontId="0" fillId="0" borderId="3" xfId="0" applyBorder="1" applyAlignment="1">
      <alignment horizontal="left" wrapText="1"/>
    </xf>
    <xf numFmtId="0" fontId="7" fillId="10" borderId="3" xfId="1" applyFill="1" applyBorder="1" applyAlignment="1">
      <alignment wrapText="1"/>
    </xf>
    <xf numFmtId="0" fontId="0" fillId="0" borderId="13" xfId="0" applyBorder="1" applyAlignment="1">
      <alignment wrapText="1"/>
    </xf>
    <xf numFmtId="0" fontId="0" fillId="0" borderId="14" xfId="0" applyBorder="1" applyAlignment="1">
      <alignment wrapText="1"/>
    </xf>
    <xf numFmtId="0" fontId="0" fillId="0" borderId="15" xfId="0" applyBorder="1" applyAlignment="1">
      <alignment wrapText="1"/>
    </xf>
    <xf numFmtId="0" fontId="0" fillId="11" borderId="3" xfId="0" applyFill="1" applyBorder="1" applyAlignment="1">
      <alignment wrapText="1"/>
    </xf>
    <xf numFmtId="0" fontId="7" fillId="11" borderId="3" xfId="1" applyFill="1" applyBorder="1" applyAlignment="1">
      <alignment wrapText="1"/>
    </xf>
    <xf numFmtId="0" fontId="0" fillId="11" borderId="3" xfId="0" quotePrefix="1" applyFill="1" applyBorder="1" applyAlignment="1">
      <alignment wrapText="1"/>
    </xf>
    <xf numFmtId="0" fontId="0" fillId="0" borderId="16" xfId="0" applyBorder="1" applyAlignment="1">
      <alignment wrapText="1"/>
    </xf>
    <xf numFmtId="0" fontId="14" fillId="0" borderId="3" xfId="0" quotePrefix="1" applyFont="1" applyBorder="1" applyAlignment="1">
      <alignment wrapText="1"/>
    </xf>
    <xf numFmtId="0" fontId="7" fillId="0" borderId="16" xfId="1" applyBorder="1" applyAlignment="1">
      <alignment wrapText="1"/>
    </xf>
    <xf numFmtId="0" fontId="0" fillId="0" borderId="16" xfId="0" quotePrefix="1" applyBorder="1" applyAlignment="1">
      <alignment wrapText="1"/>
    </xf>
    <xf numFmtId="0" fontId="0" fillId="0" borderId="17" xfId="0" applyBorder="1" applyAlignment="1">
      <alignment wrapText="1"/>
    </xf>
    <xf numFmtId="0" fontId="0" fillId="11" borderId="14" xfId="0" applyFill="1" applyBorder="1" applyAlignment="1">
      <alignment wrapText="1"/>
    </xf>
    <xf numFmtId="0" fontId="0" fillId="0" borderId="18" xfId="0" applyBorder="1" applyAlignment="1">
      <alignment wrapText="1"/>
    </xf>
    <xf numFmtId="0" fontId="0" fillId="0" borderId="19" xfId="0" applyBorder="1" applyAlignment="1">
      <alignment wrapText="1"/>
    </xf>
    <xf numFmtId="0" fontId="14" fillId="0" borderId="13" xfId="0" applyFont="1" applyBorder="1"/>
    <xf numFmtId="0" fontId="14" fillId="0" borderId="20" xfId="0" applyFont="1" applyBorder="1"/>
  </cellXfs>
  <cellStyles count="2">
    <cellStyle name="Hyperlink" xfId="1" xr:uid="{00000000-000B-0000-0000-000008000000}"/>
    <cellStyle name="Normal" xfId="0" builtinId="0"/>
  </cellStyles>
  <dxfs count="19">
    <dxf>
      <alignment horizontal="general" vertical="bottom" textRotation="0" wrapText="1" indent="0" justifyLastLine="0" shrinkToFit="0" readingOrder="0"/>
      <border>
        <left style="thin">
          <color rgb="FF000000"/>
        </left>
        <right/>
        <top style="thin">
          <color rgb="FF000000"/>
        </top>
        <bottom style="thin">
          <color rgb="FF000000"/>
        </bottom>
        <vertical style="thin">
          <color rgb="FF000000"/>
        </vertical>
        <horizontal style="thin">
          <color rgb="FF000000"/>
        </horizontal>
      </border>
    </dxf>
    <dxf>
      <alignment horizontal="general"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bottom" textRotation="0" wrapText="1" indent="0" justifyLastLine="0" shrinkToFit="0" readingOrder="0"/>
      <border>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left style="thin">
          <color rgb="FF000000"/>
        </left>
        <right style="thin">
          <color rgb="FF000000"/>
        </right>
        <top style="thin">
          <color rgb="FF000000"/>
        </top>
        <bottom style="thin">
          <color rgb="FF000000"/>
        </bottom>
      </border>
    </dxf>
    <dxf>
      <alignment horizontal="general" vertical="bottom" textRotation="0" wrapText="1" indent="0" justifyLastLine="0" shrinkToFit="0" readingOrder="0"/>
    </dxf>
    <dxf>
      <border>
        <bottom style="thin">
          <color rgb="FF000000"/>
        </bottom>
      </border>
    </dxf>
    <dxf>
      <alignment horizontal="general" vertical="bottom" textRotation="0" wrapText="1" indent="0" justifyLastLine="0" shrinkToFit="0" readingOrder="0"/>
      <border>
        <left style="thin">
          <color rgb="FF000000"/>
        </left>
        <right style="thin">
          <color rgb="FF000000"/>
        </right>
        <top/>
        <bottom/>
        <vertical style="thin">
          <color rgb="FF000000"/>
        </vertical>
        <horizontal style="thin">
          <color rgb="FF000000"/>
        </horizontal>
      </border>
    </dxf>
  </dxfs>
  <tableStyles count="0" defaultTableStyle="TableStyleMedium2" defaultPivotStyle="PivotStyleLight16"/>
  <colors>
    <mruColors>
      <color rgb="FFD9D9D9"/>
      <color rgb="FFB7B7B7"/>
      <color rgb="FFE9F4FC"/>
      <color rgb="FFFDF9E8"/>
      <color rgb="FFF9EBEA"/>
      <color rgb="FFA6A6A6"/>
      <color rgb="FF666666"/>
      <color rgb="FF16366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FEFB47D-D961-4F20-AEFF-0FFB2D464A33}" name="Table13" displayName="Table13" ref="A1:N23" totalsRowShown="0" headerRowDxfId="18" dataDxfId="16" headerRowBorderDxfId="17" tableBorderDxfId="15" totalsRowBorderDxfId="14">
  <autoFilter ref="A1:N23" xr:uid="{FFEFB47D-D961-4F20-AEFF-0FFB2D464A33}"/>
  <tableColumns count="14">
    <tableColumn id="1" xr3:uid="{57D1B02C-B3D5-4F3F-83F4-C8F0C349DF6E}" name="STT" dataDxfId="13"/>
    <tableColumn id="2" xr3:uid="{F3B2375B-B269-46C2-82FB-A66CA995BEC3}" name="Mã chỉ tiêu" dataDxfId="12"/>
    <tableColumn id="3" xr3:uid="{087554C3-4358-410A-9425-B3D98BAE3BC9}" name="Tên chỉ tiêu" dataDxfId="11"/>
    <tableColumn id="4" xr3:uid="{45F1F98C-8E72-4E8C-9B2E-9427ABEA9EA5}" name="Link" dataDxfId="10" dataCellStyle="Hyperlink"/>
    <tableColumn id="5" xr3:uid="{B9490FA7-1FB0-46A8-A493-CC6C8F159572}" name="Lấy dữ liệu tháng cũ" dataDxfId="9" dataCellStyle="Hyperlink"/>
    <tableColumn id="6" xr3:uid="{765C655A-5E3A-4E3E-8112-D33BE9A623AD}" name="Tần suất" dataDxfId="8"/>
    <tableColumn id="7" xr3:uid="{BD875292-73FA-4E4B-B2E0-04828E0F4FE7}" name="Table(Thiện fill)" dataDxfId="7"/>
    <tableColumn id="8" xr3:uid="{E52328C2-74EA-4C1F-9ED9-B6921F37641C}" name="Tổ/Ban" dataDxfId="6"/>
    <tableColumn id="9" xr3:uid="{DAD2C9A2-5137-46A4-A7D4-11260B52F9DD}" name="Đầu mối VNA" dataDxfId="5"/>
    <tableColumn id="10" xr3:uid="{59F22F29-EF99-4256-83A7-557AB2DB9AD0}" name="PIC" dataDxfId="4"/>
    <tableColumn id="11" xr3:uid="{E4F83584-4C30-4908-8941-217FE178AC01}" name="Note" dataDxfId="3"/>
    <tableColumn id="12" xr3:uid="{92B77EE6-6173-420C-AF11-FDA0D68ADBC4}" name="Trạng thái" dataDxfId="2"/>
    <tableColumn id="13" xr3:uid="{33A972B6-9E94-4D5E-91D3-10108583AC37}" name="Số form nhập" dataDxfId="1"/>
    <tableColumn id="14" xr3:uid="{F4763D9F-D5DB-4531-AFF4-348817A2E90C}" name="Bỏ trường"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 dockstate="right" visibility="1" width="350" row="0">
    <wetp:webextensionref xmlns:r="http://schemas.openxmlformats.org/officeDocument/2006/relationships" r:id="rId2"/>
  </wetp:taskpane>
  <wetp:taskpane dockstate="right" visibility="0" width="350" row="0">
    <wetp:webextensionref xmlns:r="http://schemas.openxmlformats.org/officeDocument/2006/relationships" r:id="rId3"/>
  </wetp:taskpane>
</wetp:taskpanes>
</file>

<file path=xl/webextensions/webextension1.xml><?xml version="1.0" encoding="utf-8"?>
<we:webextension xmlns:we="http://schemas.microsoft.com/office/webextensions/webextension/2010/11" id="{F43DF736-E02E-4E5F-8512-A743F84641E9}">
  <we:reference id="WA200005502" version="1.0.0.13" store="en-us" storeType="omex"/>
  <we:alternateReferences>
    <we:reference id="WA200005502" version="1.0.0.13" store="en-us" storeType="omex"/>
  </we:alternateReferences>
  <we:properties>
    <we:property name="docId" value="&quot;ApT3JshIHs5TcT_Ay3Sq0&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ebextensions/webextension2.xml><?xml version="1.0" encoding="utf-8"?>
<we:webextension xmlns:we="http://schemas.microsoft.com/office/webextensions/webextension/2010/11" id="{393FB312-90FB-492A-BC8F-DAF2D8936EA9}">
  <we:reference id="WA200009404" version="1.0.0.8" store="en-us" storeType="omex"/>
  <we:alternateReferences>
    <we:reference id="WA200009404" version="1.0.0.8" store="en-us" storeType="omex"/>
  </we:alternateReferences>
  <we:properties>
    <we:property name="claude.fileId" value="&quot;1f701fe6-51b9-48aa-b541-a9bcfa8856f2&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ebextensions/webextension3.xml><?xml version="1.0" encoding="utf-8"?>
<we:webextension xmlns:we="http://schemas.microsoft.com/office/webextensions/webextension/2010/11" id="{C09582E4-8D3B-4D10-B768-7A86F47CE304}">
  <we:reference id="WA200010725" version="1.0.0.1" store="en-us" storeType="omex"/>
  <we:alternateReferences>
    <we:reference id="WA200010725" version="1.0.0.1" store="en-us" storeType="omex"/>
  </we:alternateReferences>
  <we:properties>
    <we:property name="claude.fileId" value="&quot;84778fe1-0dc9-4888-b487-8a6291987ac0&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2.xml.rels><?xml version="1.0" encoding="UTF-8" standalone="yes"?>
<Relationships xmlns="http://schemas.openxmlformats.org/package/2006/relationships"><Relationship Id="rId8" Type="http://schemas.openxmlformats.org/officeDocument/2006/relationships/hyperlink" Target="https://vietnamairlines0-my.sharepoint.com/:x:/r/personal/vantt_vietnamairlines_com/Documents/2.D%E1%BB%B1%20%C3%A1n/Net%20Zero/3.%20Tri%E1%BB%83n%20khai/Netzero_T%C3%A0i%20li%E1%BB%87u%20b%C3%A0n%20giao/3.%20D%E1%BB%AF%20li%E1%BB%87u/D%E1%BB%AF%20li%E1%BB%87u%20nh%E1%BA%ADp%20th%E1%BB%A7%20c%C3%B4ng/Ban%20TCNL%20-%20Airline-F2%20-%20%20form%20%C4%91i%E1%BB%81n%20ch%E1%BB%89%20ti%C3%AAu%20m%E1%BB%A9c%20%C4%91%E1%BB%99%20h%C3%A0i%20l%C3%B2ng%20c%E1%BB%A7a%20nh%C3%A2n%20vi%C3%AAn.xlsx?d=wed35276ab246489d9cf7013db7e457b1&amp;csf=1&amp;web=1&amp;e=yvU8ot" TargetMode="External"/><Relationship Id="rId13" Type="http://schemas.openxmlformats.org/officeDocument/2006/relationships/hyperlink" Target="https://vietnamairlines0-my.sharepoint.com/:x:/r/personal/vantt_vietnamairlines_com/_layouts/15/Doc.aspx?sourcedoc=%7BDDD475BC-2824-4E00-87E7-3BF99AA916CF%7D&amp;file=T%E1%BB%95%20K%E1%BB%B9%20thu%E1%BA%ADt%20-%20Ph%C3%A2n%20b%E1%BB%95%20nhi%C3%AAn%20li%E1%BB%87u%20SAF.xlsx&amp;action=default&amp;mobileredirect=true" TargetMode="External"/><Relationship Id="rId18" Type="http://schemas.openxmlformats.org/officeDocument/2006/relationships/hyperlink" Target="https://vietnamairlines0-my.sharepoint.com/:x:/r/personal/vantt_vietnamairlines_com/Documents/2.D%E1%BB%B1%20%C3%A1n/Net%20Zero/3.%20Tri%E1%BB%83n%20khai/Netzero_T%C3%A0i%20li%E1%BB%87u%20b%C3%A0n%20giao/3.%20D%E1%BB%AF%20li%E1%BB%87u/D%E1%BB%AF%20li%E1%BB%87u%20nh%E1%BA%ADp%20th%E1%BB%A7%20c%C3%B4ng/T%E1%BB%95%20D%E1%BB%8Bch%20v%E1%BB%A5%20-%20GRI%20406-1%20-%20Bi%E1%BB%83u%20m%E1%BA%ABu%20s%E1%BB%B1%20c%E1%BB%91%20ph%C3%A2n%20bi%E1%BB%87t%20%C4%91%E1%BB%91i%20x%E1%BB%AD.xlsx?d=w74e961e936e24b6dbcce159f86507a8c&amp;csf=1&amp;web=1&amp;e=GWhJTt" TargetMode="External"/><Relationship Id="rId3" Type="http://schemas.openxmlformats.org/officeDocument/2006/relationships/hyperlink" Target="https://vietnamairlines0-my.sharepoint.com/:x:/r/personal/vantt_vietnamairlines_com/Documents/2.D%E1%BB%B1%20%C3%A1n/Net%20Zero/3.%20Tri%E1%BB%83n%20khai/Netzero_T%C3%A0i%20li%E1%BB%87u%20b%C3%A0n%20giao/3.%20D%E1%BB%AF%20li%E1%BB%87u/D%E1%BB%AF%20li%E1%BB%87u%20nh%E1%BA%ADp%20th%E1%BB%A7%20c%C3%B4ng/T%E1%BB%95%20D%E1%BB%8Bch%20v%E1%BB%A5%20-%20GRI%20416-1%20-%20Danh%20m%E1%BB%A5c%20VSTB.xlsx?d=w4d95befc49a24ef8afc8ee7cc45803af&amp;csf=1&amp;web=1&amp;e=KYGZxu" TargetMode="External"/><Relationship Id="rId21" Type="http://schemas.openxmlformats.org/officeDocument/2006/relationships/hyperlink" Target="https://vietnamairlines0-my.sharepoint.com/:x:/r/personal/vantt_vietnamairlines_com/_layouts/15/Doc.aspx?sourcedoc=%7B70CCAD24-7A6E-4EFA-AFFC-956778CEEB0B%7D&amp;file=T%E1%BB%95%20D%E1%BB%8Bch%20v%E1%BB%A5%20-%20GRI%20416-2%20-%20C%C3%A1c%20s%E1%BB%B1%20c%E1%BB%91%20vi%20ph%E1%BA%A1m%20li%C3%AAn%20quan%20%C4%91%E1%BA%BFn%20t%C3%A1c%20%C4%91%E1%BB%99ng%20s%E1%BB%A9c%20kh%E1%BB%8Fe%20v%C3%A0%20an%20to%C3%A0n%20c%E1%BB%A7a%20s%E1%BA%A3n%20ph%E1%BA%A9m%20d%E1%BB%8Bch%20v%E1%BB%A5.xlsx&amp;action=default&amp;mobileredirect=true" TargetMode="External"/><Relationship Id="rId7" Type="http://schemas.openxmlformats.org/officeDocument/2006/relationships/hyperlink" Target="https://vietnamairlines0-my.sharepoint.com/:x:/r/personal/vantt_vietnamairlines_com/_layouts/15/Doc.aspx?sourcedoc=%7BACCA2F26-3CE5-428B-9BE1-2CFF02AF5F5F%7D&amp;file=Ban%20TCNL%20-%20GRI%20202-2%20-%20T%E1%BB%B7%20l%E1%BB%87%20l%C3%A3nh%20%C4%91%E1%BA%A1o%20c%E1%BA%A5p%20cao%20l%C3%A0%20ng%C6%B0%E1%BB%9Di%20b%E1%BA%A3n%20%C4%91%E1%BB%8Ba.xlsx&amp;action=default&amp;mobileredirect=true" TargetMode="External"/><Relationship Id="rId12" Type="http://schemas.openxmlformats.org/officeDocument/2006/relationships/hyperlink" Target="https://vietnamairlines0-my.sharepoint.com/:x:/r/personal/vantt_vietnamairlines_com/Documents/2.D%E1%BB%B1%20%C3%A1n/Net%20Zero/3.%20Tri%E1%BB%83n%20khai/Netzero_T%C3%A0i%20li%E1%BB%87u%20b%C3%A0n%20giao/3.%20D%E1%BB%AF%20li%E1%BB%87u/D%E1%BB%AF%20li%E1%BB%87u%20nh%E1%BA%ADp%20th%E1%BB%A7%20c%C3%B4ng/Ban%20TCKT%20-%20GRI%20204-1%20-%20%20form%20%C4%91i%E1%BB%81n%20ch%E1%BB%89%20ti%C3%AAu%20NCC.xlsx?d=w3123a107c2db4884a289259b481312c5&amp;csf=1&amp;web=1&amp;e=LsiLFb" TargetMode="External"/><Relationship Id="rId17" Type="http://schemas.openxmlformats.org/officeDocument/2006/relationships/hyperlink" Target="https://vietnamairlines0-my.sharepoint.com/:x:/r/personal/vantt_vietnamairlines_com/Documents/2.D%E1%BB%B1%20%C3%A1n/Net%20Zero/3.%20Tri%E1%BB%83n%20khai/Netzero_T%C3%A0i%20li%E1%BB%87u%20b%C3%A0n%20giao/3.%20D%E1%BB%AF%20li%E1%BB%87u/D%E1%BB%AF%20li%E1%BB%87u%20nh%E1%BA%ADp%20th%E1%BB%A7%20c%C3%B4ng/T%E1%BB%95%20D%E1%BB%8Bch%20v%E1%BB%A5%20-%20Airline%20B-1%20-%20M%E1%BB%A5c%20ti%C3%AAu%20NPS%20h%C3%A0ng%20n%C4%83m.xlsx?d=w9883fd4c0bcc4a2ba5ae8dd9959ddfe1&amp;csf=1&amp;web=1&amp;e=nhzcqv" TargetMode="External"/><Relationship Id="rId2" Type="http://schemas.openxmlformats.org/officeDocument/2006/relationships/hyperlink" Target="https://vietnamairlines0-my.sharepoint.com/:x:/r/personal/vantt_vietnamairlines_com/Documents/2.D%E1%BB%B1%20%C3%A1n/Net%20Zero/3.%20Tri%E1%BB%83n%20khai/Netzero_T%C3%A0i%20li%E1%BB%87u%20b%C3%A0n%20giao/3.%20D%E1%BB%AF%20li%E1%BB%87u/D%E1%BB%AF%20li%E1%BB%87u%20nh%E1%BA%ADp%20th%E1%BB%A7%20c%C3%B4ng/Ban%20TCNL%20-%20GRI%20403-9%20-%20form%20th%E1%BB%91ng%20k%C3%AA%20th%C6%B0%C6%A1ng%20t%E1%BA%ADt.xlsx?d=wa8162f07b9674f7ead4ca1cfe9b50308&amp;csf=1&amp;web=1&amp;e=0Up0Gs" TargetMode="External"/><Relationship Id="rId16" Type="http://schemas.openxmlformats.org/officeDocument/2006/relationships/hyperlink" Target="https://vietnamairlines0-my.sharepoint.com/:x:/r/personal/vantt_vietnamairlines_com/Documents/2.D%E1%BB%B1%20%C3%A1n/Net%20Zero/3.%20Tri%E1%BB%83n%20khai/Netzero_T%C3%A0i%20li%E1%BB%87u%20b%C3%A0n%20giao/3.%20D%E1%BB%AF%20li%E1%BB%87u/D%E1%BB%AF%20li%E1%BB%87u%20nh%E1%BA%ADp%20th%E1%BB%A7%20c%C3%B4ng/T%E1%BB%95%20D%E1%BB%8Bch%20v%E1%BB%A5%20-%20GRI%20303-3%20v%C3%A0%20GRI%20303-5%20-%20L%C6%B0%E1%BB%A3ng%20n%C6%B0%E1%BB%9Bc%20c%E1%BA%A5p%20l%C3%AAn%20%26%20ti%C3%AAu%20th%E1%BB%A5.xlsx?d=wcf07bda81bef4aabbba92cdb8e85e91a&amp;csf=1&amp;web=1&amp;e=zjDEN3" TargetMode="External"/><Relationship Id="rId20" Type="http://schemas.openxmlformats.org/officeDocument/2006/relationships/hyperlink" Target="https://vietnamairlines0-my.sharepoint.com/:x:/r/personal/vantt_vietnamairlines_com/Documents/2.D%E1%BB%B1%20%C3%A1n/Net%20Zero/3.%20Tri%E1%BB%83n%20khai/Netzero_T%C3%A0i%20li%E1%BB%87u%20b%C3%A0n%20giao/3.%20D%E1%BB%AF%20li%E1%BB%87u/D%E1%BB%AF%20li%E1%BB%87u%20nh%E1%BA%ADp%20th%E1%BB%A7%20c%C3%B4ng/Ban%20TCNL%20-%20GRI%20404-2%20-%20Ch%C6%B0%C6%A1ng%20tr%C3%ACnh%20n%C3%A2ng%20cao%20k%E1%BB%B9%20n%C4%83ng.xlsx?d=wfdbf7655aa8b4b37ad09baa0bbfd1718&amp;csf=1&amp;web=1&amp;e=GnSzNf" TargetMode="External"/><Relationship Id="rId1" Type="http://schemas.openxmlformats.org/officeDocument/2006/relationships/hyperlink" Target="https://vietnamairlines0-my.sharepoint.com/:x:/r/personal/vantt_vietnamairlines_com/_layouts/15/Doc.aspx?sourcedoc=%7B85C5BC36-5A5F-4154-890A-86BAB33BBAB1%7D&amp;file=Ban%20ATCL%20-%20Airline%20E-1%20-%20form%20ti%E1%BA%BFng%20%E1%BB%93n.xlsx&amp;action=default&amp;mobileredirect=true" TargetMode="External"/><Relationship Id="rId6" Type="http://schemas.openxmlformats.org/officeDocument/2006/relationships/hyperlink" Target="https://vietnamairlines0-my.sharepoint.com/:x:/r/personal/vantt_vietnamairlines_com/Documents/2.D%E1%BB%B1%20%C3%A1n/Net%20Zero/3.%20Tri%E1%BB%83n%20khai/Netzero_T%C3%A0i%20li%E1%BB%87u%20b%C3%A0n%20giao/3.%20D%E1%BB%AF%20li%E1%BB%87u/D%E1%BB%AF%20li%E1%BB%87u%20nh%E1%BA%ADp%20th%E1%BB%A7%20c%C3%B4ng/Ban%20TCNL%20-%20Airline-D1%20-%20S%E1%BB%91%20v%E1%BB%A5%20%C4%91%C3%ACnh%20c%C3%B4ng.xlsx?d=we150173aaf464e3ab9eb02fdfa3116d8&amp;csf=1&amp;web=1&amp;e=k4swaD" TargetMode="External"/><Relationship Id="rId11" Type="http://schemas.openxmlformats.org/officeDocument/2006/relationships/hyperlink" Target="https://vietnamairlines0-my.sharepoint.com/:x:/r/personal/vantt_vietnamairlines_com/Documents/2.D%E1%BB%B1%20%C3%A1n/Net%20Zero/3.%20Tri%E1%BB%83n%20khai/Netzero_T%C3%A0i%20li%E1%BB%87u%20b%C3%A0n%20giao/3.%20D%E1%BB%AF%20li%E1%BB%87u/D%E1%BB%AF%20li%E1%BB%87u%20nh%E1%BA%ADp%20th%E1%BB%A7%20c%C3%B4ng/Ban%20TT%20-%20%20GRI%20417-3%20-%20%20form%20nh%E1%BA%ADp%20ch%E1%BB%89%20ti%C3%AAu%20c%C3%A1c%20v%E1%BB%A5%20vi%E1%BB%87c%20kh%C3%B4ng%20tu%C3%A2n%20th%E1%BB%A7%20mkt.xlsx?d=w40d32442a3ff43fa9c2d5b7de44fce8c&amp;csf=1&amp;web=1&amp;e=b3VqCw" TargetMode="External"/><Relationship Id="rId5" Type="http://schemas.openxmlformats.org/officeDocument/2006/relationships/hyperlink" Target="https://vietnamairlines0-my.sharepoint.com/:x:/r/personal/vantt_vietnamairlines_com/Documents/2.D%E1%BB%B1%20%C3%A1n/Net%20Zero/3.%20Tri%E1%BB%83n%20khai/Netzero_T%C3%A0i%20li%E1%BB%87u%20b%C3%A0n%20giao/3.%20D%E1%BB%AF%20li%E1%BB%87u/D%E1%BB%AF%20li%E1%BB%87u%20nh%E1%BA%ADp%20th%E1%BB%A7%20c%C3%B4ng/Ban%20C%C4%90S%20-%20GRI%20418-1%20-%20C%C3%A1c%20s%E1%BB%B1%20c%E1%BB%91%20li%C3%AAn%20quan%20%C4%91%E1%BA%BFn%20d%E1%BB%AF%20li%E1%BB%87u%20c%C3%A1%20nh%C3%A2n.xlsx?d=w4ec32537b55e464795819e663fc4ab8d&amp;csf=1&amp;web=1&amp;e=MncvaL" TargetMode="External"/><Relationship Id="rId15" Type="http://schemas.openxmlformats.org/officeDocument/2006/relationships/hyperlink" Target="https://vietnamairlines0-my.sharepoint.com/:x:/r/personal/vantt_vietnamairlines_com/Documents/2.D%E1%BB%B1%20%C3%A1n/Net%20Zero/3.%20Tri%E1%BB%83n%20khai/Netzero_T%C3%A0i%20li%E1%BB%87u%20b%C3%A0n%20giao/3.%20D%E1%BB%AF%20li%E1%BB%87u/D%E1%BB%AF%20li%E1%BB%87u%20nh%E1%BA%ADp%20th%E1%BB%A7%20c%C3%B4ng/T%E1%BB%95%20Khai%20th%C3%A1c%20-%20GRI%20302-4%20-%20Gi%E1%BA%A3m%20ti%C3%AAu%20th%E1%BB%A5%20n%C4%83ng%20l%C6%B0%E1%BB%A3ng.xlsx?d=w1ab18a1a4d474450ac99d7e7923c6690&amp;csf=1&amp;web=1&amp;e=OP9a4m" TargetMode="External"/><Relationship Id="rId23" Type="http://schemas.openxmlformats.org/officeDocument/2006/relationships/table" Target="../tables/table1.xml"/><Relationship Id="rId10" Type="http://schemas.openxmlformats.org/officeDocument/2006/relationships/hyperlink" Target="https://vietnamairlines0-my.sharepoint.com/:x:/r/personal/vantt_vietnamairlines_com/Documents/2.D%E1%BB%B1%20%C3%A1n/Net%20Zero/3.%20Tri%E1%BB%83n%20khai/Netzero_T%C3%A0i%20li%E1%BB%87u%20b%C3%A0n%20giao/3.%20D%E1%BB%AF%20li%E1%BB%87u/D%E1%BB%AF%20li%E1%BB%87u%20nh%E1%BA%ADp%20th%E1%BB%A7%20c%C3%B4ng/Ban%20TT%20-%20Airline-F1%20-%20%20form%20nh%E1%BA%ADp%20ch%E1%BB%89%20ti%C3%AAu%20ho%E1%BA%A1t%20%C4%91%E1%BB%99ng%20t%C3%ACnh%20nguy%E1%BB%87n.xlsx?d=w834f1f4061774e319778cd56c8543d59&amp;csf=1&amp;web=1&amp;e=XC1mLt" TargetMode="External"/><Relationship Id="rId19" Type="http://schemas.openxmlformats.org/officeDocument/2006/relationships/hyperlink" Target="https://vietnamairlines0-my.sharepoint.com/:x:/r/personal/vantt_vietnamairlines_com/Documents/2.D%E1%BB%B1%20%C3%A1n/Net%20Zero/3.%20Tri%E1%BB%83n%20khai/Netzero_T%C3%A0i%20li%E1%BB%87u%20b%C3%A0n%20giao/3.%20D%E1%BB%AF%20li%E1%BB%87u/D%E1%BB%AF%20li%E1%BB%87u%20nh%E1%BA%ADp%20th%E1%BB%A7%20c%C3%B4ng/T%E1%BB%95%20D%E1%BB%8Bch%20v%E1%BB%A5%20-%20GRI%20416-1%20-%20Ph%C3%A2n%20nh%C3%B3m%20v%E1%BA%ADt%20t%C6%B0%20v%E1%BA%ADt%20ph%E1%BA%A9m.xlsx?d=we3cf4246d6294cb5addac9fa654259c9&amp;csf=1&amp;web=1&amp;e=fZARn9" TargetMode="External"/><Relationship Id="rId4" Type="http://schemas.openxmlformats.org/officeDocument/2006/relationships/hyperlink" Target="https://vietnamairlines0-my.sharepoint.com/:x:/r/personal/vantt_vietnamairlines_com/Documents/2.D%E1%BB%B1%20%C3%A1n/Net%20Zero/3.%20Tri%E1%BB%83n%20khai/Netzero_T%C3%A0i%20li%E1%BB%87u%20b%C3%A0n%20giao/3.%20D%E1%BB%AF%20li%E1%BB%87u/D%E1%BB%AF%20li%E1%BB%87u%20nh%E1%BA%ADp%20th%E1%BB%A7%20c%C3%B4ng/T%E1%BB%95%20D%E1%BB%8Bch%20v%E1%BB%A5%20-%20GRI%20416-1%20-%20Danh%20m%E1%BB%A5c%20su%E1%BA%A5t%20%C4%83n.xlsx?d=wa6a8f4677fb6449b86932ce77721980d&amp;csf=1&amp;web=1&amp;e=JuhVdP" TargetMode="External"/><Relationship Id="rId9" Type="http://schemas.openxmlformats.org/officeDocument/2006/relationships/hyperlink" Target="https://vietnamairlines0-my.sharepoint.com/:x:/r/personal/vantt_vietnamairlines_com/Documents/2.D%E1%BB%B1%20%C3%A1n/Net%20Zero/3.%20Tri%E1%BB%83n%20khai/Netzero_T%C3%A0i%20li%E1%BB%87u%20b%C3%A0n%20giao/3.%20D%E1%BB%AF%20li%E1%BB%87u/D%E1%BB%AF%20li%E1%BB%87u%20nh%E1%BA%ADp%20th%E1%BB%A7%20c%C3%B4ng/Ban%20TCNL%20-%20GRI%20202-1%20-%20%20form%20%C4%91i%E1%BB%81n%20ch%E1%BB%89%20ti%C3%AAu%20l%C6%B0%C6%A1ng%20kh%E1%BB%9Fi%20%C4%91i%E1%BB%83m%20so%20v%E1%BB%9Bi%20t%E1%BB%91i%20thi%E1%BB%83u%20v%C3%B9ng.xlsx?d=w14a3b68bc1af4864b578a2b7ade680a0&amp;csf=1&amp;web=1&amp;e=zLBThX" TargetMode="External"/><Relationship Id="rId14" Type="http://schemas.openxmlformats.org/officeDocument/2006/relationships/hyperlink" Target="https://vietnamairlines0-my.sharepoint.com/:x:/r/personal/vantt_vietnamairlines_com/Documents/2.D%E1%BB%B1%20%C3%A1n/Net%20Zero/3.%20Tri%E1%BB%83n%20khai/Netzero_T%C3%A0i%20li%E1%BB%87u%20b%C3%A0n%20giao/3.%20D%E1%BB%AF%20li%E1%BB%87u/D%E1%BB%AF%20li%E1%BB%87u%20nh%E1%BA%ADp%20th%E1%BB%A7%20c%C3%B4ng/T%E1%BB%95%20Khai%20th%C3%A1c%20-%20Bi%E1%BB%83u%20m%E1%BA%ABu%20tu%C3%A2n%20th%E1%BB%A7%20t%C3%ADn%20ch%E1%BB%89%20carbon%20(Compliance%20Form).xlsx?d=wbdf09680f29e458dbe810bba2c5406ad&amp;csf=1&amp;web=1&amp;e=KnPNRr" TargetMode="External"/><Relationship Id="rId22" Type="http://schemas.openxmlformats.org/officeDocument/2006/relationships/hyperlink" Target="https://vietnamairlines0-my.sharepoint.com/:x:/r/personal/vantt_vietnamairlines_com/Documents/2.D%E1%BB%B1%20%C3%A1n/Net%20Zero/3.%20Tri%E1%BB%83n%20khai/Netzero_T%C3%A0i%20li%E1%BB%87u%20b%C3%A0n%20giao/3.%20D%E1%BB%AF%20li%E1%BB%87u/D%E1%BB%AF%20li%E1%BB%87u%20nh%E1%BA%ADp%20th%E1%BB%A7%20c%C3%B4ng/T%E1%BB%95%20D%E1%BB%8Bch%20v%E1%BB%A5%20-%20GRI%20417-2%20-%20C%C3%A1c%20s%E1%BB%B1%20c%E1%BB%91%20vi%20ph%E1%BA%A1m%20v%E1%BB%81%20th%C3%B4ng%20tin%20v%C3%A0%20nh%C3%A3n%20s%E1%BA%A3n%20ph%E1%BA%A9m_d%E1%BB%8Bch%20v%E1%BB%A5.xlsx?d=wbb9a1a0f2327452d974a88dde6f6763d&amp;csf=1&amp;web=1&amp;e=QMUGY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79217-6ABB-407E-B5F8-ED1A86BB53C1}">
  <sheetPr>
    <tabColor rgb="FF1D4E89"/>
  </sheetPr>
  <dimension ref="A1:E17"/>
  <sheetViews>
    <sheetView showGridLines="0" workbookViewId="0">
      <pane ySplit="5" topLeftCell="A6" activePane="bottomLeft" state="frozen"/>
      <selection pane="bottomLeft" activeCell="B6" sqref="B6"/>
    </sheetView>
  </sheetViews>
  <sheetFormatPr baseColWidth="10" defaultColWidth="8.83203125" defaultRowHeight="15" x14ac:dyDescent="0.2"/>
  <cols>
    <col min="1" max="1" width="25.6640625" customWidth="1"/>
    <col min="2" max="4" width="35.33203125" customWidth="1"/>
    <col min="5" max="5" width="17.1640625" customWidth="1"/>
  </cols>
  <sheetData>
    <row r="1" spans="1:5" ht="21" x14ac:dyDescent="0.25">
      <c r="A1" s="14" t="s">
        <v>0</v>
      </c>
      <c r="B1" s="14"/>
      <c r="C1" s="14"/>
      <c r="D1" s="14"/>
      <c r="E1" s="14"/>
    </row>
    <row r="2" spans="1:5" x14ac:dyDescent="0.2">
      <c r="A2" s="15" t="s">
        <v>1</v>
      </c>
      <c r="B2" t="s">
        <v>2</v>
      </c>
    </row>
    <row r="3" spans="1:5" x14ac:dyDescent="0.2">
      <c r="A3" s="15"/>
      <c r="B3" s="13"/>
    </row>
    <row r="4" spans="1:5" x14ac:dyDescent="0.2">
      <c r="B4" s="21"/>
      <c r="C4" s="21"/>
      <c r="D4" s="21"/>
    </row>
    <row r="5" spans="1:5" ht="16" x14ac:dyDescent="0.2">
      <c r="A5" s="17" t="s">
        <v>3</v>
      </c>
      <c r="B5" s="22" t="s">
        <v>4</v>
      </c>
      <c r="C5" s="25" t="s">
        <v>5</v>
      </c>
      <c r="D5" s="28" t="s">
        <v>6</v>
      </c>
      <c r="E5" s="17" t="s">
        <v>7</v>
      </c>
    </row>
    <row r="6" spans="1:5" ht="16" x14ac:dyDescent="0.2">
      <c r="A6" s="18" t="s">
        <v>8</v>
      </c>
      <c r="B6" s="23" t="e">
        <f>COUNTIF(#REF!,"Done")</f>
        <v>#REF!</v>
      </c>
      <c r="C6" s="26" t="e">
        <f>COUNTIF(#REF!,"Inreview")</f>
        <v>#REF!</v>
      </c>
      <c r="D6" s="29" t="e">
        <f>COUNTIF(#REF!,"In progress")</f>
        <v>#REF!</v>
      </c>
      <c r="E6" s="18">
        <f>MAX(COUNTA(#REF!)-1,0)</f>
        <v>0</v>
      </c>
    </row>
    <row r="7" spans="1:5" x14ac:dyDescent="0.2">
      <c r="A7" s="19"/>
      <c r="B7" s="23"/>
      <c r="C7" s="26"/>
      <c r="D7" s="29"/>
      <c r="E7" s="19"/>
    </row>
    <row r="8" spans="1:5" ht="16" x14ac:dyDescent="0.2">
      <c r="A8" s="20" t="s">
        <v>9</v>
      </c>
      <c r="B8" s="23" t="s">
        <v>4</v>
      </c>
      <c r="C8" s="26" t="s">
        <v>5</v>
      </c>
      <c r="D8" s="29" t="s">
        <v>6</v>
      </c>
      <c r="E8" s="19"/>
    </row>
    <row r="9" spans="1:5" ht="16" x14ac:dyDescent="0.2">
      <c r="A9" s="19" t="s">
        <v>10</v>
      </c>
      <c r="B9" s="23" t="str" cm="1">
        <f t="array" ref="B9">IFERROR(_xlfn.TEXTJOIN(", ",TRUE,_xlfn.UNIQUE(_xlfn._xlws.FILTER(#REF!,(#REF!="Done")*(#REF!&lt;&gt;"")))),"")</f>
        <v/>
      </c>
      <c r="C9" s="26" t="str" cm="1">
        <f t="array" ref="C9">IFERROR(_xlfn.TEXTJOIN(", ",TRUE,_xlfn.UNIQUE(_xlfn._xlws.FILTER(#REF!,(#REF!="Inreview")*(#REF!&lt;&gt;"")))),"")</f>
        <v/>
      </c>
      <c r="D9" s="29" t="str" cm="1">
        <f t="array" ref="D9">IFERROR(_xlfn.TEXTJOIN(", ",TRUE,_xlfn.UNIQUE(_xlfn._xlws.FILTER(#REF!,(#REF!="In progress")*(#REF!&lt;&gt;"")))),"")</f>
        <v/>
      </c>
      <c r="E9" s="19"/>
    </row>
    <row r="10" spans="1:5" ht="16" x14ac:dyDescent="0.2">
      <c r="A10" s="19" t="s">
        <v>11</v>
      </c>
      <c r="B10" s="24" t="str" cm="1">
        <f t="array" ref="B10">IFERROR(_xlfn.TEXTJOIN("; ",TRUE,_xlfn.UNIQUE(TRIM(SUBSTITUTE(SUBSTITUTE(SUBSTITUTE(_xlfn._xlws.FILTER(#REF!,(#REF!="Done")*(#REF!&lt;&gt;"")),CHAR(10)," / "),"- ",""),"-","")))),"")</f>
        <v/>
      </c>
      <c r="C10" s="27" t="str" cm="1">
        <f t="array" ref="C10">IFERROR(_xlfn.TEXTJOIN("; ",TRUE,_xlfn.UNIQUE(TRIM(SUBSTITUTE(SUBSTITUTE(SUBSTITUTE(_xlfn._xlws.FILTER(#REF!,(#REF!="Inreview")*(#REF!&lt;&gt;"")),CHAR(10)," / "),"- ",""),"-","")))),"")</f>
        <v/>
      </c>
      <c r="D10" s="30" t="str" cm="1">
        <f t="array" ref="D10">IFERROR(_xlfn.TEXTJOIN("; ",TRUE,_xlfn.UNIQUE(TRIM(SUBSTITUTE(SUBSTITUTE(SUBSTITUTE(_xlfn._xlws.FILTER(#REF!,(#REF!="In progress")*(#REF!&lt;&gt;"")),CHAR(10)," / "),"- ",""),"-","")))),"")</f>
        <v/>
      </c>
      <c r="E10" s="19"/>
    </row>
    <row r="11" spans="1:5" x14ac:dyDescent="0.2">
      <c r="A11" s="16"/>
      <c r="B11" s="19"/>
      <c r="C11" s="19"/>
      <c r="D11" s="19"/>
      <c r="E11" s="16"/>
    </row>
    <row r="12" spans="1:5" x14ac:dyDescent="0.2">
      <c r="A12" s="16"/>
      <c r="B12" s="16"/>
      <c r="C12" s="16"/>
      <c r="D12" s="16"/>
      <c r="E12" s="16"/>
    </row>
    <row r="13" spans="1:5" x14ac:dyDescent="0.2">
      <c r="A13" s="16"/>
      <c r="B13" s="16"/>
      <c r="C13" s="16"/>
      <c r="D13" s="16"/>
      <c r="E13" s="16"/>
    </row>
    <row r="14" spans="1:5" x14ac:dyDescent="0.2">
      <c r="A14" s="16"/>
      <c r="B14" s="16"/>
      <c r="C14" s="16"/>
      <c r="D14" s="16"/>
      <c r="E14" s="16"/>
    </row>
    <row r="15" spans="1:5" x14ac:dyDescent="0.2">
      <c r="A15" s="16"/>
      <c r="B15" s="16"/>
      <c r="C15" s="16"/>
      <c r="D15" s="16"/>
      <c r="E15" s="16"/>
    </row>
    <row r="16" spans="1:5" x14ac:dyDescent="0.2">
      <c r="A16" s="16"/>
      <c r="B16" s="16"/>
      <c r="C16" s="16"/>
      <c r="D16" s="16"/>
      <c r="E16" s="16"/>
    </row>
    <row r="17" spans="1:5" x14ac:dyDescent="0.2">
      <c r="A17" s="16"/>
      <c r="B17" s="16"/>
      <c r="C17" s="16"/>
      <c r="D17" s="16"/>
      <c r="E17" s="1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98BB0-A7B1-4765-8DF0-2593E130EB8D}">
  <dimension ref="A1:O24"/>
  <sheetViews>
    <sheetView tabSelected="1" workbookViewId="0">
      <selection activeCell="C33" sqref="C33"/>
    </sheetView>
  </sheetViews>
  <sheetFormatPr baseColWidth="10" defaultColWidth="9.1640625" defaultRowHeight="15" x14ac:dyDescent="0.2"/>
  <cols>
    <col min="1" max="1" width="5.5" customWidth="1"/>
    <col min="2" max="2" width="19.5" customWidth="1"/>
    <col min="3" max="3" width="43.5" customWidth="1"/>
    <col min="4" max="4" width="34.33203125" customWidth="1"/>
    <col min="5" max="5" width="34.33203125" hidden="1" customWidth="1"/>
    <col min="6" max="6" width="32" hidden="1" customWidth="1"/>
    <col min="7" max="7" width="28.6640625" hidden="1" customWidth="1"/>
    <col min="8" max="8" width="9.5" hidden="1" customWidth="1"/>
    <col min="9" max="9" width="24.1640625" hidden="1" customWidth="1"/>
    <col min="10" max="10" width="0" hidden="1" customWidth="1"/>
    <col min="11" max="11" width="42" hidden="1" customWidth="1"/>
    <col min="12" max="12" width="22" hidden="1" customWidth="1"/>
    <col min="13" max="13" width="0" hidden="1" customWidth="1"/>
    <col min="14" max="14" width="31.33203125" customWidth="1"/>
  </cols>
  <sheetData>
    <row r="1" spans="1:15" ht="32" x14ac:dyDescent="0.2">
      <c r="A1" s="47" t="s">
        <v>12</v>
      </c>
      <c r="B1" s="39" t="s">
        <v>13</v>
      </c>
      <c r="C1" s="39" t="s">
        <v>14</v>
      </c>
      <c r="D1" s="39" t="s">
        <v>15</v>
      </c>
      <c r="E1" s="39" t="s">
        <v>16</v>
      </c>
      <c r="F1" s="39" t="s">
        <v>17</v>
      </c>
      <c r="G1" s="39" t="s">
        <v>18</v>
      </c>
      <c r="H1" s="39" t="s">
        <v>19</v>
      </c>
      <c r="I1" s="39" t="s">
        <v>20</v>
      </c>
      <c r="J1" s="39" t="s">
        <v>21</v>
      </c>
      <c r="K1" s="39" t="s">
        <v>22</v>
      </c>
      <c r="L1" s="39" t="s">
        <v>23</v>
      </c>
      <c r="M1" s="39" t="s">
        <v>24</v>
      </c>
      <c r="N1" s="50" t="s">
        <v>25</v>
      </c>
      <c r="O1" s="21"/>
    </row>
    <row r="2" spans="1:15" ht="34" x14ac:dyDescent="0.2">
      <c r="A2" s="38">
        <v>1</v>
      </c>
      <c r="B2" s="31" t="s">
        <v>26</v>
      </c>
      <c r="C2" s="31" t="s">
        <v>27</v>
      </c>
      <c r="D2" s="32" t="s">
        <v>28</v>
      </c>
      <c r="E2" s="32"/>
      <c r="F2" s="33" t="s">
        <v>29</v>
      </c>
      <c r="G2" s="31"/>
      <c r="H2" s="31" t="s">
        <v>30</v>
      </c>
      <c r="I2" s="34" t="s">
        <v>31</v>
      </c>
      <c r="J2" s="31" t="s">
        <v>32</v>
      </c>
      <c r="K2" s="31"/>
      <c r="L2" s="31" t="s">
        <v>4</v>
      </c>
      <c r="M2" s="31">
        <v>1</v>
      </c>
      <c r="N2" s="37" t="s">
        <v>33</v>
      </c>
      <c r="O2" s="21"/>
    </row>
    <row r="3" spans="1:15" ht="16" x14ac:dyDescent="0.2">
      <c r="A3" s="38">
        <v>2</v>
      </c>
      <c r="B3" s="31" t="s">
        <v>34</v>
      </c>
      <c r="C3" s="31" t="s">
        <v>35</v>
      </c>
      <c r="D3" s="32" t="s">
        <v>36</v>
      </c>
      <c r="E3" s="32"/>
      <c r="F3" s="31" t="s">
        <v>37</v>
      </c>
      <c r="G3" s="31"/>
      <c r="H3" s="31" t="s">
        <v>38</v>
      </c>
      <c r="I3" s="34" t="s">
        <v>39</v>
      </c>
      <c r="J3" s="31" t="s">
        <v>32</v>
      </c>
      <c r="K3" s="34" t="s">
        <v>40</v>
      </c>
      <c r="L3" s="31" t="s">
        <v>4</v>
      </c>
      <c r="M3" s="31">
        <v>1</v>
      </c>
      <c r="N3" s="37" t="s">
        <v>33</v>
      </c>
      <c r="O3" s="21"/>
    </row>
    <row r="4" spans="1:15" ht="96" x14ac:dyDescent="0.2">
      <c r="A4" s="38">
        <v>3</v>
      </c>
      <c r="B4" s="31" t="s">
        <v>41</v>
      </c>
      <c r="C4" s="31" t="s">
        <v>42</v>
      </c>
      <c r="D4" s="32" t="s">
        <v>43</v>
      </c>
      <c r="E4" s="32"/>
      <c r="F4" s="31" t="s">
        <v>44</v>
      </c>
      <c r="G4" s="31"/>
      <c r="H4" s="31" t="s">
        <v>45</v>
      </c>
      <c r="I4" s="34" t="s">
        <v>46</v>
      </c>
      <c r="J4" s="31" t="s">
        <v>32</v>
      </c>
      <c r="K4" s="35" t="s">
        <v>47</v>
      </c>
      <c r="L4" s="31" t="s">
        <v>4</v>
      </c>
      <c r="M4" s="31">
        <v>1</v>
      </c>
      <c r="N4" s="37" t="s">
        <v>33</v>
      </c>
      <c r="O4" s="21"/>
    </row>
    <row r="5" spans="1:15" ht="48" x14ac:dyDescent="0.2">
      <c r="A5" s="38"/>
      <c r="B5" s="31"/>
      <c r="C5" s="31"/>
      <c r="D5" s="32" t="s">
        <v>48</v>
      </c>
      <c r="E5" s="32"/>
      <c r="F5" s="31" t="s">
        <v>44</v>
      </c>
      <c r="G5" s="31"/>
      <c r="H5" s="31" t="s">
        <v>45</v>
      </c>
      <c r="I5" s="34" t="s">
        <v>46</v>
      </c>
      <c r="J5" s="31" t="s">
        <v>32</v>
      </c>
      <c r="K5" s="35"/>
      <c r="L5" s="44" t="s">
        <v>49</v>
      </c>
      <c r="M5" s="31">
        <v>1</v>
      </c>
      <c r="N5" s="37" t="s">
        <v>33</v>
      </c>
      <c r="O5" s="21"/>
    </row>
    <row r="6" spans="1:15" ht="16" x14ac:dyDescent="0.2">
      <c r="A6" s="38"/>
      <c r="B6" s="31"/>
      <c r="C6" s="31"/>
      <c r="D6" s="36" t="s">
        <v>50</v>
      </c>
      <c r="E6" s="36"/>
      <c r="F6" s="31" t="s">
        <v>51</v>
      </c>
      <c r="G6" s="31"/>
      <c r="H6" s="31" t="s">
        <v>45</v>
      </c>
      <c r="I6" s="34" t="s">
        <v>52</v>
      </c>
      <c r="J6" s="31" t="s">
        <v>32</v>
      </c>
      <c r="K6" s="31"/>
      <c r="L6" s="31" t="s">
        <v>4</v>
      </c>
      <c r="M6" s="31">
        <v>1</v>
      </c>
      <c r="N6" s="37" t="s">
        <v>33</v>
      </c>
      <c r="O6" s="21"/>
    </row>
    <row r="7" spans="1:15" ht="64" x14ac:dyDescent="0.2">
      <c r="A7" s="38">
        <v>4</v>
      </c>
      <c r="B7" s="31" t="s">
        <v>53</v>
      </c>
      <c r="C7" s="31" t="s">
        <v>54</v>
      </c>
      <c r="D7" s="32" t="s">
        <v>55</v>
      </c>
      <c r="E7" s="32"/>
      <c r="F7" s="31" t="s">
        <v>44</v>
      </c>
      <c r="G7" s="31"/>
      <c r="H7" s="31" t="s">
        <v>56</v>
      </c>
      <c r="I7" s="34" t="s">
        <v>57</v>
      </c>
      <c r="J7" s="31" t="s">
        <v>32</v>
      </c>
      <c r="K7" s="31" t="s">
        <v>58</v>
      </c>
      <c r="L7" s="34" t="s">
        <v>59</v>
      </c>
      <c r="M7" s="31">
        <v>1</v>
      </c>
      <c r="N7" s="37" t="s">
        <v>33</v>
      </c>
      <c r="O7" s="21"/>
    </row>
    <row r="8" spans="1:15" ht="48" x14ac:dyDescent="0.2">
      <c r="A8" s="38">
        <v>5</v>
      </c>
      <c r="B8" s="31" t="s">
        <v>60</v>
      </c>
      <c r="C8" s="31" t="s">
        <v>61</v>
      </c>
      <c r="D8" s="32" t="s">
        <v>62</v>
      </c>
      <c r="E8" s="32"/>
      <c r="F8" s="31" t="s">
        <v>44</v>
      </c>
      <c r="G8" s="31"/>
      <c r="H8" s="31" t="s">
        <v>38</v>
      </c>
      <c r="I8" s="34" t="s">
        <v>63</v>
      </c>
      <c r="J8" s="31" t="s">
        <v>32</v>
      </c>
      <c r="K8" s="31" t="s">
        <v>64</v>
      </c>
      <c r="L8" s="34" t="s">
        <v>59</v>
      </c>
      <c r="M8" s="31">
        <v>1</v>
      </c>
      <c r="N8" s="37" t="s">
        <v>33</v>
      </c>
      <c r="O8" s="21"/>
    </row>
    <row r="9" spans="1:15" ht="48" x14ac:dyDescent="0.2">
      <c r="A9" s="38">
        <v>6</v>
      </c>
      <c r="B9" s="31" t="s">
        <v>65</v>
      </c>
      <c r="C9" s="31" t="s">
        <v>66</v>
      </c>
      <c r="D9" s="32" t="s">
        <v>67</v>
      </c>
      <c r="E9" s="32"/>
      <c r="F9" s="31" t="s">
        <v>44</v>
      </c>
      <c r="G9" s="31"/>
      <c r="H9" s="31" t="s">
        <v>45</v>
      </c>
      <c r="I9" s="34"/>
      <c r="J9" s="31" t="s">
        <v>32</v>
      </c>
      <c r="K9" s="31"/>
      <c r="L9" s="34" t="s">
        <v>68</v>
      </c>
      <c r="M9" s="31">
        <v>1</v>
      </c>
      <c r="N9" s="37" t="s">
        <v>33</v>
      </c>
      <c r="O9" s="21"/>
    </row>
    <row r="10" spans="1:15" ht="32" x14ac:dyDescent="0.2">
      <c r="A10" s="38">
        <v>7</v>
      </c>
      <c r="B10" s="31" t="s">
        <v>69</v>
      </c>
      <c r="C10" s="31" t="s">
        <v>70</v>
      </c>
      <c r="D10" s="32" t="s">
        <v>71</v>
      </c>
      <c r="E10" s="32"/>
      <c r="F10" s="31" t="s">
        <v>44</v>
      </c>
      <c r="G10" s="31"/>
      <c r="H10" s="31" t="s">
        <v>45</v>
      </c>
      <c r="I10" s="34"/>
      <c r="J10" s="31" t="s">
        <v>32</v>
      </c>
      <c r="K10" s="31"/>
      <c r="L10" s="34" t="s">
        <v>68</v>
      </c>
      <c r="M10" s="31">
        <v>1</v>
      </c>
      <c r="N10" s="37" t="s">
        <v>33</v>
      </c>
      <c r="O10" s="21"/>
    </row>
    <row r="11" spans="1:15" ht="48" x14ac:dyDescent="0.2">
      <c r="A11" s="38">
        <v>8</v>
      </c>
      <c r="B11" s="31" t="s">
        <v>72</v>
      </c>
      <c r="C11" s="31" t="s">
        <v>73</v>
      </c>
      <c r="D11" s="32" t="s">
        <v>74</v>
      </c>
      <c r="E11" s="32"/>
      <c r="F11" s="31" t="s">
        <v>44</v>
      </c>
      <c r="G11" s="31"/>
      <c r="H11" s="31" t="s">
        <v>38</v>
      </c>
      <c r="I11" s="34" t="s">
        <v>63</v>
      </c>
      <c r="J11" s="31" t="s">
        <v>75</v>
      </c>
      <c r="K11" s="34"/>
      <c r="L11" s="34" t="s">
        <v>49</v>
      </c>
      <c r="M11" s="31">
        <v>1</v>
      </c>
      <c r="N11" s="37" t="s">
        <v>33</v>
      </c>
      <c r="O11" s="21"/>
    </row>
    <row r="12" spans="1:15" ht="64" x14ac:dyDescent="0.2">
      <c r="A12" s="38">
        <v>9</v>
      </c>
      <c r="B12" s="31" t="s">
        <v>76</v>
      </c>
      <c r="C12" s="31" t="s">
        <v>77</v>
      </c>
      <c r="D12" s="32" t="s">
        <v>78</v>
      </c>
      <c r="E12" s="32"/>
      <c r="F12" s="31" t="s">
        <v>79</v>
      </c>
      <c r="G12" s="31"/>
      <c r="H12" s="31" t="s">
        <v>38</v>
      </c>
      <c r="I12" s="34" t="s">
        <v>63</v>
      </c>
      <c r="J12" s="31" t="s">
        <v>75</v>
      </c>
      <c r="K12" s="34" t="s">
        <v>80</v>
      </c>
      <c r="L12" s="34" t="s">
        <v>49</v>
      </c>
      <c r="M12" s="31">
        <v>2</v>
      </c>
      <c r="N12" s="37" t="s">
        <v>33</v>
      </c>
      <c r="O12" s="21"/>
    </row>
    <row r="13" spans="1:15" ht="64" x14ac:dyDescent="0.2">
      <c r="A13" s="38">
        <v>10</v>
      </c>
      <c r="B13" s="31" t="s">
        <v>81</v>
      </c>
      <c r="C13" s="31" t="s">
        <v>82</v>
      </c>
      <c r="D13" s="32" t="s">
        <v>83</v>
      </c>
      <c r="E13" s="32"/>
      <c r="F13" s="31" t="s">
        <v>79</v>
      </c>
      <c r="G13" s="31"/>
      <c r="H13" s="31" t="s">
        <v>38</v>
      </c>
      <c r="I13" s="34" t="s">
        <v>63</v>
      </c>
      <c r="J13" s="31" t="s">
        <v>75</v>
      </c>
      <c r="K13" s="31"/>
      <c r="L13" s="34" t="s">
        <v>49</v>
      </c>
      <c r="M13" s="31">
        <v>1</v>
      </c>
      <c r="N13" s="37" t="s">
        <v>33</v>
      </c>
      <c r="O13" s="21"/>
    </row>
    <row r="14" spans="1:15" ht="80" x14ac:dyDescent="0.2">
      <c r="A14" s="38">
        <v>11</v>
      </c>
      <c r="B14" s="31" t="s">
        <v>84</v>
      </c>
      <c r="C14" s="31" t="s">
        <v>85</v>
      </c>
      <c r="D14" s="32" t="s">
        <v>86</v>
      </c>
      <c r="E14" s="32"/>
      <c r="F14" s="31" t="s">
        <v>44</v>
      </c>
      <c r="G14" s="31"/>
      <c r="H14" s="31" t="s">
        <v>87</v>
      </c>
      <c r="I14" s="34" t="s">
        <v>88</v>
      </c>
      <c r="J14" s="31" t="s">
        <v>75</v>
      </c>
      <c r="K14" s="31"/>
      <c r="L14" s="34" t="s">
        <v>49</v>
      </c>
      <c r="M14" s="31">
        <v>1</v>
      </c>
      <c r="N14" s="37" t="s">
        <v>33</v>
      </c>
      <c r="O14" s="21"/>
    </row>
    <row r="15" spans="1:15" ht="64" x14ac:dyDescent="0.2">
      <c r="A15" s="38">
        <v>12</v>
      </c>
      <c r="B15" s="31" t="s">
        <v>89</v>
      </c>
      <c r="C15" s="31" t="s">
        <v>90</v>
      </c>
      <c r="D15" s="32" t="s">
        <v>91</v>
      </c>
      <c r="E15" s="32"/>
      <c r="F15" s="31" t="s">
        <v>44</v>
      </c>
      <c r="G15" s="31"/>
      <c r="H15" s="31" t="s">
        <v>87</v>
      </c>
      <c r="I15" s="34" t="s">
        <v>88</v>
      </c>
      <c r="J15" s="31" t="s">
        <v>75</v>
      </c>
      <c r="K15" s="31"/>
      <c r="L15" s="34" t="s">
        <v>49</v>
      </c>
      <c r="M15" s="31">
        <v>1</v>
      </c>
      <c r="N15" s="37" t="s">
        <v>33</v>
      </c>
      <c r="O15" s="21"/>
    </row>
    <row r="16" spans="1:15" ht="48" x14ac:dyDescent="0.2">
      <c r="A16" s="38">
        <v>13</v>
      </c>
      <c r="B16" s="31" t="s">
        <v>92</v>
      </c>
      <c r="C16" s="31" t="s">
        <v>93</v>
      </c>
      <c r="D16" s="32" t="s">
        <v>94</v>
      </c>
      <c r="E16" s="32"/>
      <c r="F16" s="34" t="s">
        <v>95</v>
      </c>
      <c r="G16" s="31"/>
      <c r="H16" s="31" t="s">
        <v>96</v>
      </c>
      <c r="I16" s="34" t="s">
        <v>97</v>
      </c>
      <c r="J16" s="31" t="s">
        <v>75</v>
      </c>
      <c r="K16" s="31"/>
      <c r="L16" s="34" t="s">
        <v>49</v>
      </c>
      <c r="M16" s="31">
        <v>1</v>
      </c>
      <c r="N16" s="51" t="s">
        <v>33</v>
      </c>
      <c r="O16" s="21"/>
    </row>
    <row r="17" spans="1:15" ht="80" x14ac:dyDescent="0.2">
      <c r="A17" s="38">
        <v>14</v>
      </c>
      <c r="B17" s="31" t="s">
        <v>98</v>
      </c>
      <c r="C17" s="31" t="s">
        <v>99</v>
      </c>
      <c r="D17" s="32" t="s">
        <v>100</v>
      </c>
      <c r="E17" s="32"/>
      <c r="F17" s="34" t="s">
        <v>101</v>
      </c>
      <c r="G17" s="31"/>
      <c r="H17" s="31" t="s">
        <v>102</v>
      </c>
      <c r="I17" s="34" t="s">
        <v>103</v>
      </c>
      <c r="J17" s="31" t="s">
        <v>104</v>
      </c>
      <c r="K17" s="31" t="s">
        <v>105</v>
      </c>
      <c r="L17" s="31"/>
      <c r="M17" s="31">
        <v>1</v>
      </c>
      <c r="N17" s="37" t="s">
        <v>33</v>
      </c>
      <c r="O17" s="21"/>
    </row>
    <row r="18" spans="1:15" ht="32" x14ac:dyDescent="0.2">
      <c r="A18" s="38">
        <v>15</v>
      </c>
      <c r="B18" s="31" t="s">
        <v>98</v>
      </c>
      <c r="C18" s="31" t="s">
        <v>106</v>
      </c>
      <c r="D18" s="32" t="s">
        <v>107</v>
      </c>
      <c r="E18" s="32"/>
      <c r="F18" s="34" t="s">
        <v>108</v>
      </c>
      <c r="G18" s="31"/>
      <c r="H18" s="31" t="s">
        <v>109</v>
      </c>
      <c r="I18" s="34" t="s">
        <v>110</v>
      </c>
      <c r="J18" s="31" t="s">
        <v>104</v>
      </c>
      <c r="K18" s="31" t="s">
        <v>111</v>
      </c>
      <c r="L18" s="31"/>
      <c r="M18" s="31">
        <v>1</v>
      </c>
      <c r="N18" s="37" t="s">
        <v>33</v>
      </c>
      <c r="O18" s="21"/>
    </row>
    <row r="19" spans="1:15" ht="48" x14ac:dyDescent="0.2">
      <c r="A19" s="38">
        <v>16</v>
      </c>
      <c r="B19" s="31" t="s">
        <v>112</v>
      </c>
      <c r="C19" s="31" t="s">
        <v>113</v>
      </c>
      <c r="D19" s="32" t="s">
        <v>114</v>
      </c>
      <c r="E19" s="32"/>
      <c r="F19" s="31" t="s">
        <v>115</v>
      </c>
      <c r="G19" s="31"/>
      <c r="H19" s="31" t="s">
        <v>109</v>
      </c>
      <c r="I19" s="34" t="s">
        <v>116</v>
      </c>
      <c r="J19" s="31" t="s">
        <v>104</v>
      </c>
      <c r="K19" s="31"/>
      <c r="L19" s="34" t="s">
        <v>49</v>
      </c>
      <c r="M19" s="31">
        <v>1</v>
      </c>
      <c r="N19" s="37" t="s">
        <v>117</v>
      </c>
      <c r="O19" s="21"/>
    </row>
    <row r="20" spans="1:15" ht="32" x14ac:dyDescent="0.2">
      <c r="A20" s="38">
        <v>17</v>
      </c>
      <c r="B20" s="31" t="s">
        <v>118</v>
      </c>
      <c r="C20" s="31" t="s">
        <v>119</v>
      </c>
      <c r="D20" s="32" t="s">
        <v>120</v>
      </c>
      <c r="E20" s="32"/>
      <c r="F20" s="31" t="s">
        <v>44</v>
      </c>
      <c r="G20" s="31"/>
      <c r="H20" s="31" t="s">
        <v>45</v>
      </c>
      <c r="I20" s="34" t="s">
        <v>121</v>
      </c>
      <c r="J20" s="31" t="s">
        <v>122</v>
      </c>
      <c r="K20" s="31"/>
      <c r="L20" s="34" t="s">
        <v>123</v>
      </c>
      <c r="M20" s="31">
        <v>1</v>
      </c>
      <c r="N20" s="37" t="s">
        <v>124</v>
      </c>
      <c r="O20" s="21"/>
    </row>
    <row r="21" spans="1:15" ht="48" x14ac:dyDescent="0.2">
      <c r="A21" s="48">
        <v>18</v>
      </c>
      <c r="B21" s="40" t="s">
        <v>125</v>
      </c>
      <c r="C21" s="40" t="s">
        <v>126</v>
      </c>
      <c r="D21" s="41" t="s">
        <v>127</v>
      </c>
      <c r="E21" s="41"/>
      <c r="F21" s="40" t="s">
        <v>128</v>
      </c>
      <c r="G21" s="40"/>
      <c r="H21" s="40" t="s">
        <v>45</v>
      </c>
      <c r="I21" s="42" t="s">
        <v>129</v>
      </c>
      <c r="J21" s="40" t="s">
        <v>104</v>
      </c>
      <c r="K21" s="40"/>
      <c r="L21" s="42" t="s">
        <v>130</v>
      </c>
      <c r="M21" s="40">
        <v>1</v>
      </c>
      <c r="N21" s="37" t="s">
        <v>124</v>
      </c>
      <c r="O21" s="21"/>
    </row>
    <row r="22" spans="1:15" ht="32" x14ac:dyDescent="0.2">
      <c r="A22" s="38">
        <v>19</v>
      </c>
      <c r="B22" s="31" t="s">
        <v>131</v>
      </c>
      <c r="C22" s="31" t="s">
        <v>132</v>
      </c>
      <c r="D22" s="32" t="s">
        <v>133</v>
      </c>
      <c r="E22" s="32"/>
      <c r="F22" s="31" t="s">
        <v>44</v>
      </c>
      <c r="G22" s="31"/>
      <c r="H22" s="31" t="s">
        <v>45</v>
      </c>
      <c r="I22" s="34" t="s">
        <v>134</v>
      </c>
      <c r="J22" s="31" t="s">
        <v>104</v>
      </c>
      <c r="K22" s="31"/>
      <c r="L22" s="34" t="s">
        <v>123</v>
      </c>
      <c r="M22" s="31">
        <v>1</v>
      </c>
      <c r="N22" s="37" t="s">
        <v>33</v>
      </c>
      <c r="O22" s="21"/>
    </row>
    <row r="23" spans="1:15" ht="32" x14ac:dyDescent="0.2">
      <c r="A23" s="49">
        <v>20</v>
      </c>
      <c r="B23" s="43" t="s">
        <v>135</v>
      </c>
      <c r="C23" s="43" t="s">
        <v>136</v>
      </c>
      <c r="D23" s="45" t="s">
        <v>137</v>
      </c>
      <c r="E23" s="45"/>
      <c r="F23" s="43" t="s">
        <v>128</v>
      </c>
      <c r="G23" s="43"/>
      <c r="H23" s="43" t="s">
        <v>38</v>
      </c>
      <c r="I23" s="46" t="s">
        <v>138</v>
      </c>
      <c r="J23" s="43" t="s">
        <v>122</v>
      </c>
      <c r="K23" s="43" t="s">
        <v>139</v>
      </c>
      <c r="L23" s="46" t="s">
        <v>140</v>
      </c>
      <c r="M23" s="43">
        <v>2</v>
      </c>
      <c r="N23" s="52" t="s">
        <v>33</v>
      </c>
      <c r="O23" s="21"/>
    </row>
    <row r="24" spans="1:15" x14ac:dyDescent="0.2">
      <c r="A24" s="21"/>
      <c r="B24" s="21"/>
      <c r="C24" s="21"/>
      <c r="D24" s="21"/>
      <c r="E24" s="21"/>
      <c r="F24" s="21"/>
      <c r="G24" s="21"/>
      <c r="H24" s="21"/>
      <c r="I24" s="21"/>
      <c r="J24" s="21"/>
      <c r="K24" s="21"/>
      <c r="L24" s="21"/>
      <c r="M24" s="21"/>
      <c r="N24" s="21"/>
    </row>
  </sheetData>
  <autoFilter ref="S5" xr:uid="{2C398BB0-A7B1-4765-8DF0-2593E130EB8D}"/>
  <dataValidations count="3">
    <dataValidation type="list" allowBlank="1" showInputMessage="1" showErrorMessage="1" errorTitle="Trạng thái không hợp lệ" error="Vui lòng chọn trạng thái từ danh sách dropdown." promptTitle="Trạng thái" prompt="Chọn một trong các trạng thái: Done, Inreview, In progress." sqref="L17:L18 L3:L4 L6" xr:uid="{30FF4CAB-AA45-477F-BF72-43F2397B859A}">
      <formula1>"Done,Inreview,In progress"</formula1>
    </dataValidation>
    <dataValidation allowBlank="1" showInputMessage="1" showErrorMessage="1" errorTitle="Trạng thái không hợp lệ" error="Vui lòng chọn trạng thái từ danh sách dropdown." promptTitle="Trạng thái" prompt="Chọn một trong các trạng thái: Done, Inreview, In progress." sqref="L2 L7:L8" xr:uid="{B8147F7C-F5E2-4AE8-BBDB-FF476A7B5524}"/>
    <dataValidation allowBlank="1" showInputMessage="1" showErrorMessage="1" sqref="L9:L10" xr:uid="{86A72358-D97E-428D-922B-CCB41AC5050A}"/>
  </dataValidations>
  <hyperlinks>
    <hyperlink ref="D2" r:id="rId1" xr:uid="{C05B2844-9BBA-41DB-B31E-6BD8AC2D17DC}"/>
    <hyperlink ref="D3" r:id="rId2" xr:uid="{7BEDBEA8-45A7-4A8F-ADA7-D39C0E4E7F5D}"/>
    <hyperlink ref="D4" r:id="rId3" xr:uid="{01A4EFA4-827E-48B3-8C96-43AE0F165D69}"/>
    <hyperlink ref="D5" r:id="rId4" xr:uid="{50BEF025-388F-44A9-B07F-500005057E80}"/>
    <hyperlink ref="D7" r:id="rId5" xr:uid="{68A4EBAE-14FF-442D-A80F-BE0B258011A6}"/>
    <hyperlink ref="D11" r:id="rId6" xr:uid="{29F3F0C6-5F25-4176-8BC0-93BD90DCC271}"/>
    <hyperlink ref="D8" r:id="rId7" xr:uid="{B3BB9A6F-3738-4F0E-9A86-6482E955855D}"/>
    <hyperlink ref="D12" r:id="rId8" xr:uid="{0BF8E09D-DAFC-4972-88E3-47F2484A04C0}"/>
    <hyperlink ref="D13" r:id="rId9" xr:uid="{15B0AE79-A928-44A2-BFAA-1E5866518421}"/>
    <hyperlink ref="D14" r:id="rId10" xr:uid="{E971CFE5-99E9-4AFD-AA64-5F537A80DA3F}"/>
    <hyperlink ref="D15" r:id="rId11" xr:uid="{F18D249F-C641-4B60-AECF-F4E09166AC6F}"/>
    <hyperlink ref="D16" r:id="rId12" xr:uid="{99B90E43-1560-42A2-8114-10681E2419C8}"/>
    <hyperlink ref="D17" r:id="rId13" xr:uid="{B45429F7-4477-4C9B-815E-C3E5198DE484}"/>
    <hyperlink ref="D18" r:id="rId14" xr:uid="{D1DD5E8D-BCDE-4EC9-8F12-658570A7FE9A}"/>
    <hyperlink ref="D19" r:id="rId15" xr:uid="{B87B08E6-F9B6-4220-8ECC-04BEBADD623B}"/>
    <hyperlink ref="D20" r:id="rId16" xr:uid="{DB0DAEF1-6DC0-4B8F-8A68-BD943D5C8021}"/>
    <hyperlink ref="D21" r:id="rId17" xr:uid="{60FBD724-A3DD-407D-A881-314F1CD9DE29}"/>
    <hyperlink ref="D22" r:id="rId18" xr:uid="{04F96E1B-BE28-4191-A1F3-3FF110EE4798}"/>
    <hyperlink ref="D6" r:id="rId19" xr:uid="{5D8074C0-5441-4007-90BC-B687A42C54FA}"/>
    <hyperlink ref="D23" r:id="rId20" xr:uid="{154D9D72-8288-47D0-8FBD-57E93C5CFC8F}"/>
    <hyperlink ref="D9" r:id="rId21" xr:uid="{BF06CA67-1D4F-436D-BA10-1F60A7F7138D}"/>
    <hyperlink ref="D10" r:id="rId22" xr:uid="{28175412-C86A-4DD2-AB9E-468FB1790F5E}"/>
  </hyperlinks>
  <pageMargins left="0.7" right="0.7" top="0.75" bottom="0.75" header="0.3" footer="0.3"/>
  <tableParts count="1">
    <tablePart r:id="rId2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20D6C-C2F0-4BCE-86D3-169B67E9EBFB}">
  <dimension ref="B2:C2"/>
  <sheetViews>
    <sheetView workbookViewId="0">
      <selection activeCell="C2" sqref="C2"/>
    </sheetView>
  </sheetViews>
  <sheetFormatPr baseColWidth="10" defaultColWidth="8.83203125" defaultRowHeight="15" x14ac:dyDescent="0.2"/>
  <cols>
    <col min="3" max="3" width="15.5" bestFit="1" customWidth="1"/>
  </cols>
  <sheetData>
    <row r="2" spans="2:3" x14ac:dyDescent="0.2">
      <c r="B2" t="s">
        <v>141</v>
      </c>
      <c r="C2" s="11">
        <v>45000000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M20"/>
  <sheetViews>
    <sheetView workbookViewId="0">
      <selection activeCell="F17" sqref="F17"/>
    </sheetView>
  </sheetViews>
  <sheetFormatPr baseColWidth="10" defaultColWidth="14.5" defaultRowHeight="15" customHeight="1" outlineLevelCol="1" x14ac:dyDescent="0.2"/>
  <cols>
    <col min="1" max="1" width="22.6640625" customWidth="1" outlineLevel="1"/>
    <col min="2" max="2" width="8.33203125" customWidth="1" outlineLevel="1"/>
  </cols>
  <sheetData>
    <row r="1" spans="1:13" x14ac:dyDescent="0.2">
      <c r="A1" s="2" t="s">
        <v>142</v>
      </c>
      <c r="B1" s="3"/>
      <c r="D1" s="10" t="s">
        <v>143</v>
      </c>
      <c r="E1" s="10"/>
      <c r="G1" s="10" t="s">
        <v>144</v>
      </c>
      <c r="I1" s="10" t="s">
        <v>145</v>
      </c>
    </row>
    <row r="2" spans="1:13" x14ac:dyDescent="0.2">
      <c r="A2" s="4" t="s">
        <v>146</v>
      </c>
      <c r="B2" s="5">
        <v>1</v>
      </c>
      <c r="D2" s="12" t="s">
        <v>147</v>
      </c>
      <c r="E2" s="1"/>
      <c r="G2" s="1" t="s">
        <v>148</v>
      </c>
      <c r="I2" s="12" t="s">
        <v>149</v>
      </c>
    </row>
    <row r="3" spans="1:13" x14ac:dyDescent="0.2">
      <c r="A3" s="4" t="s">
        <v>150</v>
      </c>
      <c r="B3" s="5">
        <v>0.6</v>
      </c>
      <c r="D3" s="12" t="s">
        <v>151</v>
      </c>
      <c r="E3" s="1"/>
      <c r="G3" s="1" t="s">
        <v>152</v>
      </c>
      <c r="I3" s="12" t="s">
        <v>153</v>
      </c>
    </row>
    <row r="4" spans="1:13" x14ac:dyDescent="0.2">
      <c r="A4" s="4" t="s">
        <v>154</v>
      </c>
      <c r="B4" s="5">
        <v>0.75</v>
      </c>
      <c r="D4" s="12" t="s">
        <v>155</v>
      </c>
      <c r="G4" s="1" t="s">
        <v>156</v>
      </c>
      <c r="I4" s="12" t="s">
        <v>157</v>
      </c>
    </row>
    <row r="5" spans="1:13" x14ac:dyDescent="0.2">
      <c r="A5" s="4" t="s">
        <v>158</v>
      </c>
      <c r="B5" s="5">
        <v>1</v>
      </c>
      <c r="D5" s="12" t="s">
        <v>159</v>
      </c>
      <c r="G5" s="1" t="s">
        <v>160</v>
      </c>
      <c r="I5" s="12"/>
    </row>
    <row r="6" spans="1:13" x14ac:dyDescent="0.2">
      <c r="A6" s="6" t="s">
        <v>161</v>
      </c>
      <c r="B6" s="6">
        <v>1.2</v>
      </c>
      <c r="D6" s="12" t="s">
        <v>162</v>
      </c>
      <c r="G6" s="1" t="s">
        <v>163</v>
      </c>
      <c r="I6" s="12"/>
    </row>
    <row r="7" spans="1:13" x14ac:dyDescent="0.2">
      <c r="A7" s="6" t="s">
        <v>164</v>
      </c>
      <c r="B7" s="6">
        <v>1.2</v>
      </c>
      <c r="D7" s="12" t="s">
        <v>165</v>
      </c>
      <c r="G7" s="1" t="s">
        <v>166</v>
      </c>
      <c r="I7" s="12"/>
    </row>
    <row r="8" spans="1:13" x14ac:dyDescent="0.2">
      <c r="A8" s="7"/>
      <c r="B8" s="9"/>
      <c r="D8" s="12" t="s">
        <v>167</v>
      </c>
      <c r="G8" s="1" t="s">
        <v>168</v>
      </c>
      <c r="I8" s="12"/>
    </row>
    <row r="9" spans="1:13" x14ac:dyDescent="0.2">
      <c r="A9" s="7"/>
      <c r="B9" s="9"/>
      <c r="G9" s="1"/>
      <c r="I9" s="12"/>
    </row>
    <row r="10" spans="1:13" x14ac:dyDescent="0.2">
      <c r="A10" s="7"/>
      <c r="B10" s="9"/>
      <c r="I10" s="12"/>
    </row>
    <row r="11" spans="1:13" x14ac:dyDescent="0.2">
      <c r="A11" s="7"/>
      <c r="B11" s="9"/>
    </row>
    <row r="12" spans="1:13" x14ac:dyDescent="0.2">
      <c r="A12" s="8" t="s">
        <v>169</v>
      </c>
      <c r="B12" s="1"/>
      <c r="C12" s="8"/>
      <c r="D12" s="1"/>
      <c r="E12" s="8" t="s">
        <v>170</v>
      </c>
      <c r="F12" s="1"/>
      <c r="G12" s="8" t="s">
        <v>171</v>
      </c>
      <c r="H12" s="1"/>
      <c r="I12" s="8" t="s">
        <v>172</v>
      </c>
      <c r="K12" s="8" t="s">
        <v>173</v>
      </c>
      <c r="M12" s="8" t="s">
        <v>174</v>
      </c>
    </row>
    <row r="13" spans="1:13" x14ac:dyDescent="0.2">
      <c r="A13" s="1" t="s">
        <v>175</v>
      </c>
      <c r="B13" s="1"/>
      <c r="C13" s="1"/>
      <c r="D13" s="1"/>
      <c r="E13" s="1" t="s">
        <v>176</v>
      </c>
      <c r="F13" s="1"/>
      <c r="G13" s="1" t="s">
        <v>177</v>
      </c>
      <c r="H13" s="1"/>
      <c r="I13" s="1" t="s">
        <v>178</v>
      </c>
      <c r="K13" s="12">
        <v>1</v>
      </c>
      <c r="M13" s="12">
        <v>1</v>
      </c>
    </row>
    <row r="14" spans="1:13" x14ac:dyDescent="0.2">
      <c r="A14" s="1" t="s">
        <v>179</v>
      </c>
      <c r="B14" s="1"/>
      <c r="C14" s="1"/>
      <c r="D14" s="1"/>
      <c r="E14" s="1" t="s">
        <v>180</v>
      </c>
      <c r="F14" s="1"/>
      <c r="G14" s="1" t="s">
        <v>181</v>
      </c>
      <c r="H14" s="1"/>
      <c r="I14" s="1" t="s">
        <v>182</v>
      </c>
      <c r="K14" s="12">
        <v>2</v>
      </c>
      <c r="M14" s="12">
        <v>2</v>
      </c>
    </row>
    <row r="15" spans="1:13" x14ac:dyDescent="0.2">
      <c r="A15" s="1"/>
      <c r="B15" s="1"/>
      <c r="C15" s="1"/>
      <c r="D15" s="1"/>
      <c r="E15" s="1" t="s">
        <v>183</v>
      </c>
      <c r="F15" s="1"/>
      <c r="G15" s="1" t="s">
        <v>184</v>
      </c>
      <c r="H15" s="1"/>
      <c r="I15" s="1" t="s">
        <v>185</v>
      </c>
      <c r="K15" s="12">
        <v>3</v>
      </c>
      <c r="M15" s="12">
        <v>3</v>
      </c>
    </row>
    <row r="16" spans="1:13" x14ac:dyDescent="0.2">
      <c r="A16" s="1"/>
      <c r="B16" s="1"/>
      <c r="C16" s="1"/>
      <c r="D16" s="1"/>
      <c r="E16" s="1" t="s">
        <v>186</v>
      </c>
      <c r="F16" s="1"/>
      <c r="G16" s="1" t="s">
        <v>187</v>
      </c>
      <c r="H16" s="1"/>
      <c r="I16" s="1" t="s">
        <v>188</v>
      </c>
    </row>
    <row r="17" spans="5:9" x14ac:dyDescent="0.2">
      <c r="E17" s="1" t="s">
        <v>189</v>
      </c>
      <c r="F17" s="1"/>
      <c r="G17" s="1"/>
      <c r="H17" s="1"/>
      <c r="I17" s="1" t="s">
        <v>190</v>
      </c>
    </row>
    <row r="18" spans="5:9" x14ac:dyDescent="0.2">
      <c r="E18" s="1" t="s">
        <v>191</v>
      </c>
      <c r="F18" s="1"/>
      <c r="G18" s="1"/>
      <c r="H18" s="1"/>
      <c r="I18" s="1" t="s">
        <v>192</v>
      </c>
    </row>
    <row r="19" spans="5:9" x14ac:dyDescent="0.2">
      <c r="E19" s="1"/>
      <c r="F19" s="1"/>
      <c r="G19" s="1"/>
      <c r="H19" s="1"/>
      <c r="I19" s="1" t="s">
        <v>193</v>
      </c>
    </row>
    <row r="20" spans="5:9" x14ac:dyDescent="0.2">
      <c r="E20" s="1"/>
      <c r="F20" s="1"/>
      <c r="G20" s="1"/>
      <c r="H20" s="1"/>
      <c r="I20" s="1" t="s">
        <v>194</v>
      </c>
    </row>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638FA6C959AA742BBD124ED0D0C8AD5" ma:contentTypeVersion="11" ma:contentTypeDescription="Create a new document." ma:contentTypeScope="" ma:versionID="618351c9ea45c13f4c7623819a05fa0c">
  <xsd:schema xmlns:xsd="http://www.w3.org/2001/XMLSchema" xmlns:xs="http://www.w3.org/2001/XMLSchema" xmlns:p="http://schemas.microsoft.com/office/2006/metadata/properties" xmlns:ns2="6d24557e-9262-4bcf-8dfb-0861ee36c1b8" xmlns:ns3="ce7e1783-cf63-422b-b1eb-d7674af17c37" targetNamespace="http://schemas.microsoft.com/office/2006/metadata/properties" ma:root="true" ma:fieldsID="aec01ad65f4c905f4e6f5ceba3b7c2e0" ns2:_="" ns3:_="">
    <xsd:import namespace="6d24557e-9262-4bcf-8dfb-0861ee36c1b8"/>
    <xsd:import namespace="ce7e1783-cf63-422b-b1eb-d7674af17c3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24557e-9262-4bcf-8dfb-0861ee36c1b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49342dab-32a2-489e-834b-22a09df155df"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e7e1783-cf63-422b-b1eb-d7674af17c37"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419e0dad-2800-4ce4-83a0-82afaa8f922f}" ma:internalName="TaxCatchAll" ma:showField="CatchAllData" ma:web="ce7e1783-cf63-422b-b1eb-d7674af17c3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ce7e1783-cf63-422b-b1eb-d7674af17c37" xsi:nil="true"/>
    <lcf76f155ced4ddcb4097134ff3c332f xmlns="6d24557e-9262-4bcf-8dfb-0861ee36c1b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AE3A085-DB4D-4EF4-B7E6-268E6F720FB4}">
  <ds:schemaRefs>
    <ds:schemaRef ds:uri="http://schemas.microsoft.com/sharepoint/v3/contenttype/forms"/>
  </ds:schemaRefs>
</ds:datastoreItem>
</file>

<file path=customXml/itemProps2.xml><?xml version="1.0" encoding="utf-8"?>
<ds:datastoreItem xmlns:ds="http://schemas.openxmlformats.org/officeDocument/2006/customXml" ds:itemID="{9B320C32-DADE-4C78-A8FE-B54DF9A8660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d24557e-9262-4bcf-8dfb-0861ee36c1b8"/>
    <ds:schemaRef ds:uri="ce7e1783-cf63-422b-b1eb-d7674af17c3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617E608-3F84-4D3F-B679-9D36A1ECF24B}">
  <ds:schemaRefs>
    <ds:schemaRef ds:uri="http://schemas.microsoft.com/office/2006/metadata/properties"/>
    <ds:schemaRef ds:uri="http://schemas.microsoft.com/office/infopath/2007/PartnerControls"/>
    <ds:schemaRef ds:uri="ce7e1783-cf63-422b-b1eb-d7674af17c37"/>
    <ds:schemaRef ds:uri="6d24557e-9262-4bcf-8dfb-0861ee36c1b8"/>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Tổng quan</vt:lpstr>
      <vt:lpstr> Biểu mẫu</vt:lpstr>
      <vt:lpstr>_Setting</vt:lpstr>
      <vt:lpstr>Setting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Công Nguyễn</cp:lastModifiedBy>
  <cp:revision/>
  <dcterms:created xsi:type="dcterms:W3CDTF">2024-11-26T03:54:34Z</dcterms:created>
  <dcterms:modified xsi:type="dcterms:W3CDTF">2026-10-01T07:39:27Z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0x010100A638FA6C959AA742BBD124ED0D0C8AD5</vt:lpwstr>
  </property>
  <property fmtid="{D5CDD505-2E9C-101B-9397-08002B2CF9AE}" pid="3" name="Order">
    <vt:r8>600</vt:r8>
  </property>
  <property fmtid="{D5CDD505-2E9C-101B-9397-08002B2CF9AE}" pid="4" name="xd_Signature">
    <vt:bool>false</vt:bool>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MediaServiceImageTags">
    <vt:lpwstr/>
  </property>
</Properties>
</file>
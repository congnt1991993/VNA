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vietnamairlines0-my.sharepoint.com/personal/vantt_vietnamairlines_com/Documents/2.Dự án/Net Zero/3. Triển khai/Tài liệu nghiệm thu/"/>
    </mc:Choice>
  </mc:AlternateContent>
  <xr:revisionPtr revIDLastSave="0" documentId="8_{A19EA610-600B-4C90-9A1F-E8DFA7081092}" xr6:coauthVersionLast="47" xr6:coauthVersionMax="47" xr10:uidLastSave="{00000000-0000-0000-0000-000000000000}"/>
  <bookViews>
    <workbookView xWindow="-110" yWindow="-110" windowWidth="25820" windowHeight="13900" firstSheet="2" activeTab="2" xr2:uid="{00000000-000D-0000-FFFF-FFFF00000000}"/>
  </bookViews>
  <sheets>
    <sheet name="Từ viết tắt" sheetId="8" r:id="rId1"/>
    <sheet name="95 Chỉ tiêu" sheetId="1" r:id="rId2"/>
    <sheet name="29 Chỉ tiêu Text" sheetId="4" r:id="rId3"/>
    <sheet name="32 chỉ tiêu BC động" sheetId="9" r:id="rId4"/>
    <sheet name="Chỉ tiêu G" sheetId="10" r:id="rId5"/>
    <sheet name="31 Báo cáo động_ẩn" sheetId="3" state="hidden" r:id="rId6"/>
    <sheet name="KPI (bỏ)" sheetId="7" state="hidden" r:id="rId7"/>
    <sheet name="Trang tính5" sheetId="5" state="hidden" r:id="rId8"/>
    <sheet name="Nguồn dữ liệu" sheetId="6" r:id="rId9"/>
  </sheets>
  <definedNames>
    <definedName name="_xlnm._FilterDatabase" localSheetId="2" hidden="1">'29 Chỉ tiêu Text'!$A$1:$J$30</definedName>
    <definedName name="_xlnm._FilterDatabase" localSheetId="5" hidden="1">'31 Báo cáo động_ẩn'!$A$1:$O$205</definedName>
    <definedName name="_xlnm._FilterDatabase" localSheetId="4" hidden="1">'Chỉ tiêu G'!$A$3:$I$25</definedName>
    <definedName name="_xlnm._FilterDatabase" localSheetId="6" hidden="1">'KPI (bỏ)'!$A$1:$J$218</definedName>
    <definedName name="_xlnm._FilterDatabase" localSheetId="8" hidden="1">'Nguồn dữ liệu'!$A$1:$K$102</definedName>
    <definedName name="_xlnm._FilterDatabase" localSheetId="3" hidden="1">'32 chỉ tiêu BC động'!$A$2:$AJ$247</definedName>
    <definedName name="_xlnm._FilterDatabase" localSheetId="1" hidden="1">'95 Chỉ tiêu'!$B$3:$AA$105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9" l="1"/>
  <c r="L12" i="1"/>
  <c r="L16" i="1"/>
  <c r="L17" i="1"/>
  <c r="L18" i="1"/>
  <c r="L19" i="1"/>
  <c r="L20" i="1"/>
  <c r="L21" i="1"/>
  <c r="L22" i="1"/>
  <c r="L23" i="1"/>
  <c r="L24" i="1"/>
  <c r="L25" i="1"/>
  <c r="L26" i="1"/>
  <c r="L27" i="1"/>
  <c r="L29" i="1"/>
  <c r="L30" i="1"/>
  <c r="L31" i="1"/>
  <c r="L32" i="1"/>
  <c r="L33" i="1"/>
  <c r="L34" i="1"/>
  <c r="L39" i="1"/>
  <c r="L64" i="1"/>
  <c r="L95"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4" i="1"/>
  <c r="D9" i="4"/>
  <c r="D10" i="4"/>
  <c r="D11" i="4"/>
  <c r="D12" i="4"/>
  <c r="D13" i="4"/>
  <c r="D15" i="4"/>
  <c r="D19" i="4"/>
  <c r="D22" i="4"/>
  <c r="D24" i="4"/>
  <c r="D25" i="4"/>
  <c r="D26" i="4"/>
  <c r="D27" i="4"/>
  <c r="D28" i="4"/>
  <c r="D29" i="4"/>
  <c r="D30" i="4"/>
  <c r="A4" i="10"/>
  <c r="A5" i="10"/>
  <c r="A6" i="10"/>
  <c r="A7" i="10"/>
  <c r="A8" i="10"/>
  <c r="A9" i="10"/>
  <c r="A10" i="10"/>
  <c r="A11" i="10"/>
  <c r="A12" i="10"/>
  <c r="A13" i="10"/>
  <c r="A14" i="10"/>
  <c r="A15" i="10"/>
  <c r="A16" i="10"/>
  <c r="A17" i="10"/>
  <c r="A18" i="10"/>
  <c r="A19" i="10"/>
  <c r="A20" i="10"/>
  <c r="A21" i="10"/>
  <c r="A22" i="10"/>
  <c r="A23" i="10"/>
  <c r="A24" i="10"/>
  <c r="A25" i="10"/>
  <c r="B5" i="8" a="1"/>
  <c r="B5" i="8" s="1"/>
  <c r="F202" i="9"/>
  <c r="F201" i="9"/>
  <c r="F195" i="9"/>
  <c r="F194" i="9"/>
  <c r="F247" i="9"/>
  <c r="F246" i="9"/>
  <c r="F66" i="9"/>
  <c r="F67" i="9"/>
  <c r="F68" i="9"/>
  <c r="F69" i="9"/>
  <c r="F70" i="9"/>
  <c r="F71" i="9"/>
  <c r="F72" i="9"/>
  <c r="F73" i="9"/>
  <c r="F74" i="9"/>
  <c r="F75" i="9"/>
  <c r="F76" i="9"/>
  <c r="F77" i="9"/>
  <c r="F78" i="9"/>
  <c r="F79" i="9"/>
  <c r="F80" i="9"/>
  <c r="F81" i="9"/>
  <c r="F42" i="9"/>
  <c r="F43" i="9"/>
  <c r="F44" i="9"/>
  <c r="F45" i="9"/>
  <c r="F46" i="9"/>
  <c r="F48" i="9"/>
  <c r="F47" i="9"/>
  <c r="F49" i="9"/>
  <c r="F50" i="9"/>
  <c r="F51" i="9"/>
  <c r="F52" i="9"/>
  <c r="F53" i="9"/>
  <c r="F54" i="9"/>
  <c r="F55" i="9"/>
  <c r="F57" i="9"/>
  <c r="F58" i="9"/>
  <c r="F56" i="9"/>
  <c r="F59" i="9"/>
  <c r="F60" i="9"/>
  <c r="F61" i="9"/>
  <c r="F62" i="9"/>
  <c r="F63" i="9"/>
  <c r="F64" i="9"/>
  <c r="F65" i="9"/>
  <c r="F112" i="9"/>
  <c r="F11" i="9"/>
  <c r="F10" i="9"/>
  <c r="F134" i="9"/>
  <c r="F133" i="9"/>
  <c r="F132" i="9"/>
  <c r="F131" i="9"/>
  <c r="F130" i="9"/>
  <c r="F129" i="9"/>
  <c r="F128" i="9"/>
  <c r="F127" i="9"/>
  <c r="F126" i="9"/>
  <c r="F125" i="9"/>
  <c r="F124" i="9"/>
  <c r="F145" i="9"/>
  <c r="F144" i="9"/>
  <c r="F141" i="9"/>
  <c r="F140" i="9"/>
  <c r="F139" i="9"/>
  <c r="F138" i="9"/>
  <c r="F137" i="9"/>
  <c r="F136" i="9"/>
  <c r="F117" i="9"/>
  <c r="F116" i="9"/>
  <c r="F115" i="9"/>
  <c r="F114" i="9"/>
  <c r="F113" i="9"/>
  <c r="F245" i="9"/>
  <c r="F244" i="9"/>
  <c r="F243" i="9"/>
  <c r="F242" i="9"/>
  <c r="F241" i="9"/>
  <c r="F240" i="9"/>
  <c r="F239" i="9"/>
  <c r="F238" i="9"/>
  <c r="F237" i="9"/>
  <c r="F236" i="9"/>
  <c r="F235" i="9"/>
  <c r="F234" i="9"/>
  <c r="F233" i="9"/>
  <c r="F232" i="9"/>
  <c r="F231" i="9"/>
  <c r="F230" i="9"/>
  <c r="F229" i="9"/>
  <c r="F228" i="9"/>
  <c r="F227" i="9"/>
  <c r="F226" i="9"/>
  <c r="F225" i="9"/>
  <c r="F224" i="9"/>
  <c r="F223" i="9"/>
  <c r="F222" i="9"/>
  <c r="F221" i="9"/>
  <c r="F220" i="9"/>
  <c r="F219" i="9"/>
  <c r="E158" i="3"/>
  <c r="F206" i="9"/>
  <c r="F205" i="9"/>
  <c r="F204" i="9"/>
  <c r="F203" i="9"/>
  <c r="F200" i="9"/>
  <c r="F199" i="9"/>
  <c r="F198" i="9"/>
  <c r="F197" i="9"/>
  <c r="F196" i="9"/>
  <c r="F193" i="9"/>
  <c r="F192" i="9"/>
  <c r="F191" i="9"/>
  <c r="F190" i="9"/>
  <c r="F189" i="9"/>
  <c r="F188" i="9"/>
  <c r="F187" i="9"/>
  <c r="F185" i="9"/>
  <c r="F186" i="9"/>
  <c r="F184" i="9"/>
  <c r="F183" i="9"/>
  <c r="F181" i="9"/>
  <c r="F182" i="9"/>
  <c r="F180" i="9"/>
  <c r="F179" i="9"/>
  <c r="F178" i="9"/>
  <c r="F177" i="9"/>
  <c r="F176" i="9"/>
  <c r="F175" i="9"/>
  <c r="F174" i="9"/>
  <c r="F173" i="9"/>
  <c r="F172" i="9"/>
  <c r="F171" i="9"/>
  <c r="F170" i="9"/>
  <c r="F169" i="9"/>
  <c r="F168" i="9"/>
  <c r="F167" i="9"/>
  <c r="F166" i="9"/>
  <c r="F165" i="9"/>
  <c r="F164" i="9"/>
  <c r="F163" i="9"/>
  <c r="F162" i="9"/>
  <c r="F16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9" i="9"/>
  <c r="F8" i="9"/>
  <c r="F7" i="9"/>
  <c r="F6" i="9"/>
  <c r="F5" i="9"/>
  <c r="F4" i="9"/>
  <c r="F3" i="9"/>
  <c r="E11" i="3"/>
  <c r="E17" i="3"/>
  <c r="E22" i="3"/>
  <c r="E27" i="3"/>
  <c r="E33" i="3"/>
  <c r="E68" i="3"/>
  <c r="E69" i="3"/>
  <c r="E73" i="3"/>
  <c r="E78" i="3"/>
  <c r="E96" i="3"/>
  <c r="E102" i="3"/>
  <c r="E106" i="3"/>
  <c r="E117" i="3"/>
  <c r="E123" i="3"/>
  <c r="E125" i="3"/>
  <c r="E132" i="3"/>
  <c r="E133" i="3"/>
  <c r="E140" i="3"/>
  <c r="E145" i="3"/>
  <c r="E152" i="3"/>
  <c r="E156" i="3"/>
  <c r="E157" i="3"/>
  <c r="E174" i="3"/>
  <c r="E177" i="3"/>
  <c r="E181" i="3"/>
  <c r="E185" i="3"/>
  <c r="E189" i="3"/>
  <c r="E2" i="3"/>
  <c r="C11" i="5" l="1"/>
  <c r="B11" i="5"/>
  <c r="D1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tc={4C96C6AA-2B08-4269-B7EF-3708BACE631E}</author>
  </authors>
  <commentList>
    <comment ref="E152" authorId="0" shapeId="0" xr:uid="{4C96C6AA-2B08-4269-B7EF-3708BACE631E}">
      <text>
        <t>[Threaded comment]
Your version of Excel allows you to read this threaded comment; however, any edits to it will get removed if the file is opened in a newer version of Excel. Learn more: https://go.microsoft.com/fwlink/?linkid=870924
Comment:
    Tổng 32 chỉ tiêu động, trong đó 31 chỉ tiêu là làm trong giai đoạn này, còn 1 chỉ tiêu là GRI 305-7 pending phase sau</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<sst xmlns="http://schemas.openxmlformats.org/spreadsheetml/2006/main" count="9873" uniqueCount="2138">
  <si>
    <t>Từ viết tắt</t>
  </si>
  <si>
    <t>Tên Tiếng Anh</t>
  </si>
  <si>
    <t>Tiếng Việt</t>
  </si>
  <si>
    <t>CORSIA</t>
  </si>
  <si>
    <t>Carbon Offsetting and Reduction Scheme</t>
  </si>
  <si>
    <t>EU-ETS</t>
  </si>
  <si>
    <t>EU Emissions Trading System</t>
  </si>
  <si>
    <t>UK-ETS</t>
  </si>
  <si>
    <t>UK Emissions Trading Scheme</t>
  </si>
  <si>
    <t>Hệ thống báo cáo phục vụ Khối DV của TCT</t>
  </si>
  <si>
    <t>Hệ thống quản lý khách hàng thường xuyên</t>
  </si>
  <si>
    <t>Phần mềm khai thác dữ liệu chuyến bay phục vụ điều hành khai thác</t>
  </si>
  <si>
    <t>Phần mềm</t>
  </si>
  <si>
    <t>Phần mềm kế hoạch ngắn hạn</t>
  </si>
  <si>
    <t>Phần mềm quản lý hợp đồng</t>
  </si>
  <si>
    <t>Phần mềm Quản trị nhân lực</t>
  </si>
  <si>
    <t>Hệ thống điều hành bay</t>
  </si>
  <si>
    <t>Hệ thống phân tích hiệu quả đường bay</t>
  </si>
  <si>
    <t>Website Văn hóa an toàn</t>
  </si>
  <si>
    <t>Phần mềm quản lý chuỗi cung ứng vật tư vật phẩm phục vụ hành khách</t>
  </si>
  <si>
    <t>Phần mềm quản lý quy trình kiểm soát và thanh toán chi phí điều hành bay, bay qua, hạ cất cánh</t>
  </si>
  <si>
    <t>UAT</t>
  </si>
  <si>
    <t>Quản lý KPI</t>
  </si>
  <si>
    <t>STT</t>
  </si>
  <si>
    <t>PIC CQĐV</t>
  </si>
  <si>
    <t>PIC VNA</t>
  </si>
  <si>
    <t>Phase</t>
  </si>
  <si>
    <t>Mã GRI (GRI Code)</t>
  </si>
  <si>
    <t>Trụ cột</t>
  </si>
  <si>
    <t>Topic</t>
  </si>
  <si>
    <t>Tên chỉ tiêu (VN)</t>
  </si>
  <si>
    <t>Tên chỉ tiêu (EN)</t>
  </si>
  <si>
    <t>Disclosure (Vi)</t>
  </si>
  <si>
    <t>Disclosure (En)</t>
  </si>
  <si>
    <t>Yêu  cầu của GRI</t>
  </si>
  <si>
    <t>Note</t>
  </si>
  <si>
    <t>Nguồn  dữ liệu</t>
  </si>
  <si>
    <t>Biểu mẫu</t>
  </si>
  <si>
    <t>Mức độ ưu tiên</t>
  </si>
  <si>
    <t>Nhập liệu</t>
  </si>
  <si>
    <t>Dashboard</t>
  </si>
  <si>
    <t>Có KPI (Yes/No)</t>
  </si>
  <si>
    <t>Mã KPI</t>
  </si>
  <si>
    <t>Tên KPI</t>
  </si>
  <si>
    <t>KPI đạt khi</t>
  </si>
  <si>
    <t>Nguồn lấy dữ liệu KH/mục tiêu (KPI)</t>
  </si>
  <si>
    <t>KPI nhập dữ liệu theo tháng/ năm</t>
  </si>
  <si>
    <t>Có đưa KPI lên báo cáo nội bộ không (Yes/No)</t>
  </si>
  <si>
    <t>Ghi chú</t>
  </si>
  <si>
    <t>Công thức tính toán có hệ số</t>
  </si>
  <si>
    <t>Tổ dịch vụ</t>
  </si>
  <si>
    <t>MS Hương</t>
  </si>
  <si>
    <t>Phase 1</t>
  </si>
  <si>
    <t>Airline B-1</t>
  </si>
  <si>
    <t>Social</t>
  </si>
  <si>
    <t>Customer Experience</t>
  </si>
  <si>
    <t xml:space="preserve">Sự hài lòng của khách hàng (NPS Net Promotor Score) </t>
  </si>
  <si>
    <t>Customer satisfaction (NPS Net Promotor Score)</t>
  </si>
  <si>
    <t>Customer satisfaction</t>
  </si>
  <si>
    <t>Report Pro</t>
  </si>
  <si>
    <t>N/A</t>
  </si>
  <si>
    <t>Yes</t>
  </si>
  <si>
    <t>1. Airline B-1-01
2. Airline B-1-02</t>
  </si>
  <si>
    <t>1. NPS (DOM)
2. NPS (INT)</t>
  </si>
  <si>
    <t>≥ KH</t>
  </si>
  <si>
    <t>Nhập thủ công</t>
  </si>
  <si>
    <t>- Năm</t>
  </si>
  <si>
    <t>Note: có 2 KPI cho từng phạm vi DOM và INT</t>
  </si>
  <si>
    <t>TTBSV</t>
  </si>
  <si>
    <t>Airline B-2</t>
  </si>
  <si>
    <t xml:space="preserve">Customer engagement </t>
  </si>
  <si>
    <t>CLM</t>
  </si>
  <si>
    <t>No</t>
  </si>
  <si>
    <t>Customer engagement/Tương tác khách hàng</t>
  </si>
  <si>
    <t>&gt; KH</t>
  </si>
  <si>
    <t>Không cung cấp do số liệu nhạy cảm</t>
  </si>
  <si>
    <t>TCNL</t>
  </si>
  <si>
    <t>Airline D-1</t>
  </si>
  <si>
    <t>Labor Conditions</t>
  </si>
  <si>
    <t>Ngày công mất do đình công</t>
  </si>
  <si>
    <t>Working days lost to strikes</t>
  </si>
  <si>
    <t xml:space="preserve">Working days lost to strikes </t>
  </si>
  <si>
    <t>Excel</t>
  </si>
  <si>
    <t>Airline D-1 Số vụ đình công</t>
  </si>
  <si>
    <t>Số ngày công mất do đình công</t>
  </si>
  <si>
    <t>= KH</t>
  </si>
  <si>
    <t>Ban ATCL</t>
  </si>
  <si>
    <t>Mr Đàn</t>
  </si>
  <si>
    <t>Airline E-1</t>
  </si>
  <si>
    <t>Environment</t>
  </si>
  <si>
    <t>Noise</t>
  </si>
  <si>
    <t>Tiếng ồn</t>
  </si>
  <si>
    <t>Noise Compliance</t>
  </si>
  <si>
    <t xml:space="preserve">Noise </t>
  </si>
  <si>
    <t>Ban ATCL - Airline E-1 - form tiếng ồn</t>
  </si>
  <si>
    <t>Airline E-1-C4
Airline E-1-C14
Airline E-1-C13</t>
  </si>
  <si>
    <t>1. C4
2. C14
3. C13</t>
  </si>
  <si>
    <t>Ban TT</t>
  </si>
  <si>
    <t>Airline F-1</t>
  </si>
  <si>
    <t>People and Development</t>
  </si>
  <si>
    <t>Tham gia hoạt động tình nguyện</t>
  </si>
  <si>
    <t>Volunteering during working hours</t>
  </si>
  <si>
    <t>Airline F-1 - Volunteering during working hours (Scope: Corporate Communications Department) - Tham gia hoạt động tình nguyện (Phạm vi hiện tại: Ban Truyền thông)</t>
  </si>
  <si>
    <t>2. C14</t>
  </si>
  <si>
    <t>Airline F-2</t>
  </si>
  <si>
    <t>Mức độ hài lòng của nhân viên</t>
  </si>
  <si>
    <t>Employee satisfaction</t>
  </si>
  <si>
    <t>Airline F-2 - Employee satisfaction - Mức độ hài lòng của nhân viên</t>
  </si>
  <si>
    <t>3. C13</t>
  </si>
  <si>
    <t>Phase 2</t>
  </si>
  <si>
    <t>Airlines C-1</t>
  </si>
  <si>
    <t>Energy and Emissions</t>
  </si>
  <si>
    <t>Significant spills</t>
  </si>
  <si>
    <t>GRI 201-3</t>
  </si>
  <si>
    <t>Cam kết chi trả lương hưu và phúc lợi</t>
  </si>
  <si>
    <t>Defined benefit plan obligations and other retirement plans</t>
  </si>
  <si>
    <t>Text only (báo cáo tĩnh)</t>
  </si>
  <si>
    <t>Tổ Thư ký</t>
  </si>
  <si>
    <t>GRI 201-4</t>
  </si>
  <si>
    <t>Governance</t>
  </si>
  <si>
    <t>Conduct and Compliance</t>
  </si>
  <si>
    <t>Trợ cấp/tài trợ nhận từ chính phủ</t>
  </si>
  <si>
    <t>Financial assistance received from government</t>
  </si>
  <si>
    <t>GRI 202-1</t>
  </si>
  <si>
    <t>Tỷ lệ lương khởi điểm so với lương tối thiểu vùng 1</t>
  </si>
  <si>
    <t>Ratios of standard entry-level wage by gender compared to local minimum wage</t>
  </si>
  <si>
    <t>GRI 202-1 - Ratios of standard entry level wage by gender compared to local minimum wage - Tỷ lệ lương khởi điểm so với lương tối thiểu vùng 1</t>
  </si>
  <si>
    <t>GRI 202-1-01
GRI 202-1-02
GRI 202-1-03</t>
  </si>
  <si>
    <t>1. Tỷ lệ lương khởi điểm phi công Việt Nam so với lương tối thiểu vùng
2. Tỷ lệ lương khởi điểm tiếp viên cơ hữu so với lương tối thiểu vùng
3. Tỷ lệ lương khởi điểm lao động mặt đất so với lương tối thiểu vùng</t>
  </si>
  <si>
    <t>GRI 202-2</t>
  </si>
  <si>
    <t>Tỷ lệ lãnh đạo cấp cao là người bản địa</t>
  </si>
  <si>
    <t>Proportion of senior management hired from the local community</t>
  </si>
  <si>
    <t>GRI 202-2 - Tỷ lệ lãnh đạo cấp cao là người bản địa</t>
  </si>
  <si>
    <t>Tỷ lệ lãnh đạo cấp cao là người Việt Nam tại Việt Nam</t>
  </si>
  <si>
    <t>GRI 204-1</t>
  </si>
  <si>
    <t>Supply Chain Sustainability</t>
  </si>
  <si>
    <t xml:space="preserve">Proportion of spending on local suppliers </t>
  </si>
  <si>
    <t>CMS</t>
  </si>
  <si>
    <t>GRI 205-2</t>
  </si>
  <si>
    <t>Truyền thông, đào tạo về chống tham nhũng</t>
  </si>
  <si>
    <t>Communication and training about anti-corruption policies and procedures</t>
  </si>
  <si>
    <t>GRI 205-3</t>
  </si>
  <si>
    <t>Sự cố tham nhũng xác nhận và biện pháp xử lý</t>
  </si>
  <si>
    <t>Confirmed incidents of corruption and actions taken</t>
  </si>
  <si>
    <t>GRI 206-1</t>
  </si>
  <si>
    <t>Vụ kiện về cạnh tranh không lành mạnh, độc quyền</t>
  </si>
  <si>
    <t>Legal actions for anti-competitive behavior, anti-trust, and monopoly practices</t>
  </si>
  <si>
    <t>GRI 2-10</t>
  </si>
  <si>
    <t>Quy trình đề cử, lựa chọn cơ quan quản lý cao nhất</t>
  </si>
  <si>
    <t>Nomination and selection of the highest governance body</t>
  </si>
  <si>
    <t>GRI 2-11</t>
  </si>
  <si>
    <t>Chủ tịch HĐQT</t>
  </si>
  <si>
    <t xml:space="preserve">Chair of the highest governance body </t>
  </si>
  <si>
    <t>GRI 2-12</t>
  </si>
  <si>
    <t>Vai trò của HĐQT trong giám sát quản lý tác động</t>
  </si>
  <si>
    <t>Role of the highest governance body in overseeing the management of impacts</t>
  </si>
  <si>
    <t>GRI 2-13</t>
  </si>
  <si>
    <t>Ủy quyền trách nhiệm quản lý các tác động</t>
  </si>
  <si>
    <t>Delegating authority</t>
  </si>
  <si>
    <t>GRI 2-14</t>
  </si>
  <si>
    <t>Vai trò của cơ quan quản trị cao nhất trong báo cáo bền vững</t>
  </si>
  <si>
    <t>GRI 2-15</t>
  </si>
  <si>
    <t>Xung đột lợi ích</t>
  </si>
  <si>
    <t>Conflicts of interest</t>
  </si>
  <si>
    <t>GRI 2-16</t>
  </si>
  <si>
    <t>Báo cáo các mối quan ngại nghiêm trọng</t>
  </si>
  <si>
    <t>GRI 2-17</t>
  </si>
  <si>
    <t>Kiến thức tập thể của cơ quan quản lý cao nhất</t>
  </si>
  <si>
    <t>GRI 2-18</t>
  </si>
  <si>
    <t>Đánh giá hiệu quả hoạt động của cơ quan quản trị cao nhất</t>
  </si>
  <si>
    <t>GRI 2-21</t>
  </si>
  <si>
    <t>Annual total compensation ratio</t>
  </si>
  <si>
    <t>GRI 2-23</t>
  </si>
  <si>
    <t>Các cam kết về chính sách</t>
  </si>
  <si>
    <t>Policy commitments</t>
  </si>
  <si>
    <t>GRI 2-24</t>
  </si>
  <si>
    <t>Lồng ghép các cam kết chính sách</t>
  </si>
  <si>
    <t>GRI 2-25</t>
  </si>
  <si>
    <t>Quy trình khắc phục các tác động tiêu cực</t>
  </si>
  <si>
    <t>GRI 2-26</t>
  </si>
  <si>
    <t>Cơ chế tham vấn, phản ánh các vấn đề đạo đức</t>
  </si>
  <si>
    <t>Mechanisms for seeking advice and raising concerns about ethics</t>
  </si>
  <si>
    <t>GRI 2-27</t>
  </si>
  <si>
    <t>Tuân thủ pháp luật và các quy định</t>
  </si>
  <si>
    <t>GRI 2-29</t>
  </si>
  <si>
    <t>Tiếp cận đối thoại các bên liên quan</t>
  </si>
  <si>
    <t>Approach to stakeholder engagement</t>
  </si>
  <si>
    <t>GRI 2-30</t>
  </si>
  <si>
    <t>Thỏa ước lao động tập thể</t>
  </si>
  <si>
    <t>Collective bargaining agreements</t>
  </si>
  <si>
    <t>GRI 2-6</t>
  </si>
  <si>
    <t>Activities, value chain and other business relationships</t>
  </si>
  <si>
    <t>GRI 2-7</t>
  </si>
  <si>
    <t>Quy mô tổ chức</t>
  </si>
  <si>
    <t>Scale of the organization</t>
  </si>
  <si>
    <t>Skyhr</t>
  </si>
  <si>
    <t>GRI 2-7-01
GRI 2-7-02</t>
  </si>
  <si>
    <t>1. Lao động 31/12 - Number of employees as of December 31
2. Lao động sử dụng bình quân năm - Average Employee</t>
  </si>
  <si>
    <t>GRI 2-9</t>
  </si>
  <si>
    <t>Cơ cấu và thành phần quản trị</t>
  </si>
  <si>
    <t>Governance structure and composition</t>
  </si>
  <si>
    <t>GRI 301-1</t>
  </si>
  <si>
    <t>Waste and Effluents</t>
  </si>
  <si>
    <t>Materials used by weight or volume</t>
  </si>
  <si>
    <t>GRI 301-2</t>
  </si>
  <si>
    <t xml:space="preserve">Recycled input materials used </t>
  </si>
  <si>
    <t>GRI 301-3</t>
  </si>
  <si>
    <t xml:space="preserve">Reclaimed products and their packaging materials </t>
  </si>
  <si>
    <t>Tổ khai thác</t>
  </si>
  <si>
    <t>GRI 302-1</t>
  </si>
  <si>
    <t>Năng lượng tiêu thụ trong tổ chức</t>
  </si>
  <si>
    <t xml:space="preserve">Energy consumption within the organization </t>
  </si>
  <si>
    <t>Energy consumption within the organization</t>
  </si>
  <si>
    <t>FIMS + ANCM</t>
  </si>
  <si>
    <t>Pending</t>
  </si>
  <si>
    <t>Energy consumption within the organization/Năng lượng tiêu thụ trong tổ chức</t>
  </si>
  <si>
    <t>&lt; KH</t>
  </si>
  <si>
    <t>PMS</t>
  </si>
  <si>
    <t>Lấy Số KH từ nguồn pms</t>
  </si>
  <si>
    <t>Tổ Khai thác</t>
  </si>
  <si>
    <t>GRI 302-2</t>
  </si>
  <si>
    <t xml:space="preserve">Energy consumption outside of the organization </t>
  </si>
  <si>
    <t>GRI 302-4</t>
  </si>
  <si>
    <t>Giảm tiêu thụ năng lượng</t>
  </si>
  <si>
    <t xml:space="preserve">Reduction of energy consumption </t>
  </si>
  <si>
    <t>Tổ Khai thác - GRI 302-4 - Giảm tiêu thụ năng lượng</t>
  </si>
  <si>
    <t>Reduction of energy consumption/Giảm tiêu thụ năng lượng</t>
  </si>
  <si>
    <t>Note: có tổng cộng 2 KPI, KPI sau được tính toán dựa trên KPI ban đầu</t>
  </si>
  <si>
    <t>- Có 1 hệ số quy đổi từ Kg sang Lít</t>
  </si>
  <si>
    <t>GRI 303-1</t>
  </si>
  <si>
    <t>Interactions with water as a shared resource</t>
  </si>
  <si>
    <t>GRI 303-2</t>
  </si>
  <si>
    <t>Management of water discharge-related impacts</t>
  </si>
  <si>
    <t>Mr Hải</t>
  </si>
  <si>
    <t>GRI 303-3</t>
  </si>
  <si>
    <t>Lượng nước cấp lên</t>
  </si>
  <si>
    <t>Water Withdrawal</t>
  </si>
  <si>
    <t>Water withdrawal</t>
  </si>
  <si>
    <t>Excel + Acars + FIMS</t>
  </si>
  <si>
    <t>Water withdrawal/Lượng nước cấp lên</t>
  </si>
  <si>
    <t>Hiện chưa đưa lên báo cáo nội bộ, bổ sung vào các năm tới</t>
  </si>
  <si>
    <t>GRI 303-4</t>
  </si>
  <si>
    <t>Water discharge</t>
  </si>
  <si>
    <t>GRI 303-5</t>
  </si>
  <si>
    <t>Lượng nước tiêu thụ</t>
  </si>
  <si>
    <t>Water Consumption</t>
  </si>
  <si>
    <t>Water consumption</t>
  </si>
  <si>
    <t>Water consumption/Lượng nước tiêu thụ</t>
  </si>
  <si>
    <t>GRI 305-1</t>
  </si>
  <si>
    <t>Phát thải khí nhà kính trực tiếp (Phạm vi 1)</t>
  </si>
  <si>
    <t>Direct (Scope 1) GHG emissions</t>
  </si>
  <si>
    <t>FIMS + ANCM
PMS</t>
  </si>
  <si>
    <t>Direct (Scope 1) GHG emissions/Phát thải khí nhà kính trực tiếp (Phạm vi 1)</t>
  </si>
  <si>
    <t>≤ KH</t>
  </si>
  <si>
    <t>Có 3 hệ số:
- Hệ số phát thải CO2 của nhiên liệu Jet A-1
- Hệ số quy đổi từ Kg sang Tấn
- Hệ số quy đổi từ Lít sang Kg</t>
  </si>
  <si>
    <t>GRI 305-2</t>
  </si>
  <si>
    <t>Energy indirect (Scope 2) GHG emissions</t>
  </si>
  <si>
    <t>GRI 305-3</t>
  </si>
  <si>
    <t>Other indirect (Scope 3) GHG emissions</t>
  </si>
  <si>
    <t>GRI 305-4</t>
  </si>
  <si>
    <t>Cường độ phát thải khí nhà kính</t>
  </si>
  <si>
    <t>GHG Emissions Intensity</t>
  </si>
  <si>
    <t xml:space="preserve">GHG emissions intensity </t>
  </si>
  <si>
    <t>FIMS + EU_ETS + RPS</t>
  </si>
  <si>
    <t>GHG emissions intensity/Cường độ phát thải khí nhà kính</t>
  </si>
  <si>
    <t>GRI 305-5</t>
  </si>
  <si>
    <t>Giảm phát thải khí nhà kính</t>
  </si>
  <si>
    <t>Reduction of GHG Emissions</t>
  </si>
  <si>
    <t xml:space="preserve">Reduction of GHG emissions </t>
  </si>
  <si>
    <t>ANCM +Excel</t>
  </si>
  <si>
    <t>Reduction of GHG emissions/Giảm phát thải khí nhà kính</t>
  </si>
  <si>
    <t>GRI 305-6</t>
  </si>
  <si>
    <t>Emissions of ozone-depleting substances (ODS)</t>
  </si>
  <si>
    <t>GRI 305-7</t>
  </si>
  <si>
    <t xml:space="preserve">Nitrogen oxides (NOX), sulfur oxides (SOX), and other significant air emissions </t>
  </si>
  <si>
    <t>Phase 2 do Tổ Khai thác chưa có công thức tính</t>
  </si>
  <si>
    <t>GRI 306-1</t>
  </si>
  <si>
    <t>Waste generation and significant waste-related impacts</t>
  </si>
  <si>
    <t>GRI 306-3</t>
  </si>
  <si>
    <t>Waste generated</t>
  </si>
  <si>
    <t>GRI 306-4</t>
  </si>
  <si>
    <t>Waste diverted from disposal</t>
  </si>
  <si>
    <t>GRI 306-5</t>
  </si>
  <si>
    <t>Waste directed to disposal</t>
  </si>
  <si>
    <t>GRI 308-2</t>
  </si>
  <si>
    <t>Negative environmental impacts in the supply chain and actions taken</t>
  </si>
  <si>
    <t xml:space="preserve">Negative environmental impacts in the supply chain and actions taken </t>
  </si>
  <si>
    <t>GRI 3-3</t>
  </si>
  <si>
    <t>Quản lý các chủ đề trọng yếu</t>
  </si>
  <si>
    <t>Management of material topics</t>
  </si>
  <si>
    <t>GRI 401-1</t>
  </si>
  <si>
    <t>Tuyển dụng và nghỉ việc</t>
  </si>
  <si>
    <t>New employee hires and employee turnover</t>
  </si>
  <si>
    <t>GRI 401-1-01
GRI 401-1-02</t>
  </si>
  <si>
    <t>1. Tuyển dụng mới - New Hires
2. Tỷ lệ thôi việc tự nguyện - Voluntary Turnover Rate</t>
  </si>
  <si>
    <t>Tuyển mới: ≥ KH
Nghỉ việc: ≤ KH</t>
  </si>
  <si>
    <t>GRI 401-2</t>
  </si>
  <si>
    <t>Phúc lợi cho nhân viên toàn thời gian</t>
  </si>
  <si>
    <t>Benefits provided to full-time employees that are not provided to temporary or part-time employees</t>
  </si>
  <si>
    <t>GRI 401-3</t>
  </si>
  <si>
    <t>Parental leave</t>
  </si>
  <si>
    <t>GRI 402-1</t>
  </si>
  <si>
    <t>Minimum notice periods regarding operational changes</t>
  </si>
  <si>
    <t>GRI 403</t>
  </si>
  <si>
    <t>Occupational Health and Safety</t>
  </si>
  <si>
    <t>GRI 403 (all)</t>
  </si>
  <si>
    <t>GRI 403-10</t>
  </si>
  <si>
    <t>Sự cố phân biệt đối xử và biện pháp xử lý</t>
  </si>
  <si>
    <t>Work-related ill-health</t>
  </si>
  <si>
    <t>GRI 403-2</t>
  </si>
  <si>
    <t>Nhận diện mối nguy, phân tích rủi ro và điều tra sự cố</t>
  </si>
  <si>
    <t>Hazard identification, risk assessment, and incident investigation</t>
  </si>
  <si>
    <t>-VHAT</t>
  </si>
  <si>
    <t>GRI 403-4</t>
  </si>
  <si>
    <t xml:space="preserve">Các chương trình NLĐ tham gia, đóng góp ý kiến và trao đổi về các chính sách sức khỏe và an toàn nghề nghiệp </t>
  </si>
  <si>
    <t>Worker participation, consultation, and communication on occupational health and safety</t>
  </si>
  <si>
    <t>GRI 403-9</t>
  </si>
  <si>
    <t>Thương tật do lao động</t>
  </si>
  <si>
    <t>Work-related Injuries</t>
  </si>
  <si>
    <t xml:space="preserve">Work-related injuries </t>
  </si>
  <si>
    <t xml:space="preserve">GRI 403-9 - form thống kê thương tật </t>
  </si>
  <si>
    <t>GRI 404-2</t>
  </si>
  <si>
    <t>Chương trình nâng cao kỹ năng</t>
  </si>
  <si>
    <t>Programs for upgrading employee skills and transition assistance programs</t>
  </si>
  <si>
    <t>GRI 404-3</t>
  </si>
  <si>
    <t>Phát triển nghề nghiệp</t>
  </si>
  <si>
    <t>Percentage of employees receiving regular performance and career development reviews</t>
  </si>
  <si>
    <t>GRI 405-1</t>
  </si>
  <si>
    <t>Đa dạng trong quản trị</t>
  </si>
  <si>
    <t>Diversity of governance bodies and employees</t>
  </si>
  <si>
    <t>Diversity of governance bodies and employees/Đa dạng trong cơ quan quản trị</t>
  </si>
  <si>
    <t>GRI 405-2</t>
  </si>
  <si>
    <t>Ratio of basic salary and remuneration of women to men</t>
  </si>
  <si>
    <t>GRI 406-1</t>
  </si>
  <si>
    <t>Incidents of discrimination and corrective actions taken</t>
  </si>
  <si>
    <t>MS Hiền</t>
  </si>
  <si>
    <t>Sự cố phân biệt đối xử và biện pháp xử lý (Phần khách hàng)</t>
  </si>
  <si>
    <t>Incidents of discrimination and corrective actions taken (Customers)</t>
  </si>
  <si>
    <t xml:space="preserve">Incidents of discrimination and corrective actions taken </t>
  </si>
  <si>
    <t>Incidents of discrimination and corrective actions taken/Số sự cố phân biệt đối xử và biện pháp xử lý</t>
  </si>
  <si>
    <t>chỉ với phần khách hàng</t>
  </si>
  <si>
    <t>GRI 407-1</t>
  </si>
  <si>
    <t>Operations and suppliers in which the right to freedom of association and collective bargaining may be at risk</t>
  </si>
  <si>
    <t>GRI 408-1</t>
  </si>
  <si>
    <t>Operations and suppliers at significant risk for incidents of child labor</t>
  </si>
  <si>
    <t>GRI 409-1</t>
  </si>
  <si>
    <t>Operations and suppliers at significant risk for incidents of forced or compulsory labor</t>
  </si>
  <si>
    <t>GRI 412-1</t>
  </si>
  <si>
    <t>Operations that have been subject to human rights reviews or impact assessments</t>
  </si>
  <si>
    <t>GRI 413-2</t>
  </si>
  <si>
    <t>Operations with significant actual and potential negative impacts on local communities</t>
  </si>
  <si>
    <t>GRI 414-1</t>
  </si>
  <si>
    <t>New suppliers that were screened using social criteria</t>
  </si>
  <si>
    <t>GRI 414-2</t>
  </si>
  <si>
    <t>Negative social impacts in the supply chain and actions taken</t>
  </si>
  <si>
    <t xml:space="preserve">Negative social impacts in the supply chain and actions taken </t>
  </si>
  <si>
    <t>GRI 415-1</t>
  </si>
  <si>
    <t>Đóng góp cho các hoạt động chính trị</t>
  </si>
  <si>
    <t>Political contributions</t>
  </si>
  <si>
    <t>GRI 416-1</t>
  </si>
  <si>
    <t>Đánh giá tác động sức khỏe và an toàn của các sản phẩm/dịch vụ</t>
  </si>
  <si>
    <t>Assessment of the health and safety impacts of product and service categories</t>
  </si>
  <si>
    <t xml:space="preserve">GRI 416-1 - Danh mục VSTB
GRI 416-1 - Danh mục suất ăn
GRI 416-1 - Phân nhóm vật tư vật phẩm
</t>
  </si>
  <si>
    <t>Tỷ lệ sản phẩm được đánh giá trước khai thác/Percentage of Products Assessed Before Being Put into Service</t>
  </si>
  <si>
    <t>&gt;=KH</t>
  </si>
  <si>
    <t>Nguyễn Thị Hằng</t>
  </si>
  <si>
    <t>GRI 416-2</t>
  </si>
  <si>
    <t>Các sự cố vi phạm liên quan đến tác động sức khỏe và an toàn của sản phẩm/dịch vụ</t>
  </si>
  <si>
    <t>Incidents of noncompliance concerning the health and safety impacts of products and services</t>
  </si>
  <si>
    <t>Incidents of non-compliance concerning the health and safety impacts of products and services</t>
  </si>
  <si>
    <t>GRI 416-2 - Các sự cố vi phạm liên quan đến tác động sức khỏe và an toàn của sản phẩm dịch vụ</t>
  </si>
  <si>
    <t>Các sự cố vi phạm liên quan đến tác động sức khỏe và an toàn của sản phẩm/dịch vụ / Incidents of non-compliance concerning the health and safety impacts of products and services</t>
  </si>
  <si>
    <t>-Năm</t>
  </si>
  <si>
    <t>hiện tại = 0 có thể thay đổi sau này, tần suất cập nhật dữ liệu 1 năm/lần</t>
  </si>
  <si>
    <t>GRI 417-1</t>
  </si>
  <si>
    <t>Requirements for product and service information and labeling</t>
  </si>
  <si>
    <t>GRI 417-2</t>
  </si>
  <si>
    <t>Các sự cố vi phạm về thông tin và nhãn sản phẩm/dịch vụ</t>
  </si>
  <si>
    <t>Incidents of noncompliance concerning product and service information and labeling</t>
  </si>
  <si>
    <t>Incidents of non-compliance concerning product and service information and labeling</t>
  </si>
  <si>
    <t>GRI 417-2 - Các sự cố vi phạm về thông tin và nhãn sản phẩm/dịch vụ</t>
  </si>
  <si>
    <t>Các sự cố vi phạm về thông tin và nhãn sản phẩm/dịch vụ / Incidents of non-compliance concerning product and service information and labeling</t>
  </si>
  <si>
    <t>GRI 417-3</t>
  </si>
  <si>
    <t>Các vụ việc không tuân thủ liên quan đến truyền thông marketing</t>
  </si>
  <si>
    <t>Incidents of non-compliance concerning marketing communications</t>
  </si>
  <si>
    <t>GRI 417-3 - Incidents of non-compliance concerning marketing communications - Các vụ việc không tuân thủ liên quan đến truyền thông marketing</t>
  </si>
  <si>
    <t>Ban CĐS/CĐSCN</t>
  </si>
  <si>
    <t>Vân</t>
  </si>
  <si>
    <t>GRI 418-1</t>
  </si>
  <si>
    <t>Các sự cố liên quan đến dữ liệu cá nhân</t>
  </si>
  <si>
    <t>Substantiated complaints concerning breaches of customer privacy and losses of customer data</t>
  </si>
  <si>
    <t>Ban CĐS - GRI 418-1 - Các sự cố liên quan đến dữ liệu cá nhân</t>
  </si>
  <si>
    <t>GRI 418-1-01
GRI 418-1-02</t>
  </si>
  <si>
    <t>01: Vi phạm riêng tư
02: Vi phạm dữ liệu</t>
  </si>
  <si>
    <t>Chưa có mã</t>
  </si>
  <si>
    <t>Phát thải KNK Phạm vi 1 – chuyến bay nội địa</t>
  </si>
  <si>
    <t>Direct GHG Emissions (Scope 1) from Domestic Flights</t>
  </si>
  <si>
    <t>- Kiểm kê khí nhà kính các chuyến bay nội dịa 
(Phát thải khí nhà kính trực tiếp (Phạm vi 1) cho các chuyến bay nội địa)
- Lượng nhiên liệu tra nạp từ các sân bay trong nước (chuyến bay nội địa, hoặc quốc tế có điểm xuất phát từ Việt Nam)</t>
  </si>
  <si>
    <t>ANCM + FIMS</t>
  </si>
  <si>
    <t>Không thuộc GRI</t>
  </si>
  <si>
    <t>Có 11 hệ số:
- Hệ số quy đổi từ Kg sang Tấn
- Hệ số quy đổi từ Lít sang Kg
- Hệ số quy đổi từ Tấn sang TOE
- Hệ số tiềm năng nóng lên toàn cầu (GWP) của CH4
- Hệ số tiềm năng nóng lên toàn cầu (GWP) của N2O
- Giá trị nhiệt thuần (NCV)
- Hệ số phát thải CO2 của nhiên liệu Jet A-1
- Hệ số phát thải N2O của nhiên liệu Jet A-1
- Hệ số phát thải N2O của nhiên liệu SAF
- Hệ số phát thải CH4 của nhiên liệu Jet A-1
- Hệ số phát thải CH4 của nhiên liệu SAF</t>
  </si>
  <si>
    <t>Tổ kỹ thuật</t>
  </si>
  <si>
    <t>Báo cáo sử dụng nhiên liệu bền vững tại Pháp</t>
  </si>
  <si>
    <t>CARBURE</t>
  </si>
  <si>
    <t>Gộp với SAF report</t>
  </si>
  <si>
    <t>MS Quỳnh</t>
  </si>
  <si>
    <t>Báo cáo sử dụng SAF (RefuelEU Aviation)</t>
  </si>
  <si>
    <t xml:space="preserve">SAF Report (RefuelEU Aviation) </t>
  </si>
  <si>
    <t>Báo cáo sử dụng SAF</t>
  </si>
  <si>
    <t>SAF report</t>
  </si>
  <si>
    <t>ANCM +FIMS + Excel + EU ETS</t>
  </si>
  <si>
    <t>SAF_KPI</t>
  </si>
  <si>
    <t>SAF report/Báo cáo sử dụng SAF</t>
  </si>
  <si>
    <t>Nhập thủ công nhưng nhập ở model ở form nhập liệu</t>
  </si>
  <si>
    <t>- Có hệ số phát thải CO2 của nhiên liệu Jet A-1</t>
  </si>
  <si>
    <t>Báo cáo tuân thủ phát thải Carbon</t>
  </si>
  <si>
    <t>Carbon Emissions Compliance Report</t>
  </si>
  <si>
    <t xml:space="preserve">Carbon Emissions Compliance Report </t>
  </si>
  <si>
    <t>-FIMS + Excel
-EU_ETS + Excel
-ANCM</t>
  </si>
  <si>
    <t>- Có số Baseline tổng phát thải CO2 đối với cơ chế CORSIA
- Có số hạn ngạch Free Allowance đối với cơ chế EU ETS và UK ETS</t>
  </si>
  <si>
    <t>TT</t>
  </si>
  <si>
    <t xml:space="preserve">Trụ cột </t>
  </si>
  <si>
    <t>Mã GRI</t>
  </si>
  <si>
    <t>Chỉ tiêu (Eng)</t>
  </si>
  <si>
    <t>Chỉ tiêu (Vie)</t>
  </si>
  <si>
    <t>Yêu cầu của GRI</t>
  </si>
  <si>
    <t>Câu hỏi</t>
  </si>
  <si>
    <t>Hiện trạng</t>
  </si>
  <si>
    <t>PIC</t>
  </si>
  <si>
    <t>Nội dung hiển thị cho VNA</t>
  </si>
  <si>
    <t>Xã hội</t>
  </si>
  <si>
    <t>1. Các phúc lợi tiêu chuẩn được cung cấp cho nhân viên làm việc toàn thời gian của tổ chức
2. Danh sách các phúc lợi này bao gồm:
 (i) Bảo hiểm nhân thọ (Life insurance).
 (ii) Chăm sóc sức khỏe y tế (Health care).
 (iii) Bảo hiểm thương tật và mất khả năng lao động (Disability and invalidity coverage).
 (iv) Chế độ nghỉ phép chăm con/thai sản (Parental leave).
 (v) Chế độ hưu trí (Retirement provision).
 (vi) Quyền sở hữu cổ phần (Stock ownership).
 (vii) Các phúc lợi khác.</t>
  </si>
  <si>
    <t>Tổng công ty đã có những chính sách đãi ngộ như thế nào đối với người lao động?</t>
  </si>
  <si>
    <t>Đáp ứng</t>
  </si>
  <si>
    <t>Ban TCNL</t>
  </si>
  <si>
    <t>Mọi nhân viên chính thức ký hợp đồng lao động trực tiếp với Vietnam Airlines đều được hưởng chế độ đãi ngộ toàn diện, vượt trội so với mặt bằng chung của thị trường lao động, bao gồm: Bảo hiểm sức khỏe, Bảo hiểm hưu trí tự nguyện nhóm, vé máy bay giảm cước trên các chặng bay của Vietnam Airlines và đối tác liên kết (vé ID/AD, my ID Travel); các chính sách nhân văn, gắn kết như hỗ trợ các gia đình thương binh liệt sỹ, quà sinh nhật người lao động, quà tặng 8/3, 20/10 dành cho lao động nữ, …</t>
  </si>
  <si>
    <t>1. Quy trình tổ chức cho người lao động tham gia và tham vấn vào việc xây dựng, triển khai, cũng như đánh giá hệ thống quản lý an toàn và sức khỏe nghề nghiệp.
2. Cách thức tổ chức cung cấp quyền truy cập và truyền đạt các thông tin liên quan về an toàn, sức khỏe nghề nghiệp đến người lao động.
3. Thông tin chi tiết về các Ủy ban an toàn và sức khỏe chung (các ủy ban chính thức kết hợp giữa đại diện ban quản lý và người lao động) - nếu có tồn tại, dựa trên 4 tiêu chí bắt buộc:
 (i) Trách nhiệm của ủy ban;
 (ii) Tần suất tổ chức họp;
 (iii) Thẩm quyền ra quyết định của ủy ban;
 (iv) Tình trạng đại diện của người lao động (phải xác định rõ có nhóm lao động nào không được đại diện trong các ủy ban này không, và giải thích lý do tại sao).</t>
  </si>
  <si>
    <t>Tổng công ty có duy trì các kênh đối thoại và cơ chế đại diện cho người lao động trong công tác quản lý an toàn và sức khỏe nghề nghiệp không?</t>
  </si>
  <si>
    <t>Vietnam Airlines duy trì cơ chế đối thoại dân chủ trong công tác ATVSLĐ. Hội đồng ATVSLĐ của TCT được thành lập với 6 thành viên, trong đó đại diện người sử dụng lao động làm Chủ tịch; đại diện công đoàn Công đoàn TCT làm Phó Chủ tịch; đại diện Ban Tổ chức và nhân lực làm Ủy viên thường trực-Thư ký và các thành viên thuộc các ban An toàn chất lượng, An ninh Hàng không và Trạm y tế thuộc Đoàn bay 919. Hội đồng có nhiệm vụ tư vấn, phối hợp với người sử dụng lao động xây dựng nội quy, quy trình, kế hoạch và biện pháp ATVSLĐ; tổ chức đối thoại hằng năm giữa người lao động và người sử dụng lao động nhằm chia sẻ thông tin, tăng cường sự hiểu biết và thúc đẩy cải thiện các điều kiện làm việc công bằng, an toàn cho người lao động; nâng cao hiệu quả thực hiện chính sách, pháp luật về  ATVSLĐ tại nơi làm việc; kiểm tra tình hình thực hiện tác ATVSLĐ; và yêu cầu người sử dụng lao động xử lý, khắc phục nguy cơ mất ATVSLĐ. Bên cạnh đó, kế hoạch ATVSLĐ hằng năm của các cơ quan, đơn vị trong TCT đều xây dựng nội dung “Thông tin, tuyên truyền, giáo dục về ATVSLĐ</t>
  </si>
  <si>
    <t>Work-related ill health</t>
  </si>
  <si>
    <t>1. Số liệu thống kê về bệnh nghề nghiệp, được báo cáo tách biệt cho 2 nhóm: (a) Nhân viên của tổ chức (Employees) và (b) Người lao động không phải nhân viên nhưng công việc hoặc nơi làm việc do tổ chức kiểm soát. Dữ liệu mỗi nhóm phải bao gồm 3 chỉ tiêu:
 (i) Số ca tử vong do bệnh nghề nghiệp;
 (ii) Số ca mắc bệnh nghề nghiệp / suy giảm sức khỏe liên quan đến công việc có thể ghi nhận được (recordable cases);
 (iii) Các loại bệnh nghề nghiệp / suy giảm sức khỏe chính.
2. Thông tin phân tích về các mối nguy hiểm liên quan đến công việc (work-related hazards) có nguy cơ gây bệnh, dựa trên 3 tiêu chí:
 (i) Cách thức tổ chức xác định các mối nguy hiểm này;
 (ii) Các mối nguy hiểm cụ thể đã gây ra hoặc góp phần gây ra các ca bệnh trong kỳ báo cáo;
 (iii) Các hành động đã hoặc đang được thực hiện nhằm loại trừ mối nguy hiểm và giảm thiểu rủi ro.</t>
  </si>
  <si>
    <t>Tổng công ty đã kiểm soát và ghi nhận số liệu về bệnh nghề nghiệp đối với toàn bộ nhân viên như thế nào?</t>
  </si>
  <si>
    <t>Vietnam Airlines đặt sức khỏe thể chất và tinh thần của người lao động là ưu tiên hàng đầu trong quản trị ATVSLĐ. Trong kỳ báo cáo, TCT tiếp tục duy trì thành tích xuất sắc với 0 ca bệnh nghề nghiệp mới phát sinh. Để bảo đảm sức khỏe khai thác cho tổ bay, hãng tuân thủ tuyệt đối quy trình quản trị mệt mỏi phi hành đoàn (FRMS), bảo đảm 100% số giờ nghỉ ngơi tối thiểu giữa các ca bay đạt chuẩn an toàn. Đồng thời, định kỳ hàng năm TCT tổ chức khám sức khỏe cho toàn thể người lao động ít nhất 1 lần/ năm, một số lao động đặc thù được khám 2 lần/ năm hoặc khám bệnh nghề nghiệp chuyên sâu tại các cơ sở y tế đạt chuẩn, chi phí do TCT chi trả.</t>
  </si>
  <si>
    <t>Sự cố phân biệt đối xử và biện pháp xử lý (Phần nhân sự)</t>
  </si>
  <si>
    <t>1. Tổng số vụ việc phân biệt đối xử đã xảy ra và được ghi nhận trong kỳ báo cáo.
2. Tình trạng của các vụ việc và các hành động khắc phục tương ứng, được phân loại cụ thể theo 4 trạng thái bắt buộc:
 (i) Vụ việc đã được tổ chức tiếp nhận và đang xem xét/điều tra;
 (ii) Kế hoạch khắc phục (remediation plans) đang trong quá trình triển khai thực hiện;
 (iii) Kế hoạch khắc phục đã được triển khai hoàn tất (kèm theo kết quả đã được đánh giá thông qua các quy trình kiểm tra quản lý nội bộ định kỳ);
 (iv) Vụ việc đã khép lại và không còn thuộc diện phải tiếp tục xử lý hoặc hành động thêm.</t>
  </si>
  <si>
    <t>Tổng công ty có đảm bảo môi trường làm việc không xảy ra các hành vi kỳ thị hay phân biệt đối xử đối với người lao động không?</t>
  </si>
  <si>
    <t>Trong kỳ báo cáo, TCT ghi nhận 0 ý kiến về phân biệt đối xử hay kỳ thị đối với nhân viên nội bộ. TCT duy trì nguyên tắc bình đẳng, không chấp nhận hành vi xúc phạm, đe dọa hoặc phân biệt đối xử trong môi trường làm việc.</t>
  </si>
  <si>
    <t>1. Tỷ lệ phần trăm (%) tổng số nhân viên của tổ chức được điều chỉnh/bảo vệ bởi các thỏa ước lao động tập thể.
(2) Cung cấp thông tin đối với những nhân viên không được điều chỉnh bởi các thỏa ước lao động tập thể. Cụ thể, tổ chức phải báo cáo rõ liệu các điều kiện làm việc và điều khoản sử dụng lao động của nhóm nhân viên này có được xác định dựa trên:
 (i) Các thỏa ước lao động tập thể đang được áp dụng cho các nhân viên khác trong cùng tổ chức hay không; hoặc
 (ii) Các thỏa ước lao động tập thể từ các tổ chức khác hay không.</t>
  </si>
  <si>
    <t>Các chế độ đãi ngộ dành cho người lao động có được áp dụng dựa trên cơ sở pháp lý và thỏa ước tương đương nào để bảo đảm tối đa quyền lợi?</t>
  </si>
  <si>
    <t>Vietnam Airlines tôn trọng, cam kết bảo vệ quyền và lợi ích hợp pháp của người lao động thông qua cơ chế đối thoại, thương lượng và thỏa thuận. 100% người lao động được bảo vệ quyền lợi tại Thỏa ước lao động tập thể. Hằng năm, Ban lãnh đạo TCT phối hợp chặt chẽ với Ban chấp hành Công đoàn TCT tổ chức Hội nghị người lao động và đối thoại định kỳ nhằm lắng nghe tâm tư, nguyện vọng và liên tục cải thiện điều kiện làm việc, quyền và lợi ích hợp pháp của người lao động.</t>
  </si>
  <si>
    <t xml:space="preserve"> </t>
  </si>
  <si>
    <t>1. Tỷ lệ phần trăm (%) tổng số nhân viên được đánh giá hiệu quả công việc và phát triển nghề nghiệp định kỳ trong kỳ báo cáo.
2. Dữ liệu về tỷ lệ phần trăm này phải được báo cáo phân loại chi tiết theo 2 tiêu chí:
(i) Giới tính;
(ii) Cấp bậc nhân viên.</t>
  </si>
  <si>
    <t>Tổng công ty đã triển khai quy trình đánh giá kết quả công việc và lộ trình phát triển nghề nghiệp định kỳ cho các nhóm nhân viên chưa?</t>
  </si>
  <si>
    <t>Vietnam Airlines cam kết xây dựng một môi trường làm việc công bằng và tạo động lực phát triển liên tục thông qua hệ thống đánh giá kết quả công việc được số hóa trên nền tảng SkyHR. Hàng tháng, công tác đánh giá hiệu quả công việc được thực hiện một cách khách quan, công khai và minh bạch, áp dụng đồng bộ hệ thống Thẻ điểm cân bằng (BSC) kết hợp với các chỉ số đo lường hiệu quả cốt lõi (KPI) và các trục chỉ số đánh giá theo mô hình quản trị hiện đại. Kết quả đánh giá thực hiện công việc này là căn cứ quan trọng để Tổng công ty thực thi các chính sách nhân sự bền vững, bao gồm: quy hoạch, bổ nhiệm, điều động, luân chuyển; xác định nhu cầu đào tạo, bồi dưỡng phát triển năng lực; xét nâng bậc, khen thưởng, kỷ luật và giải quyết các quan hệ lao động phát sinh.</t>
  </si>
  <si>
    <t>1. Nếu các nghĩa vụ của chương trình hưu trí được chi trả bằng nguồn tài chính chung của tổ chức, phải báo cáo giá trị ước tính của các khoản nghĩa vụ này.
2. Nếu có một quỹ riêng biệt được thiết lập để chi trả các khoản nghĩa vụ lương hưu của chương trình, cần báo cáo 3 thông tin:
 (i) Mức độ (tỷ lệ) mà các nghĩa vụ của quỹ được ước tính sẽ được đảm bảo chi trả bởi các tài sản đã được trích lập;
 (ii) Cơ sở phương pháp luận để đưa ra mức ước tính đó;
 (iii) Thời điểm thực hiện việc ước tính.</t>
  </si>
  <si>
    <t>Tổng công ty có thực hiện đầy đủ các khoản bảo hiểm, mức trích đóng cụ thể ra sao?</t>
  </si>
  <si>
    <t>Vietnam Airlines thực hiện đóng đầy đủ, đúng hạn các khoản bảo hiểm bắt buộc theo đúng các quy định của Nhà nước. Ngoài ra, để bảo đảm an sinh xã hội dài hạn và bổ sung, hỗ trợ tài chính/ thu nhập sau khi nghỉ hưu cho người lao động, tùy thuộc vào kết quả sản xuất kinh doanh hằng năm, TCT thực hiện đóng vào quỹ hưu trí tự nguyện nhóm. Tổng số tiền đóng tối đa 300 triệu VND/người lao động/hợp đồng, giúp người lao động hoàn toàn yên tâm đồng hành dài hạn cùng sự phát triển của hãng hàng không quốc gia."</t>
  </si>
  <si>
    <t>Quản trị</t>
  </si>
  <si>
    <t>1. Sơ đồ cơ cấu quản trị
2. Danh sách các Ủy ban thuộc HĐQT.
3. Bảng thành phần HĐQT và từng Ủy ban theo 8 tiêu chí bắt buộc của GRI:
   (i) thành viên điều hành / không điều hành;
   (ii) tính độc lập;
   (iii) nhiệm kỳ / thời gian đã tại vị;
   (iv) số vị trí kiêm nhiệm quan trọng khác và tính chất của việc kiêm nhiệm;
   (v) giới tính;
   (vi) nhóm xã hội yếu thế/ít được đại diện;
   (vii) năng lực liên quan đến tác động tới TCT;
   (viii) đại diện của các bên liên quan.</t>
  </si>
  <si>
    <r>
      <t>Cơ cấu quản trị của Vietnam Airlines gồm ĐHĐCĐ, HĐQT, Ban Kiểm soát và TGĐ cùng bộ máy điều hành.</t>
    </r>
    <r>
      <rPr>
        <sz val="11"/>
        <color rgb="FFFF0000"/>
        <rFont val="Times New Roman"/>
        <family val="1"/>
      </rPr>
      <t xml:space="preserve"> </t>
    </r>
    <r>
      <rPr>
        <sz val="11"/>
        <color rgb="FF292929"/>
        <rFont val="Times New Roman"/>
        <family val="1"/>
      </rPr>
      <t xml:space="preserve">
HĐQT thành lập 02 tiểu ban: Tiểu ban Chiến lược và đầu tư; Tiểu ban Lao động và Tiền lương
Thành phần Hội đồng quản trị: 07 thành viên, gồm 01 thành viên độc lập, thành viên người đại diện phần vốn nhà nước và đại diện ANA. 
Đối với PTBV, HĐQT giữ vai trò định hướng và giám sát cao nhất. BĐH Chương trình PTBV do TGĐ làm Trưởng ban là cơ quan chịu trách nhiệm ra quyết định và giám sát việc quản lý các tác động kinh tế, môi trường và con người; TTK là cơ quan thường trực điều phối chuyên môn; các Tổ công tác được thành lập theo từng lĩnh vực/chương trình để chủ trì triển khai.
</t>
    </r>
    <r>
      <rPr>
        <sz val="11"/>
        <color rgb="FFFF0000"/>
        <rFont val="Times New Roman"/>
        <family val="1"/>
      </rPr>
      <t>(vẽ sơ đồ tương tự báo cáo thường niên)</t>
    </r>
  </si>
  <si>
    <t>1. Quy trình đề cử, lựa chọn thành viên HĐQT và các tiểu ban
2. Tiêu chí lựa chọn — bắt buộc nêu rõ có xét đến và xét như thế nào đối với:
   (i) ý kiến của các bên liên quan (bao gồm cổ đông);
   (ii) tính đa dạng;
   (iii) tính độc lập;
   (iv) năng lực liên quan đến tác động PTBV của TCT.</t>
  </si>
  <si>
    <t>Thành viên HĐQT Vietnam Airlines do ĐHĐCĐ bầu theo phương thức bầu dồn phiếu. Quyền đề cử ứng viên được thực hiện theo tỷ lệ sở hữu cổ phần; Với tư cách doanh nghiệp có vốn nhà nước chi phối, việc giới thiệu người đại diện phần vốn nhà nước tham gia HĐQT được thực hiện theo quy định của Luật số 68/2025/QH15 và chỉ đạo của cơ quan đại diện chủ sở hữu.
Trong quá trình đề cử và lựa chọn, TCT xem xét: ý kiến của cổ đông và các bên liên quan thông qua ĐHĐCĐ; tính độc lập của thành viên theo quy định pháp luật về công ty đại chúng; và năng lực, kinh nghiệm phù hợp với đặc thù ngành hàng không.</t>
  </si>
  <si>
    <t>Nêu rõ: Chủ tịch HĐQT có đồng thời là cán bộ điều hành cấp cao của TCT hay không.
Nếu Chủ tịch kiêm nhiệm điều hành: phải mô tả chức năng điều hành, lý do bố trí và cách ngăn ngừa/giảm thiểu xung đột lợi ích.</t>
  </si>
  <si>
    <t>CT HĐQT Vietnam Airlines là ông Đặng Ngọc Hòa. CT HĐQT không đồng thời là cán bộ điều hành cấp cao của TCT: chức danh TGĐ - người đại diện theo pháp luật và điều hành hoạt động hằng ngày - do ông Lê Hồng Hà đảm nhiệm.</t>
  </si>
  <si>
    <t>1. Vai trò của HĐQT và của cán bộ điều hành cấp cao trong việc xây dựng, phê duyệt và cập nhật: tầm nhìn/sứ mệnh/giá trị cốt lõi; chiến lược PTBV; các chính sách và mục tiêu PTBV.
2. Vai trò của HĐQT trong giám sát quy trình thẩm định chi tiết và các quy trình khác nhằm nhận diện và quản lý tác động kinh tế – môi trường – con người, gồm:
   (i) HĐQT có và tương tác với các bên liên quan như thế nào để hỗ trợ các quy trình này;
   (ii) HĐQT xem xét, sử dụng kết quả đầu ra của các quy trình này ra sao.
3. Vai trò của HĐQT trong rà soát tính hiệu quả của các quy trình nêu trên và tần suất rà soát.</t>
  </si>
  <si>
    <t>HĐQT là cơ quan quản lý cao nhất của Vietnam Airlines giữ vai trò định hướng và giám sát toàn diện đối với phát triển bền vững. TGĐ và BĐH Chương trình PTBV chịu trách nhiệm xây dựng, đề xuất và cập nhật các nội dung về tầm nhìn, sứ mệnh, giá trị cốt lõi, chiến lược PTBV để trình HĐQT.
HĐQT giám sát các quy trình nhận diện, đánh giá và quản lý tác động kinh tế, môi trường và con người thông qua báo cáo của BĐH Chương trình PTBV.
Rà soát hiệu quả: TTK họp hàng tháng, BĐH họp hàng quý, rà soát các chỉ tiêu PTBV và có báo cáo lên HĐQT nếu cần</t>
  </si>
  <si>
    <t>1. Cách HĐQT phân cấp trách nhiệm quản lý tác động, gồm:
   (i) HĐQT có bổ nhiệm cán bộ điều hành cấp cao chịu trách nhiệm về quản lý tác động hay không;
   (ii) trách nhiệm có được giao tiếp cho người lao động khác hay không.
2. Quy trình báo cáo ngược lên HĐQT về việc quản lý tác động.</t>
  </si>
  <si>
    <t>Hội đồng quản trị phân cấp trách nhiệm quản lý các tác động kinh tế, môi trường và con người cho Tổng giám đốc và bộ máy điều hành.
BĐH Chương trình PTBV do TGĐ làm Trưởng ban là đầu mối cấp cao nhất chịu trách nhiệm điều hành công tác PTBV của TCT. TTK là cơ quan thường trực, điều phối chuyên môn và tham mưu tổng hợp, chịu sự chỉ đạo trực tiếp của Trưởng BĐH và PTBTT. Các Tổ công tác được thành lập theo từng lĩnh vực để chủ trì triển khai và chịu trách nhiệm về kết quả trong phạm vi được giao.
Ở cấp thực thi, trách nhiệm được giao tiếp cho các Ban chức năng và đơn vị theo lĩnh vực chuyên môn: kiểm kê và giảm phát thải, quản lý nhiên liệu, mua sắm, nhân sự, dịch vụ hành khách, an toàn – chất lượng.
Cơ chế báo cáo ngược: BĐH Chương trình Phát triển bền vững tổng hợp và báo cáo HĐQT về tiến độ, kết quả và các vấn đề phát sinh trong quản lý tác động PTBV.</t>
  </si>
  <si>
    <t xml:space="preserve">Cần chỉ rõ: HĐQT có chịu trách nhiệm rà soát và phê duyệt thông tin công bố trong Báo cáo PTBV, bao gồm danh mục các chủ đề trọng yếu, hay không. Nếu có, hãy mô tả quy trình.
Nếu không, hãy đưa lý do. </t>
  </si>
  <si>
    <t>HĐQT chịu trách nhiệm rà soát và phê duyệt các thông tin công bố trong Báo cáo thường niên, bao gồm nội dung báo cáo PTBV.
Quy trình rà soát và phê duyệt: TTK BĐH Chương trình PTBV chủ trì thu thập dữ liệu từ các Tổ công tác, CQĐV, tổng hợp và xây dựng dự thảo báo cáo, gửi báo cáo cho Ban TT. Ban TT tập hợp thông tin báo cáo Ban Giám đốc và HĐQT báo cáo thường niên. HĐQT xem xét và phê duyệt trước khi công bố.</t>
  </si>
  <si>
    <t xml:space="preserve">Mô tả quy trình HĐQT ngăn ngừa và giảm thiểu xung đột lợi ích.
Báo cáo nếu xung đột lợi ích được tiết lộ đến các bên liên quan, ít nhất là bao gồm: 
i. Kiêm nhiệm chéo trong HĐQT 
ii. Sở hữu chéo với nhà cung cấp và các bên liên quan 
iii. Sự tồn tại của cổ đông chi phối
iv. Các bên liên quan: mối quan hệ, giao dịch và số dư còn lại. </t>
  </si>
  <si>
    <t xml:space="preserve">Điều 55 trong Điều lệ TCT ban hành ngày 28/6/2026 quy định về trách nhiệm trung thực và tránh các xung đột về quyền lợi. 
Xung đột lợi ích tới các bên liên quan:
i. Kiêm nhiệm chéo: 
• Ông Đặng Ngọc Hòa: Ủy viên BCH Liên đoàn thương mại và công nghiệp Việt Nam (VCCI) 
• Ông Lê Hồng Hà: thành viên Hội đồng Học viện Hàng không Việt Nam nhiệm kỳ 2025-2030
• Ông Tạ Mạnh Hùng: Chủ tịch HĐTV Công ty TNHH MTV Dịch vụ mặt đất sân bay Việt Nam (VIAGS)
• Ông Lê Trường Giang: Chủ tịch HĐQT Công ty cổ phần Dịch vụ hàng hóa Tân Sơn Nhất (TCS)
• Ông Đinh Việt Tùng: PTGĐ TCT Đầu tư và Kinh doanh vốn nhà nước (SCIC). Chủ tịch HĐQT TCT Licogi. Chủ tịch HĐQT TCTCP Bảo Minh
• Ông Trương Văn Phước: Ủy viên hội đồng khoa học của UB Thường vụ Quốc hội
• Ông Hidekazu Isone: PTGĐ phụ trách chiến lược của ANA Holdings
ii. Sở hữu chéo với nhà cung cấp: Vietnam Airlines nắm giữ vốn tại một số đơn vị đồng thời là nhà cung cấp dịch vụ cho Tổng công ty.
iii. Cổ đông chi phối: Nhà nước là cổ đông chi phối, nắm giữ khoảng 86,42% vốn điều lệ thông qua Bộ Tài chính và Tổng công ty Đầu tư và Kinh doanh vốn nhà nước (SCIC). ANA Holdings là cổ đông chiến lược với tỷ lệ 5,62%
iv. Giao dịch với bên liên quan: mối quan hệ, giá trị giao dịch và số dư còn lại với các bên liên quan được trình bày tại Thuyết minh Báo cáo tài chính hợp nhất đã kiểm toán hàng năm. </t>
  </si>
  <si>
    <t>1. Mô tả "mối quan ngại nghiêm trọng" và việc các mối quan ngại nghiêm trọng được báo cáo lên HĐQT như thế nào
2. Tổng số và tính chất của các mối quan ngại nghiêm trọng đã được báo cáo lên HĐQT trong kỳ báo cáo.</t>
  </si>
  <si>
    <t>Vietnam Airlines xác định "mối quan ngại nghiêm trọng" là các vấn đề liên quan đến tác động tiêu cực tiềm ẩn hoặc thực tế đối với các bên liên quan, hoặc liên quan đến hành vi kinh doanh của Tổng công ty, có mức độ ảnh hưởng đủ lớn để cần đến sự xem xét của cơ quan quản trị cao nhất. 
Các mối quan ngại nghiêm trọng được truyền đạt lên Hội đồng quản trị thông qua hệ thống kiểm toán nội bộ. Ban Kiểm soát thực hiện chức năng giám sát độc lập và báo cáo ĐHĐCĐ. Các vấn đề phát sinh từ kênh tiếp nhận đơn thư khiếu nại, tố cáo, kiến nghị, phản ánh và từ cơ chế tố giác nội bộ được xử lý theo trình tự, thủ tục quy định và được báo cáo lên cấp có thẩm quyền tương ứng với tính chất, mức độ của vụ việc.</t>
  </si>
  <si>
    <t>Các biện pháp đã thực hiện để nâng cao kiến thức, kỹ năng và kinh nghiệm tập thể của HĐQT về phát triển bền vững.</t>
  </si>
  <si>
    <t xml:space="preserve">Vietnam Airlines chú trọng nâng cao năng lực về PTBV cho đội ngũ quản trị và điều hành. Trong năm 2025, BĐH Chương trình PTBV đã hoàn thành chương trình đào tạo về PTBV do chuyên gia tư vấn độc lập bên ngoài thực hiện và dự định triển khai kế hoạch đối với HĐQT trong thời gian tới. </t>
  </si>
  <si>
    <t>1. Mô tả quy trình đánh giá hiệu quả hoạt động của HĐQT trong việc giám sát quản lý tác động kinh tế – môi trường – con người 
2. Đánh giá là độc lập hay tự đánh giá; tần suất đánh giá.
3. Các hành động đã thực hiện sau đánh giá, bao gồm thay đổi về thành phần HĐQT và thay đổi về thông lệ quản trị của tổ chức.</t>
  </si>
  <si>
    <t>Ban KS có đánh giá HĐQT hàng năm</t>
  </si>
  <si>
    <t>1. Danh mục các cam kết chính sách về ứng xử kinh doanh có trách nhiệm, bao gồm: 
i. các văn kiện liên chính phủ có thẩm quyền mà các cam kết đề cập đến;
ii. cam kết có yêu cầu thực hiện thẩm định chi tiết hay không;
iii. cam kết có áp dụng nguyên tắc phòng ngừa hay không;
iv. cam kết có quy định về tôn trọng quyền con người hay không.
2. Cam kết riêng về tôn trọng quyền con người: 
i. các quyền con người được quốc tế công nhận mà cam kết này bao hàm;
ii. các nhóm bên liên quan được đặc biệt quan tâm, gồm nhóm có nguy cơ/dễ bị tổn thương.
3. Đường dẫn công bố công khai của từng chính sách, hoặc lý do không công khai.
4. Cấp phê duyệt của từng chính sách - nêu rõ có phải cấp cao nhất hay không.
5. Phạm vi áp dụng.
6. Cách truyền thông cam kết tới người lao động, đối tác kinh doanh và các bên liên quan khác.</t>
  </si>
  <si>
    <t xml:space="preserve">Vietnam Airlines thiết lập hệ thống cam kết chính sách về ứng xử kinh doanh có trách nhiệm, được đăng tải trên các trang nội bộ của Vietnam Airlines, bao gồm:
• Chương trình Phòng, chống tham nhũng, tiêu cực, thực hành tiết kiệm, chống lãng phí (ban hành năm 2025);
• Bộ định nghĩa hành vi và Hướng dẫn thực hiện văn hóa chính trực
• Chính sách An toàn (thuộc Tài liệu Hệ thống Quản lý An toàn – SMSM)
• Quy chế quản lý lao động
• Quy chế bảo vệ môi trường, sử dụng năng lượng tiết kiệm và hiệu quả
• Quy chế đấu thầu và mua sắm
• ... </t>
  </si>
  <si>
    <t>Mô tả cách VNA lồng ghép từng cam kết chính sách vào toàn bộ hoạt động và quan hệ kinh doanh, bao gồm:
i. Cách phân bổ trách nhiệm thực thi cam kết theo các cấp trong tổ chức;
ii. Cách tích hợp cam kết vào chiến lược, chính sách vận hành, quy trình vận hành; 
iii. Cách thực thi cam kết thông qua quan hệ kinh doanh; 
iv. Đào tạo về thực thi cam kết: đối tượng, nội dung, hình thức, tần suất, tỷ lệ hoàn thành.</t>
  </si>
  <si>
    <t xml:space="preserve">Vietnam Airlines lồng ghép các cam kết chính sách vào hoạt động, cụ thể: 
Phân bổ trách nhiệm theo cấp: HĐQT giữ vai trò giám sát cao nhất. TGĐ và BĐH Chương trình PTBV chịu trách nhiệm tổ chức thực hiện. Các Tổ công tác, CQĐV chịu trách nhiệm hằng ngày đối với từng nhóm cam kết theo lĩnh vực chuyên môn. 
Tích hợp vào chiến lược và quy trình vận hành: các cam kết phát triển bền vững được cụ thể hóa thành chỉ tiêu trong kế hoạch sản xuất kinh doanh hằng năm. 
Thực thi qua quan hệ kinh doanh: ví dụ qua Bộ Quy tắc Ứng xử dành cho nhà cung cấp; tiêu chí sàng lọc trong quy trình mua sắm và đấu thầu.]
Đào tạo: Trong nội bộ VNA đã triển khai nhiều khóa đào tạo về thực thi các chính sách, cam kết như: về an toàn thông tin, giao tiếp và hợp tác trên môi trường số, Nâng cao nhận thức pháp luật về Bảo vệ dữ liệu cá nhân, ... </t>
  </si>
  <si>
    <t xml:space="preserve">1. Cam kết của VNA về việc thực hiện hoặc hợp tác khắc phục các tác động tiêu cực mà VNA gây ra hoặc góp phần gây ra;
2. Mô tả cách tiếp cận của tổ chức trong việc xác định và giải quyết các khiếu nại, bao gồm cả các cơ chế giải quyết khiếu nại mà tổ chức đã thiết lập hoặc tham gia;
3. Các quy trình khắc phục khác ngoài cơ chế khiếu nại; 
4. Mô tả cách thức các bên liên quan - với tư cách là người sử dụng cơ chế khiếu nại - tham gia vào quá trình thiết kế, rà soát, vận hành và cải tiến các cơ chế này;
5. Cách doanh nghiệp theo dõi tính hiệu quả của cơ chế khiếu nại và các quy trình khắc phục; ví dụ minh chứng về hiệu quả, kèm phản hồi của bên liên quan. </t>
  </si>
  <si>
    <t>Vietnam Airlines cam kết thực hiện hoặc hợp tác khắc phục các tác động tiêu cực mà Tổng công ty gây ra hoặc góp phần gây ra đối với các bên liên quan, trên cơ sở bảo vệ quyền và lợi ích hợp pháp của tổ chức, cá nhân và tuân thủ pháp luật hiện hành.</t>
  </si>
  <si>
    <t xml:space="preserve">1. Cơ chế để cá nhân xin tư vấn về việc thực thi các chính sách và thông lệ ứng xử kinh doanh có trách nhiệm. 
2. Cơ chế để cá nhân phản ánh quan ngại về hành vi kinh doanh của doanh nghiệp. </t>
  </si>
  <si>
    <t>Vietnam Airlines duy trì các cơ chế để cá nhân xin tư vấn và phản ánh quan ngại liên quan đến ứng xử kinh doanh có trách nhiệm.
Xin tư vấn: người lao động và các bên liên quan có thể liên hệ Ban Pháp chế và các Ban chức năng để được hướng dẫn về việc áp dụng các quy định nội bộ và pháp luật liên quan trong hoạt động hằng ngày. 
Phản ánh quan ngại: Vietnam Airlines tiếp nhận và xử lý đơn thư khiếu nại, tố cáo, kiến nghị, phản ánh theo quy định của pháp luật 
Bảo mật và bảo vệ người tố giác: thông tin về người tố cáo được bảo mật theo quy định pháp luật; người tố cáo được bảo vệ và không bị trả đũa vì việc phản ánh trung thực.</t>
  </si>
  <si>
    <t>Đây là chỉ tiêu định lượng - bốn tiểu mục đều yêu cầu số liệu, không phải cam kết:
1. TỔNG SỐ trường hợp không tuân thủ đáng kể phát sinh trong kỳ, chia theo:
   (i) số trường hợp bị phạt tiền;
   (ii) số trường hợp bị áp dụng chế tài phi tiền tệ.
2. TỔNG SỐ và GIÁ TRỊ TIỀN các khoản phạt ĐÃ NỘP trong kỳ, chia theo:
   (i) khoản phạt cho vi phạm phát sinh trong kỳ báo cáo;
   (ii) khoản phạt cho vi phạm phát sinh ở các kỳ trước.
3. Mô tả từng trường hợp không tuân thủ đáng kể (địa bàn, lĩnh vực, bối cảnh).
4. Mô tả cách thức xác định các trường hợp không tuân thủ nghiêm trọng</t>
  </si>
  <si>
    <t>Vietnam Airlines cam kết duy trì ở mức cao nhất các tiêu chuẩn đạo đức trong hoạt động sản xuất kinh doanh, đề cao tính chuyên nghiệp, trung thực và minh bạch. Bảo đảm tuân thủ các điều ước quốc tế, Hiến pháp và pháp luật luôn là ưu tiên quan trọng của Tổng công ty trong mọi hoạt động. 
Trong năm 2025, VNA không bị phạt hoặc áp dụng chế tài</t>
  </si>
  <si>
    <t xml:space="preserve">1. Danh mục các nhóm bên liên quan mà doanh nghiệp đối thoại và phương pháp nhận diện các nhóm này. 
2. Mục đích đối thoại với từng nhóm
3. Cách doanh nghiệp đảm bảo đối thoại thực chất </t>
  </si>
  <si>
    <t>Vietnam Airlines xác định các nhóm bên liên quan trên cơ sở mức độ ảnh hưởng của hoạt động của TCT tới các nhóm này và mức độ ảnh hưởng của các nhóm này tới hoạt động của TCT. Mục đích đối thoại là nắm bắt kỳ vọng và mối quan tâm của từng nhóm, nhận diện các tác động thực tế và tiềm ẩn, và xác định các biện pháp phòng ngừa, giảm thiểu phù hợp.
Các nhóm bên liên quan chính và kênh đối thoại bao gồm: 
• Cổ đông và nhà đầu tư: ĐHĐCĐ thường niên và bất thường; công bố thông tin định kỳ và bất thường theo quy định; gặp gỡ nhà đầu tư.
• Khách hàng: các kênh tiếp nhận phản ánh, khiếu nại; khảo sát mức độ hài lòng; chương trình khách hàng thường xuyên; mạng xã hội.
• Người lao động và Công đoàn: Hội nghị người lao động; đối thoại tại nơi làm việc; thương lượng tập thể; các kênh truyền thông nội bộ.
• Cơ quan quản lý nhà nước: báo cáo định kỳ; làm việc với cơ quan đại diện chủ sở hữu và cơ quan quản lý chuyên ngành; tham gia góp ý xây dựng chính sách.
• Nhà cung cấp và đối tác: đàm phán hợp đồng; đánh giá nhà cung cấp; hội nghị đối tác.
• Cộng đồng: các chương trình cộng đồng và hoạt động an sinh xã hội.
• Hiệp hội và liên minh ngành: tham gia IATA, AAPA, SkyTeam và Hiệp hội Doanh nghiệp Hàng không Việt Nam.
• Cơ quan truyền thông: họp báo, thông cáo báo chí, kênh truyền thông chính thức.</t>
  </si>
  <si>
    <t>LƯU Ý CẤU TRÚC: GRI 3-3 phải được báo cáo RIÊNG cho TỪNG chủ đề trọng yếu, không báo cáo gộp cho cả trụ cột. Trước 3-3 phải có GRI 3-1 (quy trình xác định chủ đề trọng yếu) và GRI 3-2 (danh mục chủ đề trọng yếu).
i. Xác định các chủ đề trọng yếu thuộc trụ cột Governance. 
ii. Với mỗi chủ đề, công bố đủ 6 nội dung:
(a) Mô tả các tác động thực tế và tiềm ẩn, tiêu cực và tích cực đối với kinh tế, môi trường và con người (kể cả quyền con người).
(b) VNA có liên quan tới các tác động tiêu cực đó thông qua hoạt động của chính mình hay thông qua quan hệ kinh doanh — và mô tả hoạt động/quan hệ kinh doanh đó.
(c) Các chính sách hoặc cam kết đối với chủ đề.
(d) Các hành động quản lý chủ đề, gồm: (i) ngăn ngừa/giảm thiểu tác động tiêu cực tiềm ẩn; (ii) xử lý tác động tiêu cực thực tế, gồm thực hiện hoặc hợp tác khắc phục; (iii) quản lý tác động tích cực.
(e) Theo dõi hiệu quả của các hành động, gồm: (i) quy trình theo dõi; (ii) mục tiêu, chỉ tiêu và chỉ số đánh giá tiến độ; (iii) mức độ hiệu quả đạt được, gồm tiến độ so với mục tiêu; (iv) bài học rút ra và cách đưa vào chính sách, quy trình vận hành.
(f) Việc đối thoại với các bên liên quan đã định hình các hành động tại (d) và việc đánh giá hiệu quả tại (e) như thế nào.</t>
  </si>
  <si>
    <t>Đề xuất không đưa nội dung này lên website, vì cần báo cáo cụ thể cho 21 chỉ tiêu còn lại nên có thể trùng với các nội dung đã báo cáo</t>
  </si>
  <si>
    <t xml:space="preserve">1. TỔNG GIÁ TRỊ TIỀN TỆ hỗ trợ tài chính nhận được từ BẤT KỲ chính phủ nào trong kỳ, phân theo 08 loại:
   (i) miễn, giảm thuế và tín dụng thuế;
   (ii) trợ cấp;
   (iii) tài trợ đầu tư, tài trợ nghiên cứu và phát triển, các loại tài trợ khác;
   (iv) giải thưởng;
   (v) miễn/giảm tiền bản quyền, phí nhượng quyền;
   (vi) hỗ trợ tài chính từ các Cơ quan Tín dụng Xuất khẩu (ECA);
   (vii) ưu đãi tài chính;
   (viii) lợi ích tài chính khác đã nhận hoặc sẽ nhận từ bất kỳ chính phủ nào cho bất kỳ hoạt động nào 
2. Số liệu tại mục (1) phân tách theo quốc gia 
3. Chính phủ có hiện diện trong cơ cấu sở hữu hay không và mức độ hiện diện
4. Cơ sở xác định giá trị: áp dụng nhất quán các nguyên tắc kế toán được thừa nhận chung
</t>
  </si>
  <si>
    <r>
      <t xml:space="preserve">Sự hiện diện của Nhà nước trong cơ cấu sở hữu: Nhà nước là cổ đông chi phối của Vietnam Airlines, nắm giữ khoảng 86,42% vốn điều lệ thông qua Bộ Tài chính và Tổng công ty Đầu tư và Kinh doanh vốn nhà nước (SCIC). Nhà nước thực hiện các quyền và nghĩa vụ của cổ đông theo quy định của pháp luật và Điều lệ TCT. 
</t>
    </r>
    <r>
      <rPr>
        <sz val="11"/>
        <color theme="1" tint="0.14999847407452621"/>
        <rFont val="Times New Roman"/>
        <family val="1"/>
      </rPr>
      <t xml:space="preserve">
Hỗ trợ tài chính nhận từ Chính phủ: Thực hiện Nghị quyết số 135/2020/QH14 ngày 17/11/2020 của Quốc hội về các giải pháp tháo gỡ khó khăn cho TCTHKVN do ảnh hưởng của đại dịch COVID-19, Vietnam Airlines đã triển khai gói giải pháp thanh khoản quy mô 12.000 tỷ đồng, gồm:
• Khoản vay tái cấp vốn 4.000 tỷ đồng thông qua các tổ chức tín dụng được Ngân hàng Nhà nước tái cấp vốn với lãi suất 0%/năm, không tài sản bảo đảm. Khoản vay đã được Quốc hội cho phép gia hạn trả nợ, tối đa đến ngày 31/12/2027.
• Phương án phát hành cổ phiếu tăng vốn điều lệ quy mô khoảng 8.000 tỷ đồng, trong đó SCIC thay mặt Chính phủ thực hiện quyền mua cổ phần của cổ đông Nhà nước.
Kiểm toán Nhà nước đã thực hiện kiểm toán việc sử dụng nguồn vốn của gói hỗ trợ và kết luận nguồn vốn được quản lý, sử dụng đúng mục đích đề ra.</t>
    </r>
  </si>
  <si>
    <r>
      <t xml:space="preserve">Đây là chỉ tiêu định lượng, cụ thể: 
1. Số lượng và tỷ lệ </t>
    </r>
    <r>
      <rPr>
        <b/>
        <sz val="11"/>
        <rFont val="Times New Roman"/>
        <family val="1"/>
      </rPr>
      <t>thành viên cơ quan quản trị</t>
    </r>
    <r>
      <rPr>
        <sz val="11"/>
        <rFont val="Times New Roman"/>
        <family val="1"/>
      </rPr>
      <t xml:space="preserve"> đã được </t>
    </r>
    <r>
      <rPr>
        <b/>
        <sz val="11"/>
        <rFont val="Times New Roman"/>
        <family val="1"/>
      </rPr>
      <t>truyền thông</t>
    </r>
    <r>
      <rPr>
        <sz val="11"/>
        <rFont val="Times New Roman"/>
        <family val="1"/>
      </rPr>
      <t xml:space="preserve"> về chính sách và quy trình phòng, chống tham nhũng — phân theo khu vực.
2. Số lượng và tỷ lệ </t>
    </r>
    <r>
      <rPr>
        <b/>
        <sz val="11"/>
        <rFont val="Times New Roman"/>
        <family val="1"/>
      </rPr>
      <t>người lao động</t>
    </r>
    <r>
      <rPr>
        <sz val="11"/>
        <rFont val="Times New Roman"/>
        <family val="1"/>
      </rPr>
      <t xml:space="preserve"> đã được </t>
    </r>
    <r>
      <rPr>
        <b/>
        <sz val="11"/>
        <rFont val="Times New Roman"/>
        <family val="1"/>
      </rPr>
      <t>truyền thông</t>
    </r>
    <r>
      <rPr>
        <sz val="11"/>
        <rFont val="Times New Roman"/>
        <family val="1"/>
      </rPr>
      <t xml:space="preserve"> — phân theo nhóm lao động và theo khu vực
3. Số lượng và tỷ lệ </t>
    </r>
    <r>
      <rPr>
        <b/>
        <sz val="11"/>
        <rFont val="Times New Roman"/>
        <family val="1"/>
      </rPr>
      <t>đối tác kinh doanh</t>
    </r>
    <r>
      <rPr>
        <sz val="11"/>
        <rFont val="Times New Roman"/>
        <family val="1"/>
      </rPr>
      <t xml:space="preserve"> đã được </t>
    </r>
    <r>
      <rPr>
        <b/>
        <sz val="11"/>
        <rFont val="Times New Roman"/>
        <family val="1"/>
      </rPr>
      <t>truyền thông</t>
    </r>
    <r>
      <rPr>
        <sz val="11"/>
        <rFont val="Times New Roman"/>
        <family val="1"/>
      </rPr>
      <t xml:space="preserve"> — phân theo nhóm lao động và theo khu vực; đồng thời mô tả nếu có truyền thông tới tổ chức/cá nhân khác.
4. Số lượng và tỷ lệ thành viên </t>
    </r>
    <r>
      <rPr>
        <b/>
        <sz val="11"/>
        <rFont val="Times New Roman"/>
        <family val="1"/>
      </rPr>
      <t>HĐQT</t>
    </r>
    <r>
      <rPr>
        <sz val="11"/>
        <rFont val="Times New Roman"/>
        <family val="1"/>
      </rPr>
      <t xml:space="preserve"> đã được </t>
    </r>
    <r>
      <rPr>
        <b/>
        <sz val="11"/>
        <rFont val="Times New Roman"/>
        <family val="1"/>
      </rPr>
      <t>đào tạo</t>
    </r>
    <r>
      <rPr>
        <sz val="11"/>
        <rFont val="Times New Roman"/>
        <family val="1"/>
      </rPr>
      <t xml:space="preserve"> về phòng, chống tham nhũng — phân theo khu vực.
5. Số lượng và tỷ lệ </t>
    </r>
    <r>
      <rPr>
        <b/>
        <sz val="11"/>
        <rFont val="Times New Roman"/>
        <family val="1"/>
      </rPr>
      <t>người lao động</t>
    </r>
    <r>
      <rPr>
        <sz val="11"/>
        <rFont val="Times New Roman"/>
        <family val="1"/>
      </rPr>
      <t xml:space="preserve"> đã được </t>
    </r>
    <r>
      <rPr>
        <b/>
        <sz val="11"/>
        <rFont val="Times New Roman"/>
        <family val="1"/>
      </rPr>
      <t>đào tạo</t>
    </r>
    <r>
      <rPr>
        <sz val="11"/>
        <rFont val="Times New Roman"/>
        <family val="1"/>
      </rPr>
      <t xml:space="preserve">  — phân theo nhóm lao động và khu vực.</t>
    </r>
  </si>
  <si>
    <t>Trong năm 2025, Ban lãnh đạo Vietnam Airlines đã ban hành Chương trình Phòng, chống tham nhũng, tiêu cực, thực hành tiết kiệm, chống lãng phí — được xác định là kim chỉ nam trong mọi hoạt động sản xuất kinh doanh cũng như công tác quản trị nội bộ. Chương trình được triển khai theo Luật Phòng, chống tham nhũng 2018 và các quy định liên quan.
-&gt; Mục 1 và 2 đã đảm bảo tỷ lệ 100%</t>
  </si>
  <si>
    <t>1. TỔNG SỐ và TÍNH CHẤT các sự cố tham nhũng ĐÃ ĐƯỢC XÁC NHẬN trong kỳ báo cáo.
2. (b) Tổng số sự cố đã xác nhận dẫn tới việc NGƯỜI LAO ĐỘNG bị sa thải hoặc bị kỷ luật vì hành vi tham nhũng.
3. (c) Tổng số sự cố đã xác nhận dẫn tới việc CHẤM DỨT hoặc KHÔNG GIA HẠN hợp đồng với đối tác kinh doanh do vi phạm liên quan đến tham nhũng.
4. (d) Các VỤ VIỆC PHÁP LÝ CÔNG KHAI về tham nhũng được khởi kiện đối với Tổng công ty hoặc người lao động của Tổng công ty trong kỳ, và KẾT QUẢ xử lý các vụ việc đó.</t>
  </si>
  <si>
    <t>Không có sự cố tham nhũng nào tại Vietnam Airlines</t>
  </si>
  <si>
    <t>1. (a) SỐ VỤ KIỆN đang xử lý hoặc đã hoàn tất trong kỳ báo cáo liên quan đến hành vi hạn chế cạnh tranh và vi phạm pháp luật về chống độc quyền, trong đó doanh nghiệp được xác định là MỘT BÊN THAM GIA.
2. (b) KẾT QUẢ CHÍNH của các vụ kiện đã hoàn tất, bao gồm các quyết định hoặc phán quyết.</t>
  </si>
  <si>
    <t>Không có vụ kiện về cạnh tranh không lành mạnh, độc quyền nào tại Vietnam Airlines</t>
  </si>
  <si>
    <t>1. (a) TỔNG GIÁ TRỊ TIỀN TỆ các khoản đóng góp chính trị bằng TIỀN và bằng HIỆN VẬT, được thực hiện TRỰC TIẾP và GIÁN TIẾP bởi doanh nghiệp — phân theo QUỐC GIA và theo BÊN NHẬN/THỤ HƯỞNG.
2. (b) Nếu có đóng góp bằng hiện vật: phương pháp ước tính giá trị.</t>
  </si>
  <si>
    <t xml:space="preserve">Là Hãng hàng không quốc gia, Vietnam Airlines phối hợp chặt chẽ với Chính phủ và các cơ quan quản lý trong quá trình xây dựng và hoàn thiện chính sách, pháp luật về hàng không dân dụng và phát triển bền vững. 
Tổng công ty cũng tham gia đóng góp ý kiến chính sách một cách gián tiếp thông qua các hiệp hội và liên minh ngành như IATA, AAPA, SkyTeam và Hiệp hội Doanh nghiệp Hàng không Việt Nam. Trong năm 2026, Vietnam Airlines đã chi 753.708 USD phí hội viên cho các hiệp hội và liên minh trên
</t>
  </si>
  <si>
    <t>Thông tin nguồn</t>
  </si>
  <si>
    <t>Báo cáo</t>
  </si>
  <si>
    <t>Đưa ra landing page</t>
  </si>
  <si>
    <t>PIC (AQT)</t>
  </si>
  <si>
    <t>Chủ đề</t>
  </si>
  <si>
    <t>Tên chỉ tiêu</t>
  </si>
  <si>
    <t>Mã báo cáo</t>
  </si>
  <si>
    <t>Chỉ tiêu con/báo cáo (EN)</t>
  </si>
  <si>
    <t>Chỉ tiêu con/báo cáo (VI)</t>
  </si>
  <si>
    <t>Người cung cấp</t>
  </si>
  <si>
    <t>Định nghĩa / Diễn giải</t>
  </si>
  <si>
    <t>Logic/Công thức tính</t>
  </si>
  <si>
    <t>Đơn vị tính</t>
  </si>
  <si>
    <t>Nguồn dữ liệu thực tế</t>
  </si>
  <si>
    <t>Tần suất cập nhật dữ liệu</t>
  </si>
  <si>
    <t>Chiều tổng hợp dữ liệu</t>
  </si>
  <si>
    <t>So sánh với lũy kế cùng kỳ</t>
  </si>
  <si>
    <t>So sánh với cùng kỳ</t>
  </si>
  <si>
    <t>So sánh với tháng trước</t>
  </si>
  <si>
    <t>So sánh với định mức</t>
  </si>
  <si>
    <t>So sánh với kế hoạch tháng</t>
  </si>
  <si>
    <t>So sánh với kế hoạch năm</t>
  </si>
  <si>
    <t>So sánh với ngưỡng</t>
  </si>
  <si>
    <t>So sánh các tháng trong năm</t>
  </si>
  <si>
    <t>So sánh các quý trong năm</t>
  </si>
  <si>
    <t>So sánh các năm</t>
  </si>
  <si>
    <t>Mức độ ưu tiên
(1: Rất cần thiết
2: Cần thiết
3: Bình thường
4: Chưa quan tâm
5: Có thể bị thay thế, loại bỏ)</t>
  </si>
  <si>
    <t>Tài liệu/Form</t>
  </si>
  <si>
    <t>Bảng</t>
  </si>
  <si>
    <t>Trường dữ liệu</t>
  </si>
  <si>
    <t>Quy tắc lấy dữ liệu</t>
  </si>
  <si>
    <t>Ghi chú của thông tin nguồn</t>
  </si>
  <si>
    <t>Tên báo cáo (EN)</t>
  </si>
  <si>
    <t>Tên báo cáo (VN)</t>
  </si>
  <si>
    <t>Tab</t>
  </si>
  <si>
    <t>Loại biểu đồ</t>
  </si>
  <si>
    <t>MS Lê</t>
  </si>
  <si>
    <t>NhiPLH</t>
  </si>
  <si>
    <t>CT 1.1</t>
  </si>
  <si>
    <t>Total Fuel Consumption</t>
  </si>
  <si>
    <t>Tổng nhiên liệu tiêu thụ</t>
  </si>
  <si>
    <t>Chị Lê</t>
  </si>
  <si>
    <t>- Tổng lượng nhiên liệu hàng không được ghi nhận tiêu thụ trong kỳ, được xác định dựa trên lượng nhiên liệu nạp vào tàu bay (fuel uplift) thay vì lượng nhiên liệu thực tế đốt cháy trong quá trình bay.
- Toàn bộ nhiên liệu nạp cho chuyến bay sẽ được phân bổ vào ngày khởi hành của chuyến bay đó, bao gồm cả nhiên liệu sử dụng trong giai đoạn taxi out/in, kể cả đối với các chuyến bay kéo dài sang ngày hôm sau.
- Nhiên liệu tiêu thụ bao gồm cả nhiên liệu Jet A-1 và nhiên liệu SAF nguyên chất; tuy nhiên không phải tất cả chuyến bay đều sử dụng SAF, do một số chuyến bay chỉ sử dụng 100% nhiên liệu Jet A-1</t>
  </si>
  <si>
    <t>- Tổng nhiên liệu tiêu thụ = Tổng lượng nhiên liệu đã nạp trên tất cả chuyến bay theo hóa đơn</t>
  </si>
  <si>
    <t>- Lít</t>
  </si>
  <si>
    <t>- FIMS</t>
  </si>
  <si>
    <t>- Hàng tháng (ngày cuối cùng trong tháng)</t>
  </si>
  <si>
    <t>X</t>
  </si>
  <si>
    <t>FLIGHT_INTERGRATED.xlsx</t>
  </si>
  <si>
    <t>stg_fims.receipts</t>
  </si>
  <si>
    <t>number_unit</t>
  </si>
  <si>
    <t>Tổng hợp lượng tra nạp (uplift) dựa trên hóa đơn, gán theo ngày khởi hành (dep_dt). Đơn vị: Lít.</t>
  </si>
  <si>
    <t>Card</t>
  </si>
  <si>
    <t>CT 1.2</t>
  </si>
  <si>
    <t>Jet A-1 Fuel Consumption</t>
  </si>
  <si>
    <t>Nhiên liệu tiêu thụ Jet A-1</t>
  </si>
  <si>
    <t>- Là tổng lượng nhiên liệu hàng không hóa thạch Jet A-1 được tra nạp và sử dụng cho hoạt động khai thác bay.</t>
  </si>
  <si>
    <t>- Nhiên liệu tiêu thụ Jet A-1 = Tổng nhiên liệu tiêu thụ - Lượng SAF nguyên chất.</t>
  </si>
  <si>
    <t>- Tổng nhiên liệu tiêu thụ: FIMS.
- Nhiên liệu SAF nguyên chất: ANCM.</t>
  </si>
  <si>
    <t>https://vtxgroupvn.sharepoint.com/:x:/r/sites/v25gfx02639/_layouts/15/Doc.aspx?sourcedoc=%7B037CC2E8-12C6-41E4-A941-1E3E6132DE37%7D&amp;file=FIMS.xlsx&amp;action=default&amp;mobileredirect=true</t>
  </si>
  <si>
    <t>- Lấy tổng nhiên liệu từ FIMS trừ đi lượng SAF nguyên chất (Neat SAF). Đơn vị: Lít.
- Neat SAF: Lấy từ ANCM</t>
  </si>
  <si>
    <t>Chưa có ANCM</t>
  </si>
  <si>
    <t>CT 1.3</t>
  </si>
  <si>
    <t>SAF Consumption</t>
  </si>
  <si>
    <t>Nhiên liệu tiêu thụ SAF</t>
  </si>
  <si>
    <t>- Nhiên liệu tiêu thụ SAF là phần SAF nguyên chất (Neat SAF).
- Trên thực tế, tàu bay không sử dụng 100% SAF mà sử dụng nhiên liệu pha trộn giữa SAF và Jet A-1 theo tỷ lệ do nhà cung cấp hoặc quy định từng khu vực quy định.</t>
  </si>
  <si>
    <t>- Nhiên liệu tiêu thụ SAF = Tổng lượng SAF nguyên chất được xác định trong chứng nhận từ nhà cung cấp tại các sân bay.</t>
  </si>
  <si>
    <t>- ANCM</t>
  </si>
  <si>
    <t>- Năm, Tháng</t>
  </si>
  <si>
    <t>Nhập tay (ANCM)</t>
  </si>
  <si>
    <t>Tổng hợp từ chứng nhận nạp SAF do nhà cung cấp cấp tại các sân bay quốc tế. Đơn vị: Lít.</t>
  </si>
  <si>
    <t>CT 1.4</t>
  </si>
  <si>
    <t>Fuel Type Distribution</t>
  </si>
  <si>
    <t>Tỷ lệ các loại nhiên liệu</t>
  </si>
  <si>
    <t>- Chỉ tiêu phản ánh tỷ trọng tiêu thụ của từng loại nhiên liệu trong tổng lượng nhiên liệu khai thác bay, bao gồm nhiên liệu Jet A-1 và nhiên liệu SAF.</t>
  </si>
  <si>
    <t>- Tỷ lệ nhiên liệu SAF = Lượng tiêu thụ nhiên liệu SAF/ Tổng lượng nhiên liệu tiêu thụ.
- Tỷ lệ nhiên liệu Jet A-1 = Lượng tiêu thụ nhiên liệu Jet A-1/ Tổng lượng nhiên liệu tiêu thụ.</t>
  </si>
  <si>
    <t>- Tham chiếu nguồn dữ liệu của CT 1.2 và CT 1.3.</t>
  </si>
  <si>
    <t>- Theo tháng hoặc theo năm (ngày cuối cùng trong tháng)</t>
  </si>
  <si>
    <t>Thừa kế luồng</t>
  </si>
  <si>
    <t>Tính toán tỷ lệ phần trăm (%) cho từng loại nhiên liệu trên tổng lượng tiêu thụ.</t>
  </si>
  <si>
    <t>Donut</t>
  </si>
  <si>
    <t>CT 1.5</t>
  </si>
  <si>
    <t>Neat SAF Consumption by Ratio</t>
  </si>
  <si>
    <t>Tiêu thụ SAF theo tỷ lệ pha trộn SAF</t>
  </si>
  <si>
    <t>- Tổng lượng nhiên liệu pha trộn SAF được phân loại theo các mức tỷ lệ pha trộn SAF khác nhau như 2%, 3%, 5%, 7%....</t>
  </si>
  <si>
    <t>- Tỷ lệ pha trộn SAF được xác định dựa trên tỷ lệ giữa lượng SAF nguyên chất (Neat SAF) và tổng lượng nhiên liệu SAF pha trộn (Blended SAF), cụ thể:
+ Tỷ lệ pha trộn SAF (% Neat SAF) = Lượng SAF nguyên chất (Neat SAF) / Lượng SAF pha trộn (Blended SAF).</t>
  </si>
  <si>
    <t>- Nhiên liệu SAF nguyên chất, SAF pha trộn: ANCM</t>
  </si>
  <si>
    <t>01. DETAIL--POS-170-I-0226-VIETNAM-VN-DPS.pdf</t>
  </si>
  <si>
    <t>Bóc tách từ chứng từ nạp nhiên liệu tại từng sân bay.</t>
  </si>
  <si>
    <t>CT 1.6</t>
  </si>
  <si>
    <t>Annual Fuel Consumption vs Target</t>
  </si>
  <si>
    <t>Tiêu thụ nhiên liệu theo năm so với mục tiêu (Lít)</t>
  </si>
  <si>
    <t>- Tổng lượng nhiên liệu tiêu thụ thực tế theo từng năm và so sánh với mức mục tiêu tiêu thụ nhiên liệu đã được kế hoạch hoặc hãng hàng không đặt ra.
- Dữ liệu bao gồm tổng lượng nhiên liệu Jet A-1 và nhiên liệu SAF sử dụng cho hoạt động khai thác bay trong năm báo cáo.</t>
  </si>
  <si>
    <t>- Tổng nhiên liệu tiêu thụ theo năm = Tổng lượng tiêu thụ Jet A-1 + Tổng lượng tiêu thụ SAF (theo năm).
- So sánh giữa giá trị thực tế và giá trị mục tiêu theo từng năm báo cáo.</t>
  </si>
  <si>
    <t>- Cuối năm (ngày cuối cùng trong năm)</t>
  </si>
  <si>
    <t>stg_khnh.fls_ops</t>
  </si>
  <si>
    <t>fuel</t>
  </si>
  <si>
    <t>So sánh lũy kế thực hiện năm với mục tiêu tiêu thụ nhiên liệu lấy từ PMS</t>
  </si>
  <si>
    <t>Combo chart</t>
  </si>
  <si>
    <t>CT 1.7</t>
  </si>
  <si>
    <t>Monthly Fuel Consumption in the Current Year</t>
  </si>
  <si>
    <t>Tiêu thụ nhiên liệu theo tháng trong năm hiện tại (Lít)</t>
  </si>
  <si>
    <t>- Tổng lượng nhiên liệu tiêu thụ theo từng tháng trong năm hiện tại phục vụ hoạt động khai thác bay.
- Dữ liệu bao gồm cả nhiên liệu Jet A-1 và nhiên liệu SAF được sử dụng trong kỳ báo cáo.</t>
  </si>
  <si>
    <t>- Tổng nhiên liệu tiêu thụ theo tháng = Tổng lượng tiêu thụ Jet A-1 + Tổng lượng tiêu thụ SAF trong tháng tương ứng.
- Dữ liệu được tổng hợp và hiển thị theo từng tháng của năm hiện tại.</t>
  </si>
  <si>
    <t>- Tham chiếu nguồn dữ liệu của CT 1.2 và CT 1.3.P12</t>
  </si>
  <si>
    <t>- Hàng tháng (ngày cuối cùng trong tháng).</t>
  </si>
  <si>
    <t>Tổng hợp dữ liệu hiển thị theo chu kỳ tháng để so sánh biến động cùng kỳ. Đơn vị: Lít.</t>
  </si>
  <si>
    <t>Stacked column</t>
  </si>
  <si>
    <t>CT 1.8</t>
  </si>
  <si>
    <t>Annual Jet A-1 Fuel Consumption Trend</t>
  </si>
  <si>
    <t>Tiêu thụ nhiên liệu Jet A-1 qua các năm</t>
  </si>
  <si>
    <t>- Tổng lượng nhiên liệu tiêu thụ Jet A-1 trong 10 năm gần nhất.</t>
  </si>
  <si>
    <t>CT 1.9</t>
  </si>
  <si>
    <t>Annual Neat SAF Consumption Trend</t>
  </si>
  <si>
    <t>Tiêu thụ nhiên liệu SAF qua các năm</t>
  </si>
  <si>
    <t>- Tổng lượng nhiên liệu tiêu thụ SAF nguyên chất (Neat SAF) trong 10 năm gần nhất.</t>
  </si>
  <si>
    <t>Tiết kiệm năng lượng trong tổ chức</t>
  </si>
  <si>
    <t>CT 1.10</t>
  </si>
  <si>
    <t>Total Energy Saved</t>
  </si>
  <si>
    <t>Tổng năng lượng tiết kiệm (Lít)</t>
  </si>
  <si>
    <t>- Là tổng lượng năng lượng hàng không được tiết kiệm trong kỳ báo cáo thông qua các chương trình tối ưu khai thác, tiết kiệm nhiên liệu và sử dụng nhiên liệu hàng không bền vững (SAF), bao gồm:
+ Năng lượng tiết kiệm từ nhiên liệu Jet A-1;
+ Năng lượng tiết kiệm từ việc sử dụng SAF.
- Dữ liệu hiện được theo dõi ở mức tổng hợp theo tháng và theo năm, không thực hiện bóc tách chi tiết theo từng chuyến bay.</t>
  </si>
  <si>
    <t>- Nhập thủ công.</t>
  </si>
  <si>
    <t>Reduction of energy consumption</t>
  </si>
  <si>
    <t>CT 1.11</t>
  </si>
  <si>
    <t>Total Fuel Savings</t>
  </si>
  <si>
    <t>Tổng tiết kiệm nhiên liệu (kg)</t>
  </si>
  <si>
    <t>- Là tổng lượng nhiên liệu hàng không được tiết kiệm trong kỳ báo cáo, được quy đổi từ tổng năng lượng tiết kiệm theo đơn vị khối lượng.
- Chỉ tiêu được tính toán dựa trên tổng năng lượng tiết kiệm (Lít) từ các chương trình tối ưu khai thác, tiết kiệm nhiên liệu và sử dụng nhiên liệu hàng không bền vững (SAF).</t>
  </si>
  <si>
    <t>- Không có</t>
  </si>
  <si>
    <t>- kg</t>
  </si>
  <si>
    <t>- Hàng tháng (trước ngày 15 tháng kế tiếp).</t>
  </si>
  <si>
    <t>CT 1.12</t>
  </si>
  <si>
    <t>Total GHG Emissions Reduction</t>
  </si>
  <si>
    <t>Tổng giảm phát thải khí nhà kính (Tấn)</t>
  </si>
  <si>
    <t>- Là tổng lượng phát thải khí nhà kính (GHG) được giảm thiểu trong kỳ báo cáo thông qua các hoạt động tối ưu khai thác, tiết kiệm nhiên liệu và sử dụng nhiên liệu hàng không bền vững (SAF).
- Chỉ tiêu hiện được kế thừa từ số liệu báo cáo GRI 305-5 về giảm phát thải khí nhà kính trực tiếp (Phạm vi 1), được tính toán dựa trên lượng nhiên liệu hàng không tiêu thụ quy đổi sang lượng phát thải CO₂ tương đương.</t>
  </si>
  <si>
    <t>- Tổng giảm phát thải khí nhà kính (tấn) = Tổng phát thải giảm nhờ các biện pháp tiết kiệm nhiên liệu nhiên liệu + Tổng giảm phát thải nhờ sử dụng SAF + Tổng phát thải đền bù</t>
  </si>
  <si>
    <t>- tấn</t>
  </si>
  <si>
    <t>- Tổng nhiên liệu tiêu thụ: FIMS.</t>
  </si>
  <si>
    <t>Chỉ tiêu được lấy từ báo cáo GRI 305-5: Phát thải khí nhà kính trực tiếp (Phạm vi 1).</t>
  </si>
  <si>
    <t>CT 1.13</t>
  </si>
  <si>
    <t>Annual Energy Savings vs Target</t>
  </si>
  <si>
    <t>Năng lượng tiết kiệm theo năm so với mục tiêu (Lít)</t>
  </si>
  <si>
    <t>- Là chỉ tiêu thể hiện xu hướng tổng năng lượng tiết kiệm được theo từng năm so với mục tiêu đề ra trong giai đoạn 10 năm gần nhất.
Chỉ tiêu bao gồm tổng năng lượng tiết kiệm từ:
+ Nhiên liệu Jet A-1;
+ Nhiên liệu hàng không bền vững (SAF).</t>
  </si>
  <si>
    <t>- Không có.</t>
  </si>
  <si>
    <t>- Theo tháng hoặc theo năm (ngày cuối cùng trong tháng).</t>
  </si>
  <si>
    <t>CT 1.14</t>
  </si>
  <si>
    <t>Annual Fuel Savings vs Target</t>
  </si>
  <si>
    <t>Kết quả tiết kiệm nhiên liệu theo năm so với mục tiêu (kg)</t>
  </si>
  <si>
    <t>- Là chỉ tiêu thể hiện xu hướng tổng khối lượng nhiên liệu tiết kiệm được theo từng năm so với mục tiêu đề ra trong giai đoạn 10 năm gần nhất.
Chỉ tiêu bao gồm tổng nhiên liệu tiết kiệm từ:
+ Nhiên liệu Jet A-1;
+ Nhiên liệu hàng không bền vững (SAF).</t>
  </si>
  <si>
    <t>- Mong muốn so sánh thực hiện với mục tiêu.</t>
  </si>
  <si>
    <t>CT 1.15</t>
  </si>
  <si>
    <t>Monthly Energy Savings in the Year</t>
  </si>
  <si>
    <t>Năng lượng tiết kiệm theo tháng trong năm (Lít)</t>
  </si>
  <si>
    <t>- Là chỉ tiêu thể hiện tổng năng lượng tiết kiệm được theo từng tháng trong năm hiện tại từ các hoạt động tối ưu khai thác và sử dụng nhiên liệu hiệu quả.
Chỉ tiêu bao gồm:
+ Năng lượng tiết kiệm từ nhiên liệu Jet A-1;
+ Năng lượng tiết kiệm từ nhiên liệu hàng không bền vững (SAF).</t>
  </si>
  <si>
    <t>Column</t>
  </si>
  <si>
    <t>HungND2</t>
  </si>
  <si>
    <t>CT 1.16</t>
  </si>
  <si>
    <t>Total Emission</t>
  </si>
  <si>
    <t>Tổng phát thải khí nhà kính</t>
  </si>
  <si>
    <t>- Tổng lượng phát thải khí nhà kính phát sinh trực tiếp từ các nguồn do Vietnam Airlines sở hữu hoặc kiểm soát trong kỳ báo cáo.</t>
  </si>
  <si>
    <t>- Tổng phát thải khí nhà kính = Phát thải Jet A-1 + Phát thải SAF</t>
  </si>
  <si>
    <t>- Tấn</t>
  </si>
  <si>
    <t>- Kế thừa trực tiếp từ dữ liệu tiêu thụ nhiên liệu (GRI 302-1) bao gồm hóa đơn nạp nhiên liệu bay, Techlog</t>
  </si>
  <si>
    <t>CT 1.17</t>
  </si>
  <si>
    <t>Jet A-1 Emissions</t>
  </si>
  <si>
    <t>Phát thải Jet A-1</t>
  </si>
  <si>
    <t>- Lượng khí nhà kính phát thải vào khí quyển từ việc tiêu thụ nhiên liệu hàng không gốc hóa thạch (Jet A-1) trong quá trình vận hành các chuyến bay của Vietnam Airlines.
- Chỉ tiêu này bóc tách riêng biệt phần phát thải từ nhiên liệu truyền thống ra khỏi tổng phát thải, không bao gồm phát thải từ nhiên liệu bền vững (SAF)</t>
  </si>
  <si>
    <t>- Phát thải Jet A-1 (Tấn) = Nhiên liệu tiêu thụ Jet A-1 (Lít) * 0.8 / 1000 * Hệ số phát thải CO2</t>
  </si>
  <si>
    <t>- Kế thừa trực tiếp từ dữ liệu nhiên liệu tiêu thụ Jet A-1 (GRI 302-1), phần mềm FIMS là nơi quản lý dữ liệu nạp Jet A-1</t>
  </si>
  <si>
    <t>CT 1.18</t>
  </si>
  <si>
    <t>SAF Emissions</t>
  </si>
  <si>
    <t>Phát thải SAF</t>
  </si>
  <si>
    <t>- Đây là lượng khí nhà kính phát thải từ quá trình đốt cháy phần Nhiên liệu hàng không bền vững (SAF) được pha trộn vào nhiên liệu cấp cho các chuyến bay của Vietnam Airlines trong kỳ báo cáo.</t>
  </si>
  <si>
    <t>- Phát thải SAF = Hàm lượng năng lượng (MJ) * Cường độ phát thải CO2 tương đương của vòng đời (gCO2e/MJ) / 1000000
Trong đó:
+ Hàm lượng năng lượng (Energy content)
+ Cường độ phát thải CO2 tương đương của vòng đời (CO2e lifecycle emissions intensity)</t>
  </si>
  <si>
    <t>- Kế thừa trực tiếp từ dữ liệu nhiên liệu tiêu thụ Jet A-1 (GRI 302-1), phần mềm FIMS là nơi quản lý dữ liệu nạp Jet A-1
- Hàm lượng năng lượng, Cường độ phát thải CO2 tương đương của vòng đời: Lấy từ chứng nhận nạp SAF tại mỗi sân bay.</t>
  </si>
  <si>
    <t>CT 1.19</t>
  </si>
  <si>
    <t>Annual Emissions vs. Target</t>
  </si>
  <si>
    <t>Phát thải khí nhà kính theo năm vs. Mục tiêu</t>
  </si>
  <si>
    <t>- Tổng lượng phát thải thực tế theo từng năm và so sánh với mức mục tiêu phát thải đã được kế hoạch hoặc hãng hàng không đặt ra.
- Dữ liệu bao gồm tổng lượng phát thải Jet A-1 và SAF sử dụng cho hoạt động khai thác bay trong năm báo cáo.</t>
  </si>
  <si>
    <t>- Phát thải nhà kính theo năm = Phát thải Jet A-1 + Phát thải SAF (theo năm)</t>
  </si>
  <si>
    <t>- Cuối năm (ngày cuối cùng trong năm).</t>
  </si>
  <si>
    <t>Stacked Bar Chart</t>
  </si>
  <si>
    <t>CT 1.20</t>
  </si>
  <si>
    <t>Monthly Emissions in Current Year</t>
  </si>
  <si>
    <t>Phát thải khí nhà kính theo tháng trong năm hiện tại</t>
  </si>
  <si>
    <t>- Tổng phát thải theo từng tháng trong năm hiện tại phục vụ hoạt động khai thác bay.
- Dữ liệu bao gồm cả nhiên liệu Jet A-1 và nhiên liệu SAF được sử dụng trong kỳ báo cáo.</t>
  </si>
  <si>
    <t>- Phát thải nhà kính theo tháng = Phát thải Jet A-1 + Phát thải SAF trong tháng tương ứng.
- Dữ liệu được tổng hợp và hiển thị theo từng tháng của năm hiện tại.</t>
  </si>
  <si>
    <t>CT 1.21</t>
  </si>
  <si>
    <t>Total Emissions Intensity</t>
  </si>
  <si>
    <t>Tổng cường độ phát thải khí nhà kính</t>
  </si>
  <si>
    <t>- Cường độ phát thải là tỷ số giữa mức phát thải khí nhà kính chia cho một đơn vị tham chiếu đặc trưng của tổ chức (mẫu số chung).
Trong ngành hàng không, để bao hàm cả vận tải hành khách và hàng hóa (đặc thù của VNA), mẫu số chung chuẩn mực nhất thường được sử dụng là RTK (Revenue Tonne-Kilometres - Tấn-Kilomet thực hiện)</t>
  </si>
  <si>
    <t>- Cường độ phát thải khí nhà kính = Tổng phát thải khí nhà kính / Tổng RTK</t>
  </si>
  <si>
    <t>- Tấn/100 RTK</t>
  </si>
  <si>
    <t>- Tổng phát thải khí nhà kính được thừa hưởng kết quả từ báo cáo GRI 305-4
- Số RTK được lấy từ phần mềm RPS</t>
  </si>
  <si>
    <t>GHG emissions intensity</t>
  </si>
  <si>
    <t>CT 1.22</t>
  </si>
  <si>
    <t>CT 1.23</t>
  </si>
  <si>
    <t>Total RTK</t>
  </si>
  <si>
    <t>Tổng RTK</t>
  </si>
  <si>
    <t>- RTK là đơn vị chuẩn quốc tế đo lường khối lượng công việc vận chuyển thực tế có sinh lời của một hãng hàng không.</t>
  </si>
  <si>
    <t>- Tổng RTK là tổng cộng RTK của tất cả các chặng bay</t>
  </si>
  <si>
    <t>- RTK</t>
  </si>
  <si>
    <t>- Phần mềm RPS</t>
  </si>
  <si>
    <t>CT 1.24</t>
  </si>
  <si>
    <t>Annual Emissions Intensity vs. Target</t>
  </si>
  <si>
    <t>Cường độ phát thải khí nhà kính theo năm vs. Mục tiêu</t>
  </si>
  <si>
    <t>- Cường độ phát thải thực tế theo từng năm và so sánh với mức mục tiêu cường độ phát thải đã được kế hoạch hoặc hãng hàng không đặt ra.</t>
  </si>
  <si>
    <t>- Cường độ phát thải nhà kính theo năm = Tổng phát thải khí nhà kính / Tổng RTK (theo năm)</t>
  </si>
  <si>
    <t>Bar Chart</t>
  </si>
  <si>
    <t>CT 1.25</t>
  </si>
  <si>
    <t>Monthly Emissions Intensity in Current Year</t>
  </si>
  <si>
    <t>Cường độ phát thải nhà kính theo tháng trong năm hiện tại</t>
  </si>
  <si>
    <t>- Cường độ phát thải theo từng tháng trong năm hiện tại phục vụ hoạt động khai thác bay.</t>
  </si>
  <si>
    <t>- Cường độ phát thải nhà kính theo năm = Tổng phát thải khí nhà kính / Tổng RTK trong tháng tương ứng.
- Dữ liệu được tổng hợp và hiển thị theo từng tháng của năm hiện tại.</t>
  </si>
  <si>
    <t>CT 1.26</t>
  </si>
  <si>
    <t>Total Reduction of Emissions</t>
  </si>
  <si>
    <t>Tổng giảm phát thải khí nhà kính</t>
  </si>
  <si>
    <t>- Lượng khí nhà kính (CO2) giảm được nhờ áp dụng các biện pháp tiết kiệm nhiên liệu, tối ưu nhiên liệu sử dụng trong khai thác tàu bay và sử dụng nhiên liệu SAF</t>
  </si>
  <si>
    <t>-Tổng giảm phát thải khí nhà kính (tấn) = Tổng phát thải giảm nhờ các biện pháp tiết kiệm nhiên liệu + Tổng giảm phát thải nhờ sử dụng SAF + Tổng phát thải đền bù</t>
  </si>
  <si>
    <t>- Tham chiếu nguồn dữ liệu</t>
  </si>
  <si>
    <t>Reduction of GHG emissions</t>
  </si>
  <si>
    <t>CT 1.27</t>
  </si>
  <si>
    <t>Tổng năng lượng tiết kiệm</t>
  </si>
  <si>
    <t>- Là tổng lượng năng lượng hàng không được tiết kiệm trong kỳ báo cáo thông qua các chương trình tối ưu khai thác, tiết kiệm nhiên liệu và sử dụng nhiên liệu hàng không bền vững (SAF),</t>
  </si>
  <si>
    <t>CT 1.28</t>
  </si>
  <si>
    <t>Energy-Saving Emission Reduction</t>
  </si>
  <si>
    <t>Tổng giảm phát thải nhờ các biện pháp tiết kiệm nhiên liệu</t>
  </si>
  <si>
    <t>- Là lượng CO2e được ngăn chặn xả ra môi trường trực tiếp nhờ vào các sáng kiến tối ưu hóa quy trình khai thác bay và bảo dưỡng kỹ thuật, giúp làm giảm lượng nhiên liệu hóa thạch (Jet A-1) tiêu thụ thực tế.</t>
  </si>
  <si>
    <t>- Tổng phát thải giảm nhờ các biện pháp tiết kiệm nhiên liệu = Tổng nhiên liệu tiết kiệm (Lít) * 0.8 / 1000 * Hệ số phát thải CO2</t>
  </si>
  <si>
    <t>CT 1.29</t>
  </si>
  <si>
    <t>SAF-Related Emission Reduction</t>
  </si>
  <si>
    <t>Tổng giảm phát thải nhờ sử dụng SAF</t>
  </si>
  <si>
    <t>- Là lượng phát thải khí nhà kính được cắt giảm nhờ việc Hãng thay thế một phần nhiên liệu hóa thạch truyền thống (Jet A-1) bằng Nhiên liệu hàng không bền vững (SAF)</t>
  </si>
  <si>
    <t>- Tổng phát thải giảm nhờ sử dụng SAF (Tấn) = Hàm lượng năng lượng (MJ) * (Cường độ phát thải cơ sở của nhiên liệu hóa thạch (gCO2e/MJ) - Cường độ phát thải CO2 tương đương của vòng đời (gCO2e/MJ)) / 1000000</t>
  </si>
  <si>
    <t>CT 1.30</t>
  </si>
  <si>
    <t>Total Emission Reduction through Carbon Offsetting</t>
  </si>
  <si>
    <t>Tổng phát thải đền bù</t>
  </si>
  <si>
    <t>- Là tổng lượng phát thải CO₂ cuối cùng mà hãng hàng không có nghĩa vụ phải bù trừ sau khi đã áp dụng các cơ chế giảm trừ theo quy định đối với 03 cơ chế EU ETS, UK ETS và CORSIA</t>
  </si>
  <si>
    <t>- Tổng phát thải đền bù = Lượng CO₂ cần đền bù (EU ETS) + Lượng CO₂ cần đền bù (UK ETS) + Lượng CO₂ cần đền bù (CORSIA).</t>
  </si>
  <si>
    <t>CT 1.31</t>
  </si>
  <si>
    <t>Annual Reduction of Emissions vs. Target</t>
  </si>
  <si>
    <t>Giảm phát thải khí nhà kính theo năm vs. Mục tiêu</t>
  </si>
  <si>
    <t>- Giảm phát thải nhà kính theo từng năm và so sánh với mức mục tiêu đã được kế hoạch hoặc hãng hàng không đặt ra</t>
  </si>
  <si>
    <t>CT 1.32</t>
  </si>
  <si>
    <t>Monthly Reduction of Emissions in Current Year</t>
  </si>
  <si>
    <t>Giảm phát thải khí nhà kính theo tháng trong năm hiện tại</t>
  </si>
  <si>
    <t>- Giảm phát thải theo từng tháng trong năm hiện tại phục vụ hoạt động khai thác bay</t>
  </si>
  <si>
    <t>Nitrogen oxides (NOX), sulfur oxides (SOX), and other significant air emissions</t>
  </si>
  <si>
    <t>Tổng SOx phát thải</t>
  </si>
  <si>
    <t>Không số hóa giai đoạn này</t>
  </si>
  <si>
    <t>NOx, SOx và khí thải khác</t>
  </si>
  <si>
    <t>Tổng NOx phát thải</t>
  </si>
  <si>
    <t>Tổng CO2 phát thải</t>
  </si>
  <si>
    <t>Phát thải SOx theo năm vs. Mục tiêu</t>
  </si>
  <si>
    <t>Bar chart</t>
  </si>
  <si>
    <t>Phát thải NOx theo năm vs. Mục tiêu</t>
  </si>
  <si>
    <t>Phát thải NOx, SOx theo năm vs. Mục tiêu</t>
  </si>
  <si>
    <t>Phát thải NOx, SOx theo tháng trong năm bất kỳ</t>
  </si>
  <si>
    <t>Tổ Kỹ thuật</t>
  </si>
  <si>
    <t>CT 2.1</t>
  </si>
  <si>
    <t>Total EU Flights</t>
  </si>
  <si>
    <t>Tổng số chuyến bay thương mại từ châu Âu</t>
  </si>
  <si>
    <t>Chị Quỳnh</t>
  </si>
  <si>
    <t xml:space="preserve">Tổng số chuyến bay thương mại có điểm khởi hành từ các sân bay thuộc Liên minh châu Âu trong kỳ báo cáo, không phân biệt loại hình khai thác chuyến bay.
</t>
  </si>
  <si>
    <t>Chỉ tính các chuyến bay có sân bay khởi hành (DEP) từ các quốc gia theo quy định Liên minh Châu Âu</t>
  </si>
  <si>
    <t>Chuyến</t>
  </si>
  <si>
    <t>- EU ETS</t>
  </si>
  <si>
    <t>SAF Report</t>
  </si>
  <si>
    <t>Tab 1: Overview</t>
  </si>
  <si>
    <t>CT 2.2</t>
  </si>
  <si>
    <t xml:space="preserve">Total Flight Hours </t>
  </si>
  <si>
    <t>Tổng số giờ bay</t>
  </si>
  <si>
    <t xml:space="preserve">Tổng giờ bay thực tế của chuyến bay xuất phát từ Liên minh châu Âu từ khi lúc cất cánh đến khi hạ cánh.
</t>
  </si>
  <si>
    <t xml:space="preserve">Tổng số giờ bay thực tế của chuyến bay (tính từ thời điểm tàu bay cất cánh (block-off) đến thời điểm hạ cánh (block-on) theo dữ liệu khai thác thực tế).
</t>
  </si>
  <si>
    <t>Giờ</t>
  </si>
  <si>
    <t>CT 2.3</t>
  </si>
  <si>
    <t>Planned SAF Volume (Tonnes)</t>
  </si>
  <si>
    <t>Lượng SAF kế hoạch ban đầu (tấn)</t>
  </si>
  <si>
    <t xml:space="preserve">Là lượng nhiên liệu hàng không bền vững (SAF) được ước tính cần sử dụng trong kỳ theo kế hoạch.
</t>
  </si>
  <si>
    <t xml:space="preserve">Lượng SAF kế hoạch ban đầu = Tổng nhiên liệu cần tra nạp theo kế hoạch * Tỷ lệ SAF theo quy định của nhà chức trách áp dụng tại thời điểm lập kế hoạch.
</t>
  </si>
  <si>
    <t>Tấn</t>
  </si>
  <si>
    <t>ANCM</t>
  </si>
  <si>
    <t>- Khi có quy định từ nhà chức trách</t>
  </si>
  <si>
    <t>CT 2.4</t>
  </si>
  <si>
    <t>Actual SAF Uplifted (Tonnes)</t>
  </si>
  <si>
    <t>Lượng SAF nạp thực tế (tấn)</t>
  </si>
  <si>
    <t xml:space="preserve">Là tổng khối lượng nhiên liệu hàng không bền vững (SAF) đã được nạp thực tế cho tàu bay trong kỳ báo cáo, được xác định dựa trên hóa đơn hoặc xác nhận cung cấp nhiên liệu từ các nhà cung cấp tại sân bay. 
</t>
  </si>
  <si>
    <t>Không có</t>
  </si>
  <si>
    <t>- Khi có chứng nhận nạp dầu từ NCC</t>
  </si>
  <si>
    <t>CT 2.5</t>
  </si>
  <si>
    <t>Neat SAF Ratio by Airport</t>
  </si>
  <si>
    <t>Tỷ lệ neat SAF theo sân bay</t>
  </si>
  <si>
    <t xml:space="preserve">Là tỷ lệ giữa khối lượng nhiên liệu hàng không bền vững nguyên chất (Neat SAF) và tổng khối lượng nhiên liệu SAF pha trộn (Blended SAF) được nạp tại từng sân bay trong kỳ báo cáo.
</t>
  </si>
  <si>
    <t xml:space="preserve">Tỷ lệ Neat SAF (%) = (Khối lượng SAF nguyên chất / Tổng khối lượng SAF pha trộn) * 100.  
</t>
  </si>
  <si>
    <t>%</t>
  </si>
  <si>
    <t>CT 2.6</t>
  </si>
  <si>
    <t xml:space="preserve">Monthly SAF Uplift Volume </t>
  </si>
  <si>
    <t>Lượng SAF tra nạp theo tháng trong năm</t>
  </si>
  <si>
    <t xml:space="preserve">Là tổng khối lượng nhiên liệu hàng không bền vững (SAF) được ghi nhận theo từng tháng trong kỳ báo cáo. 
</t>
  </si>
  <si>
    <t xml:space="preserve">Trường hợp đã có thư xác nhận:
- Lượng SAF cho từng chuyến bay = (Lượng Neat SAF thực tế / Tổng nhiên liệu SAF pha trộn) * Lượng nhiên liệu nạp từng chuyến bay.
- Lượng SAF nạp theo tháng = Σ Lượng SAF cho từng chuyến bay.
Trường hợp chưa có thư xác nhận sẽ lấy theo số kế hoạch:
- Lượng SAF cho từng chuyến bay = % SAF theo kế hoạch * Lượng nhiên liệu nạp từng chuyến bay.
- Lượng SAF nạp heo tháng = Σ Lượng SAF cho từng chuyến bay.
</t>
  </si>
  <si>
    <t>So sánh lượng nạp thực tế - kế hoạch</t>
  </si>
  <si>
    <t>CT 2.7</t>
  </si>
  <si>
    <t xml:space="preserve"> Monthly SAF Surcharge</t>
  </si>
  <si>
    <t>Phụ phí SAF theo tháng trong năm</t>
  </si>
  <si>
    <t xml:space="preserve">Là tổng khối lượng nhiên liệu hàng không bền vững (SAF) đã được mua và phụ phí mua SAF phát sinh trong kỳ báo cáo, được tổng hợp theo từng năm dựa trên dữ liệu nạp nhiên liệu và dữ liệu tài chính liên quan đến SAF tại các sân bay thuộc phạm vi áp dụng.
</t>
  </si>
  <si>
    <t xml:space="preserve">Lượng SAF theo tháng = Tổng khối lượng SAF pha trộn thực tế đã mua.
Phụ phí SAF theo tháng = Phụ phí mua SAF phát sinh tương ứng với lượng SAF đã nạp.
</t>
  </si>
  <si>
    <t>USD</t>
  </si>
  <si>
    <t>So sánh lượng mua và phụ phí SAF</t>
  </si>
  <si>
    <t>CT 2.8</t>
  </si>
  <si>
    <t>SAF Purchase Volume by Eligible Fuel and Supplier</t>
  </si>
  <si>
    <t>Lượng mua SAF theo loại SAF &amp; sân bay</t>
  </si>
  <si>
    <t xml:space="preserve">Là tổng khối lượng nhiên liệu hàng không bền vững (SAF) đã được mua trong kỳ báo cáo, được phân loại theo:
- Loại SAF (HEFA, FT, ATJ…);
- Sân bay nạp nhiên liệu.
</t>
  </si>
  <si>
    <t xml:space="preserve">Không có.
</t>
  </si>
  <si>
    <t>CT 2.9</t>
  </si>
  <si>
    <t>SAF Purchase Reporting</t>
  </si>
  <si>
    <t>Bảng chi tiết việc mua SAF</t>
  </si>
  <si>
    <t xml:space="preserve">Là bảng dữ liệu chi tiết phục vụ theo dõi và báo cáo tình hình mua, nạp và sử dụng nhiên liệu hàng không bền vững (SAF) theo yêu cầu tuân thủ của ReFuelEU Aviation.
</t>
  </si>
  <si>
    <t xml:space="preserve">Không có
</t>
  </si>
  <si>
    <t>Tab 2: Fuel &amp; SAF Purchase Reporting (ReFuelEU Aviation Template)</t>
  </si>
  <si>
    <t>Table</t>
  </si>
  <si>
    <t>CT 2.10</t>
  </si>
  <si>
    <t>Fuel Reporting</t>
  </si>
  <si>
    <t>Bảng chi tiết nhiên liệu tra nạp tại các sân bay</t>
  </si>
  <si>
    <t>Là bảng dữ liệu chi tiết ghi nhận thông tin nhiên liệu hàng không đã được tra nạp tại các sân bay thuộc phạm vi áp dụng của ReFuelEU Aviation trong kỳ báo cáo</t>
  </si>
  <si>
    <t xml:space="preserve">Tổng lượng nhiên liệu lẽ ra cần thiết cho hoạt động bay trong năm = Trip fuel + Taxi fuel
Lượng nhiên liệu cõng thêm vì mục đích kinh tế: mặc định bằng 0.
Lượng nhiên liệu bổ sung do yêu cầu an toàn bay hoặc yêu cầu khai thác: mặc định bằng 0.
</t>
  </si>
  <si>
    <t>CT 2.11</t>
  </si>
  <si>
    <t>Total Flights Departing from France</t>
  </si>
  <si>
    <t>Tổng số chuyến bay tại Pháp</t>
  </si>
  <si>
    <t xml:space="preserve">Là tổng số chuyến bay thương mại có điểm khởi hành từ các sân bay thuộc lãnh thổ Pháp trong kỳ báo cáo, không phân biệt loại hình chuyến bay hoặc điểm đến.
</t>
  </si>
  <si>
    <t xml:space="preserve">Chỉ tính các chuyến bay có sân bay khởi hành (DEP) thuộc lãnh thổ Pháp. 
</t>
  </si>
  <si>
    <t>Tab 3: CARBURE</t>
  </si>
  <si>
    <t>CT 2.12</t>
  </si>
  <si>
    <t>Total Flight Hours (France)</t>
  </si>
  <si>
    <t>Tổng số giờ bay (Pháp)</t>
  </si>
  <si>
    <t xml:space="preserve">Là tổng thời gian bay thực tế của toàn bộ các chuyến bay thương mại có điểm khởi hành từ các sân bay thuộc lãnh thổ Pháp trong kỳ báo cáo. </t>
  </si>
  <si>
    <t xml:space="preserve">Tổng thời gian bay được tính từ thời điểm tàu bay rời vị trí đỗ để chuẩn bị cất cánh đến thời điểm tàu bay vào vị trí đỗ sau khi hạ cánh.
</t>
  </si>
  <si>
    <t>CT 2.13</t>
  </si>
  <si>
    <t xml:space="preserve">Planned SAF Volume (France) </t>
  </si>
  <si>
    <t>Lượng SAF kế hoạch ban đầu (Pháp)</t>
  </si>
  <si>
    <t xml:space="preserve">Là tổng khối lượng nhiên liệu hàng không bền vững (SAF) dự kiến cần sử dụng trong kỳ báo cáo, được tính toán dựa trên tổng nhu cầu nhiên liệu khai thác và tỷ lệ SAF bắt buộc theo quy định của nhà chức trách hoặc kế hoạch nội bộ của hãng hàng không. 
</t>
  </si>
  <si>
    <t xml:space="preserve">Lượng SAF kế hoạch ban đầu =  Tổng nhiên liệu cần sử dụng theo kế hoạch * Tỷ lệ SAF theo quy định của nhà chức trách áp dụng tại thời điểm lập kế hoạch.
</t>
  </si>
  <si>
    <t>CT 2.14</t>
  </si>
  <si>
    <t>Actual SAF Uplifted Volume (Pháp)</t>
  </si>
  <si>
    <t>Lượng SAF nạp thực tế (Pháp)</t>
  </si>
  <si>
    <t xml:space="preserve">Là tổng khối lượng nhiên liệu hàng không bền vững (SAF) đã được tra nạp thực tế vào tàu bay trong kỳ báo cáo. </t>
  </si>
  <si>
    <t>Không có.</t>
  </si>
  <si>
    <t>CT 2.15</t>
  </si>
  <si>
    <t>Neat SAF Ratio by Airport (France)</t>
  </si>
  <si>
    <t>Tỷ lệ neat SAF theo sân bay (Pháp)</t>
  </si>
  <si>
    <t>CT 2.16</t>
  </si>
  <si>
    <t>Monthly SAF Uplift Volume (Tonnes) (France)</t>
  </si>
  <si>
    <t>Lượng SAF tra nạp theo tháng trong năm (Pháp)</t>
  </si>
  <si>
    <t>CT 2.17</t>
  </si>
  <si>
    <t>SAF Surcharge by Month in the Year (France)</t>
  </si>
  <si>
    <t>Phụ phí SAF theo tháng trong năm (Pháp)</t>
  </si>
  <si>
    <t>CT 2.18</t>
  </si>
  <si>
    <t>SAF Purchased Volume by SAF Type and Supplier (France)</t>
  </si>
  <si>
    <t>Lượng mua SAF theo loại SAF &amp; sân bay (Pháp)</t>
  </si>
  <si>
    <t xml:space="preserve">Là tổng khối lượng nhiên liệu hàng không bền vững (SAF) đã được mua trong kỳ báo cáo, được phân loại theo:
Loại SAF (HEFA, FT, ATJ…);
Sân bay nạp nhiên liệu.
</t>
  </si>
  <si>
    <t>CT 2.19</t>
  </si>
  <si>
    <t>EU ETS Full Scope Flights</t>
  </si>
  <si>
    <t>Tổng số chuyến bay đi/đến châu Âu</t>
  </si>
  <si>
    <t>- Tất cả các chuyến bay đi/đến các quốc gia thành viên EEA, bao gồm: các chuyến bay đi/đến các vùng lãnh thổ của quốc gia thành viên EEA; và các chuyến bay đi/đến các vùng ngoài cùng (OMR) của EEA.</t>
  </si>
  <si>
    <t>Tab 1: EU-ETS</t>
  </si>
  <si>
    <t>CT 2.20</t>
  </si>
  <si>
    <t>EU ETS Reduced Scope Flights</t>
  </si>
  <si>
    <t>Số chuyến bay áp dụng EU ETS</t>
  </si>
  <si>
    <t>- Tổng số các chuyến bay thuộc diện thu hẹp (Reduced scope) theo chỉ thị EU ETS</t>
  </si>
  <si>
    <t>CT 2.21</t>
  </si>
  <si>
    <t>CO₂ Offsetting Requirement (tonnes) (EU ETS)</t>
  </si>
  <si>
    <t>Lượng CO₂ cần đền bù (tấn)</t>
  </si>
  <si>
    <t>- Là tổng lượng phát thải CO₂ cuối cùng mà hãng hàng không có nghĩa vụ phải bù trừ sau khi đã áp dụng các cơ chế giảm trừ theo quy định, bao gồm miễn trừ phạm vi áp dụng, giảm phát thải từ nhiên liệu SAF hoặc các khoản phân bổ/hạn ngạch liên quan (chỉ tính trong phạm vi "Reduced scope").</t>
  </si>
  <si>
    <t>Lượng CO2 cần đền bù = Lượng phát thải CO2 thực tế – Lượng CO2 được giảm trừ (nhờ sử dụng nhiên liệu SAF) – Hạn ngạch miễn phí (Allowance).</t>
  </si>
  <si>
    <t>- Hàng năm</t>
  </si>
  <si>
    <t>CT 2.22</t>
  </si>
  <si>
    <t>CO₂ Emissions vs ETS Allowance</t>
  </si>
  <si>
    <t>Phát thải CO₂ so với hạn ngạch ETS theo từng năm</t>
  </si>
  <si>
    <t>So sánh phát thải thực tế với hạn ngạch được cấp theo năm.</t>
  </si>
  <si>
    <t>Lượng phát thải CO2 thực tế = Lượng phát thải CO2 do Jet A-1 + Lượng phát thải CO2 do SAF nguyên chất.</t>
  </si>
  <si>
    <t>CT 2.23</t>
  </si>
  <si>
    <t>Annual EUA Compensation Cost (USD)</t>
  </si>
  <si>
    <t>Tổng chi phí bù trừ EUA (USD) theo năm</t>
  </si>
  <si>
    <t>Thống kê tổng chi phí mua tín chỉ EUA để bù trừ lượng phát thải CO₂ vượt hạn ngạch theo từng năm.</t>
  </si>
  <si>
    <t>Tổng chi phí bù trừ EUA = Tổng số lượng tín chỉ EUA cần mua mỗi loại * Đơn giá mỗi loại.</t>
  </si>
  <si>
    <t>CT 2.24</t>
  </si>
  <si>
    <t>CO₂ Emissions by Route (EU ETS)</t>
  </si>
  <si>
    <t>Phát thải CO₂ theo chặng bay</t>
  </si>
  <si>
    <t xml:space="preserve">Tổng CO₂ phát sinh, phân theo từng đường bay EU ETS </t>
  </si>
  <si>
    <t>CT 2.25</t>
  </si>
  <si>
    <t>CO₂ Emissions by Scope (EU ETS)</t>
  </si>
  <si>
    <t>Phát thải CO₂ theo phạm vi</t>
  </si>
  <si>
    <t>Phân loại phát thải theo loại chuyến bay Full scope và Reduce scope.</t>
  </si>
  <si>
    <t>CT 2.26</t>
  </si>
  <si>
    <t>UK ETS Full Scope Flights</t>
  </si>
  <si>
    <t>Tổng số chuyến bay đi/đến UK</t>
  </si>
  <si>
    <t>Tất cả các chuyến bay thuộc phạm vi mở rộng (Full scope) theo quy định của UK ETS.</t>
  </si>
  <si>
    <t>FIMS</t>
  </si>
  <si>
    <t>Tab 2: UK-ETS</t>
  </si>
  <si>
    <t>CT 2.27</t>
  </si>
  <si>
    <t>UK ETS Reduced Scope Flights</t>
  </si>
  <si>
    <t>Số chuyến bay áp dụng UK ETS</t>
  </si>
  <si>
    <t xml:space="preserve">Tất cả các chuyến bay thuộc phạm vi thu hẹp (Reduced scope) theo quy định của UK ETS. </t>
  </si>
  <si>
    <t>CT 2.28</t>
  </si>
  <si>
    <t>CO₂ Offsetting Requirement (tonnes) (UK ETS)</t>
  </si>
  <si>
    <t>Là tổng lượng phát thải CO₂ cuối cùng mà hãng hàng không có nghĩa vụ phải bù trừ sau khi đã áp dụng các cơ chế giảm trừ theo quy định, bao gồm miễn trừ phạm vi áp dụng, giảm phát thải từ nhiên liệu SAF hoặc các khoản phân bổ/hạn ngạch liên quan (chỉ tính trong phạm vi "Reduced scope").</t>
  </si>
  <si>
    <t>CT 2.29</t>
  </si>
  <si>
    <t>Phát thải CO₂ so với hạn ngạch UK</t>
  </si>
  <si>
    <t xml:space="preserve">So sánh phát thải thực tế với hạn ngạch được cấp theo năm.
</t>
  </si>
  <si>
    <t xml:space="preserve">Lượng phát thải CO2 thực tế = Lượng phát thải CO2 do Jet A-1 + Lượng phát thải CO2 do SAF nguyên chất.
</t>
  </si>
  <si>
    <t>CT 2.30</t>
  </si>
  <si>
    <t>Annual UKA Compensation Cost (USD) - Tổng chi phí bù trừ UKA (USD) theo năm</t>
  </si>
  <si>
    <t>Tổng chi phí bù trừ UKA (USD) theo năm</t>
  </si>
  <si>
    <t>Thống kê tổng chi phí mua tín chỉ UKA để bù trừ lượng phát thải CO₂ vượt hạn ngạch theo từng năm.</t>
  </si>
  <si>
    <t xml:space="preserve">Tổng chi phí bù trừ UKA = Tổng số lượng tín chỉ UKA cần mua mỗi loại * Đơn giá mỗi loại.
</t>
  </si>
  <si>
    <t>CT 2.31</t>
  </si>
  <si>
    <t>CO₂ Emissions by Route (UK ETS)</t>
  </si>
  <si>
    <t xml:space="preserve">Tổng CO₂ phát sinh, phân theo từng đường bay UK ETS 
</t>
  </si>
  <si>
    <t>CT 2.32</t>
  </si>
  <si>
    <t>CO₂ Emissions by Scope (UK ETS)</t>
  </si>
  <si>
    <t xml:space="preserve">Phân loại phát thải theo loại chuyến bay Full scope và Reduced scope.
</t>
  </si>
  <si>
    <t>CT 2.33</t>
  </si>
  <si>
    <t>Total Number of International Flights CORSIA</t>
  </si>
  <si>
    <t>Tổng số CB quốc tế phạm vi CORSIA</t>
  </si>
  <si>
    <t xml:space="preserve">Là tổng số chuyến bay quốc tế được thực hiện trong kỳ báo cáo thuộc phạm vi áp dụng của chương trình CORSIA theo quy định của ICAO.
</t>
  </si>
  <si>
    <t xml:space="preserve">Toàn bộ chuyến bay và lượng nhiên liệu tiêu thụ vẫn phải được báo cáo; các chuyến bay thuộc diện ngoại trừ được ghi nhận phát thải bằng 0.
</t>
  </si>
  <si>
    <t>Tab 3: CORSIA</t>
  </si>
  <si>
    <t>CT 2.34</t>
  </si>
  <si>
    <t>Total Number of International Flights Subject to Offsetting Requirements CORSIA</t>
  </si>
  <si>
    <t>Tổng số CB CORSIA thuộc phạm vi cần đền bù</t>
  </si>
  <si>
    <t xml:space="preserve">Là tổng số chuyến bay quốc tế thuộc phạm vi áp dụng nghĩa vụ đền bù phát thải theo quy định của CORSIA trong kỳ báo cáo.
</t>
  </si>
  <si>
    <t xml:space="preserve">Tổng số chuyến bay thuộc phạm vi cần đền bù = Tổng số chuyến bay quốc tế thuộc phạm vi CORSIA đáp ứng điều kiện phát sinh nghĩa vụ đền bù theo quy định hiện hành.
</t>
  </si>
  <si>
    <t>CT 2.35</t>
  </si>
  <si>
    <t>Total CO₂ Emissions from International Flights (Tonnes)</t>
  </si>
  <si>
    <t>Tổng phát thải CORSIA</t>
  </si>
  <si>
    <t xml:space="preserve">Là tổng lượng phát thải CO₂ phát sinh từ việc tiêu thụ nhiên liệu trên các chuyến bay quốc tế thuộc phạm vi CORSIA trong kỳ báo cáo.
</t>
  </si>
  <si>
    <t>CT 2.36</t>
  </si>
  <si>
    <t>Total CO₂ Emissions from Flights Subject to Offsetting Requirements (Tonnes)</t>
  </si>
  <si>
    <t>Tổng phát thải CORSIA cần đền bù</t>
  </si>
  <si>
    <t xml:space="preserve">Là tổng lượng phát thải CO₂ phát sinh từ các chuyến bay thuộc phạm vi áp dụng nghĩa vụ đền bù phát thải theo quy định của CORSIA. 
</t>
  </si>
  <si>
    <t xml:space="preserve">Lượng CO2 cần đền bù = Lượng phát thải CO2 thực tế – Lượng CO2 được giảm trừ (nhờ sử dụng nhiên liệu SAF) – Baseline.
</t>
  </si>
  <si>
    <t>CT 2.37</t>
  </si>
  <si>
    <t>Total Emissions Reductions claimed from the use of CORSIA Eligible Fuels (Tonnes)</t>
  </si>
  <si>
    <t>Tổng phát thải CORSIA được giảm trừ do sử dụng SAF</t>
  </si>
  <si>
    <t xml:space="preserve">Là tổng lượng phát thải CO₂ được giảm trừ khi sử dụng nhiên liệu đủ điều kiện theo CORSIA (CORSIA Eligible Fuels - CEF) theo quy định của ICAO. 
</t>
  </si>
  <si>
    <t xml:space="preserve">Lượng CO2 được giảm trừ (nhờ sử dụng nhiên liệu SAF) = Lượng phát thải CO2 do Jet A-1 - Lượng phát thải CO2 do SAF nguyên chất.
</t>
  </si>
  <si>
    <t>CT 2.38</t>
  </si>
  <si>
    <t xml:space="preserve">CO₂ Emissions vs Baseline - Phát thải CO₂ so với Baseline qua các năm 
</t>
  </si>
  <si>
    <t>Phát thải CO₂ bù trừ so với Baseline qua các năm (tấn)</t>
  </si>
  <si>
    <t xml:space="preserve">Thể hiện mức chênh lệch giữa lượng phát thải CO₂ thực tế của các chuyến bay thuộc phạm vi áp dụng CORSIA và mức phát thải cơ sở (Baseline) theo từng năm báo cáo.
</t>
  </si>
  <si>
    <t>CT 2.39</t>
  </si>
  <si>
    <t>CO₂ Emissions by Route</t>
  </si>
  <si>
    <t xml:space="preserve">Là lượng phát thải khí CO₂ được tính toán cho từng chặng bay thuộc phạm vi áp dụng CORSIA trong kỳ báo cáo.
</t>
  </si>
  <si>
    <t>CT 2.40</t>
  </si>
  <si>
    <t>CO₂ Emissions by Scope</t>
  </si>
  <si>
    <t>Phát thải CO₂ theo phạm vi chuyến bay</t>
  </si>
  <si>
    <t>Là chỉ tiêu phân loại lượng phát thải khí CO₂ theo từng phạm vi chuyến bay thuộc cơ chế CORSIA trong kỳ báo cáo, được phân loại theo Full Scope và Reduced Scope</t>
  </si>
  <si>
    <t>Mr Trường, Mr Quang Mr</t>
  </si>
  <si>
    <t>HieuCM</t>
  </si>
  <si>
    <t>Working days lost to strikes/Ngày công mất do đình công</t>
  </si>
  <si>
    <t>CT 4.1</t>
  </si>
  <si>
    <t>Number of strikes</t>
  </si>
  <si>
    <t>Số vụ đình công</t>
  </si>
  <si>
    <t>Anh Trường, Anh Quang Anh</t>
  </si>
  <si>
    <t>- Số vụ đình công xảy ra trong năm báo cáo.</t>
  </si>
  <si>
    <t>- N/A</t>
  </si>
  <si>
    <t>- Vụ</t>
  </si>
  <si>
    <t>- Nhập thủ công</t>
  </si>
  <si>
    <t>- Khi có phát sinh thực tế</t>
  </si>
  <si>
    <t>Employee satisfaction/ Mức độ hài lòng của nhân viên</t>
  </si>
  <si>
    <t>CT 4.2</t>
  </si>
  <si>
    <t>Overall satisfaction</t>
  </si>
  <si>
    <t>Mức độ hài lòng chung</t>
  </si>
  <si>
    <t>- Mức độ hài lòng tổng thể (My Organization/Overall satisfaction)</t>
  </si>
  <si>
    <t>- Lấy theo giá trị tương ứng với "Tổng Công ty"</t>
  </si>
  <si>
    <t>- %</t>
  </si>
  <si>
    <t>- Tháng 11 hàng năm</t>
  </si>
  <si>
    <t>CT 4.3</t>
  </si>
  <si>
    <t>Satisfaction level by division</t>
  </si>
  <si>
    <t>Mức độ hài lòng theo khối</t>
  </si>
  <si>
    <t>Bao gồm:
- 1. Mức độ hài lòng tổng thể (My Organization/Overall satisfaction)
- 2. Đặc điểm công việc (My job)
- 3. Điều kiện làm việc (My work)
- 4. Đào tạo và thăng tiến (Training and Career development)
- 5. Lãnh đạo (cấp trên trực tiếp) (My Supervisor/Direct Manager)
- 6. Mối quan hệ nơi công sở (My Team)
- 7. Thu nhập (My Income)
- 8. Phúc lợi cho người lao động (My Welfare)
Chia theo 6 khối:
(1): Khối Thương mại
(2): Khối Dịch vụ
(3): Khối Khai thác bay
(4): Khối Kỹ thuật
(5): Tham mưu tổng hợp (bao gồm lĩnh vực an toàn)
(6): Trực thuộc khác
Và (7): Tổng Công ty</t>
  </si>
  <si>
    <t>Column chart</t>
  </si>
  <si>
    <t>CT 4.4</t>
  </si>
  <si>
    <t>Satisfaction level by employment type</t>
  </si>
  <si>
    <t>Mức độ hài lòng theo đối tượng lao động</t>
  </si>
  <si>
    <t>Bao gồm:
- 1. Mức độ hài lòng tổng thể (My Organization/Overall satisfaction)
- 2. Đặc điểm công việc (My job)
- 3. Điều kiện làm việc (My work)
- 4. Đào tạo và thăng tiến (Training and Career development)
- 5. Lãnh đạo (cấp trên trực tiếp) (My Supervisor/Direct Manager)
- 6. Mối quan hệ nơi công sở (My Team)
- 7. Thu nhập (My Income)
- 8. Phúc lợi cho người lao động (My Welfare)
Chia theo 8 loại đối tượng lao động:
(1) Lao động mặt đất
(2) Phi công Việt Nam
(3) Phi công ALS
(4) Tiếp viên Việt Nam
(5) Tiếp viên ALS
(6) Nhân viên chi nhánh nước ngoài
(7) Phi công nước ngoài
(8) Tiếp viên nước ngoài
Và (9) Tổng Công ty</t>
  </si>
  <si>
    <t>CT 4.5</t>
  </si>
  <si>
    <t>Overall satisfaction across years</t>
  </si>
  <si>
    <t>Mức độ hài lòng tổng thể qua các năm</t>
  </si>
  <si>
    <t>- Mức độ hài lòng tổng thể (My Organization/Overall satisfaction) qua các năm.</t>
  </si>
  <si>
    <t>- 5 năm gần nhất</t>
  </si>
  <si>
    <t>Line chart</t>
  </si>
  <si>
    <t>Ratios of standard entry-level wage by gender compared to local minimum wage /  Tỷ lệ lương khởi điểm so với lương tối thiểu vùng 1</t>
  </si>
  <si>
    <t>CT 4.6</t>
  </si>
  <si>
    <t>Starting salary of Vietnamese pilots</t>
  </si>
  <si>
    <t>Lương khởi điểm phi công Việt Nam</t>
  </si>
  <si>
    <t>- Mức lương khởi điểm của phi công Việt Nam. Chỉ lấy theo lương chức danh.</t>
  </si>
  <si>
    <t>- VNĐ (Việt Nam đồng).</t>
  </si>
  <si>
    <t>- Hàng năm.</t>
  </si>
  <si>
    <t>CT 4.7</t>
  </si>
  <si>
    <t>Starting salary of permanent flight attendants</t>
  </si>
  <si>
    <t>Lương khởi điểm tiếp viên cơ hữu</t>
  </si>
  <si>
    <t>- Mức lương khởi điểm của tiếp viên cơ hữu. Chỉ lấy theo lương chức danh.</t>
  </si>
  <si>
    <t>CT 4.8</t>
  </si>
  <si>
    <t>Starting salary of ground staff</t>
  </si>
  <si>
    <t>Lương khởi điểm lao động mặt đất</t>
  </si>
  <si>
    <t>- Mức lương khởi điểm của lao động mặt đất. Lấy theo lương chức danh + lương năng suất mức 1.</t>
  </si>
  <si>
    <t>CT 4.9</t>
  </si>
  <si>
    <t>Region 1 minimum wage</t>
  </si>
  <si>
    <t>Mức lương tối thiểu vùng 1</t>
  </si>
  <si>
    <t>- Mức lương tối thiểu vùng 1 theo quy định của Nhà nước.</t>
  </si>
  <si>
    <t>CT 4.10</t>
  </si>
  <si>
    <t>Starting salary and Region 1 minimum wage over the years</t>
  </si>
  <si>
    <t>Mức lương khởi điểm và lương tối thiểu vùng 1 qua các năm</t>
  </si>
  <si>
    <t>- Mức lương khởi điểm của phi công Việt Nam, tiếp viên cơ hữu, lao động mặt đất và mức lương tối thiểu vùng 1, theo 5 năm gần nhất tính từ năm hiện tại.</t>
  </si>
  <si>
    <t>- 5 năm gần nhất, tính từ năm hiện tại</t>
  </si>
  <si>
    <t>CT 4.11</t>
  </si>
  <si>
    <t>Total New Hires</t>
  </si>
  <si>
    <t>Tổng số tuyển mới</t>
  </si>
  <si>
    <t>- Là tổng số lượng nhân sự đã gia nhập và chính thức ký hợp đồng lao động với Vietnam Airlines trong kỳ báo cáo</t>
  </si>
  <si>
    <t>- Người</t>
  </si>
  <si>
    <t>- SkyHR</t>
  </si>
  <si>
    <t>- Hàng ngày</t>
  </si>
  <si>
    <t>- Ngày đến ngày</t>
  </si>
  <si>
    <t>stg.hrms.hrms_employees</t>
  </si>
  <si>
    <t>Tab 1: Tuyển mới</t>
  </si>
  <si>
    <t>CT 4.12</t>
  </si>
  <si>
    <t>New Hires by Month</t>
  </si>
  <si>
    <t>Số tuyển mới theo tháng</t>
  </si>
  <si>
    <t>- Là số lượng lao động tuyển mới gia nhập tổ chức được ghi nhận chi tiết theo từng tháng phát sinh trong kỳ báo cáo</t>
  </si>
  <si>
    <t>CT 4.13</t>
  </si>
  <si>
    <t>New Hires by Age Group</t>
  </si>
  <si>
    <t>Số tuyển mới theo nhóm tuổi</t>
  </si>
  <si>
    <t>- Là chỉ tiêu bóc tách chi tiết tổng số lượng lao động được tuyển mới gia nhập tổ chức trong năm báo cáo dựa trên phân khúc độ tuổi</t>
  </si>
  <si>
    <t>CT 4.14</t>
  </si>
  <si>
    <t>New Hires by Gender</t>
  </si>
  <si>
    <t>Số tuyển mới theo giới tính</t>
  </si>
  <si>
    <t>- Là chỉ tiêu bóc tách tổng số lượng lao động được tuyển mới và gia nhập tổ chức trong kỳ báo cáo dựa trên chiều phân tích về giới tính (Nam và Nữ)</t>
  </si>
  <si>
    <t>CT 4.15</t>
  </si>
  <si>
    <t>New Hires by Division</t>
  </si>
  <si>
    <t>Số tuyển mới theo các khối</t>
  </si>
  <si>
    <t>- Là chỉ tiêu bóc tách tổng số lượng lao động được tuyển mới và chính thức gia nhập Vietnam Airlines trong kỳ báo cáo, được phân loại chi tiết theo các khối của Hãng</t>
  </si>
  <si>
    <t>CT 4.16</t>
  </si>
  <si>
    <t>New Hires by  Recruitment Region</t>
  </si>
  <si>
    <t>Số tuyển mới theo khu vực tuyển dụng</t>
  </si>
  <si>
    <t>- Là chỉ tiêu bóc tách tổng số lượng lao động được tuyển mới và chính thức gia nhập Vietnam Airlines trong kỳ báo cáo, phân loại dựa trên khu vực địa lý nơi nhân sự được tuyển dụng và làm việc</t>
  </si>
  <si>
    <t>CT 4.17</t>
  </si>
  <si>
    <t>New Hires by Employee Level</t>
  </si>
  <si>
    <t>Số tuyển mới theo cấp độ nhân viên</t>
  </si>
  <si>
    <t xml:space="preserve">- Là chỉ tiêu bóc tách chi tiết tổng số lượng lao động được tuyển mới và gia nhập Vietnam Airlines trong kỳ báo cáo, phân loại dựa trên cấp bậc chức danh và đặc thù nghề nghiệp </t>
  </si>
  <si>
    <t>CT 4.18</t>
  </si>
  <si>
    <t>Total Employee Turnover</t>
  </si>
  <si>
    <t>Tổng số nghỉ việc</t>
  </si>
  <si>
    <t>- Là tổng số lượng người lao động chính thức rời khỏi tổ chức hoặc chấm dứt hợp đồng lao động với Vietnam Airlines trong kỳ báo cáo</t>
  </si>
  <si>
    <t>Tab 2: Nghỉ việc</t>
  </si>
  <si>
    <t>CT 4.19</t>
  </si>
  <si>
    <t>Total Employee Voluntary Turnover</t>
  </si>
  <si>
    <t>Tổng số nghỉ việc tự nguyện</t>
  </si>
  <si>
    <t>- Là tổng số lượng người lao động nghỉ việc với lý do “Xin thôi việc” và chính thức rời khỏi Vietnam Airlines trong kỳ báo cáo</t>
  </si>
  <si>
    <t>CT 4.20</t>
  </si>
  <si>
    <t>Voluntary Turnover Rate</t>
  </si>
  <si>
    <t>Tỷ lệ nghỉ việc tự nguyện</t>
  </si>
  <si>
    <t>- Là tỷ số phần trăm giữa số lượng người lao động nghỉ việc tự nguyện trên tổng số lao động bình quân của tổ chức trong kỳ báo cáo</t>
  </si>
  <si>
    <t>CT 4.21</t>
  </si>
  <si>
    <t>Employee turnover by Month</t>
  </si>
  <si>
    <t>Số nghỉ việc theo tháng</t>
  </si>
  <si>
    <t>- Là chỉ tiêu thống kê tổng số lượng người lao động chính thức chấm dứt hợp đồng và rời khỏi tổ chức (Vietnam Airlines) được ghi nhận chi tiết và bóc tách theo từng tháng phát sinh trong kỳ báo cáo</t>
  </si>
  <si>
    <t>CT 4.22</t>
  </si>
  <si>
    <t>Employee turnover by Age Group</t>
  </si>
  <si>
    <t>Số nghỉ việc theo nhóm tuổi</t>
  </si>
  <si>
    <t>- Là chỉ tiêu bóc tách chi tiết tổng số lượng người lao động đã chính thức chấm dứt hợp đồng lao động và rời khỏi tổ chức trong kỳ báo cáo dựa trên độ tuổi của họ</t>
  </si>
  <si>
    <t>CT 4.23</t>
  </si>
  <si>
    <t>Employee turnover by Tenure</t>
  </si>
  <si>
    <t>Số nghỉ việc theo thâm niên</t>
  </si>
  <si>
    <t>- Là chỉ tiêu thống kê tổng số lượng người lao động đã chính thức chấm dứt hợp đồng và rời khỏi tổ chức trong kỳ báo cáo, được phân tách chi tiết dựa trên thâm niên công tác</t>
  </si>
  <si>
    <t>CT 4.24</t>
  </si>
  <si>
    <t>Employee turnover by Gender</t>
  </si>
  <si>
    <t>Số nghỉ việc theo giới tính</t>
  </si>
  <si>
    <t>- Là chỉ tiêu bóc tách chi tiết tổng số lượng người lao động đã chính thức chấm dứt hợp đồng và rời khỏi tổ chức trong kỳ báo cáo, được phân loại dữ liệu cụ thể theo chiều giới tính (Nam và Nữ)</t>
  </si>
  <si>
    <t>CT 4.25</t>
  </si>
  <si>
    <t>Employee turnover by Division</t>
  </si>
  <si>
    <t>Số nghỉ việc theo khối</t>
  </si>
  <si>
    <t>- Là chỉ tiêu bóc tách chi tiết tổng số lượng người lao động đã chính thức chấm dứt hợp đồng và rời khỏi tổ chức trong kỳ báo cáo, được phân loại theo khối</t>
  </si>
  <si>
    <t>CT 4.26</t>
  </si>
  <si>
    <t>Employee turnover by Recruitment Region</t>
  </si>
  <si>
    <t>Số nghỉ việc theo khu vực tuyển dụng</t>
  </si>
  <si>
    <t>- Là chỉ tiêu bóc tách chi tiết tổng số lượng người lao động đã chính thức chấm dứt hợp đồng lao động và rời khỏi Vietnam Airlines trong kỳ báo cáo, được phân loại dựa trên khu vực địa lý nơi nhân sự đó được tuyển dụng</t>
  </si>
  <si>
    <t>CT 4.27</t>
  </si>
  <si>
    <t>Employee turnover by Employee Level</t>
  </si>
  <si>
    <t>Số nghỉ việc theo cấp độ nhân viên</t>
  </si>
  <si>
    <t>- Là chỉ tiêu bóc tách chi tiết tổng số lượng người lao động đã chính thức chấm dứt hợp đồng lao động và rời khỏi Vietnam Airlines trong kỳ báo cáo, phân loại dựa trên cấp bậc chức danh và đặc thù nghề nghiệp</t>
  </si>
  <si>
    <t>CT 4.28</t>
  </si>
  <si>
    <t>Employee turnover by reason for leaving</t>
  </si>
  <si>
    <t>Số nghỉ việc theo lý do nghỉ việc</t>
  </si>
  <si>
    <t>- Là chỉ tiêu bóc tách chi tiết tổng số lượng người lao động đã chính thức chấm dứt hợp đồng lao động và rời khỏi Vietnam Airlines trong kỳ báo cáo, được phân loại cụ thể dựa trên nguyên nhân cốt lõi dẫn đến nghỉ việc</t>
  </si>
  <si>
    <t>NamNC</t>
  </si>
  <si>
    <t>Programs for upgrading employee skills</t>
  </si>
  <si>
    <t>Danh sách phúc lợi toàn thời gian vs. bán thời gian</t>
  </si>
  <si>
    <t>Benefits provided to full-time employees</t>
  </si>
  <si>
    <t>Tỷ lệ nhân viên tham gia ủy ban ATVSLĐ</t>
  </si>
  <si>
    <t>Worker participation, consultation, and communication on OHS</t>
  </si>
  <si>
    <t>DongNG</t>
  </si>
  <si>
    <t>Work-related injuries</t>
  </si>
  <si>
    <t>CT 4.29</t>
  </si>
  <si>
    <t>Total accidents</t>
  </si>
  <si>
    <t>Tổng số vụ tai nạn</t>
  </si>
  <si>
    <t>Là tổng số vụ tai nạn lao động xảy ra đối với người lao động trong kỳ báo cáo, bao gồm cả tai nạn nhẹ, nặng và nghiêm trọng theo quy định.</t>
  </si>
  <si>
    <t>vụ</t>
  </si>
  <si>
    <t>Nhập liệu thủ công</t>
  </si>
  <si>
    <t>6 tháng/lần</t>
  </si>
  <si>
    <t>Thời gian: Năm</t>
  </si>
  <si>
    <t>Thương tật lao động</t>
  </si>
  <si>
    <t>CT 4.31</t>
  </si>
  <si>
    <t>Number of injured people</t>
  </si>
  <si>
    <t>Số người bị thương</t>
  </si>
  <si>
    <t>Tổng số người lao động bị thương do tai nạn lao động trong kỳ báo cáo.</t>
  </si>
  <si>
    <t>CT 4.32</t>
  </si>
  <si>
    <t>Number of fatal accidents</t>
  </si>
  <si>
    <t>Số vụ có người chết</t>
  </si>
  <si>
    <t>Số sự kiện tai nạn mà hậu quả có ít nhất một người tử vong.</t>
  </si>
  <si>
    <t>CT 4.33</t>
  </si>
  <si>
    <t>Number of deaths</t>
  </si>
  <si>
    <t>Số người chết</t>
  </si>
  <si>
    <t>Tổng số nạn nhân tử vong từ tất cả các vụ tai nạn trong kỳ báo cáo.</t>
  </si>
  <si>
    <t>CT 4.34</t>
  </si>
  <si>
    <t>Distribution of injury factors</t>
  </si>
  <si>
    <t>Cơ cấu yếu tố gây chấn thương</t>
  </si>
  <si>
    <t>Chỉ tiêu phản ánh tỷ trọng và sự phân bố các yếu tố trực tiếp gây ra chấn thương trong các vụ tai nạn lao động, được phân loại theo danh mục yếu tố gây chấn thương quy định, nhằm đánh giá mức độ ảnh hưởng của từng yếu tố và hỗ trợ xác định các biện pháp phòng ngừa, giảm thiểu rủi ro.</t>
  </si>
  <si>
    <t>CT 4.35</t>
  </si>
  <si>
    <t>Distribution of accident causes</t>
  </si>
  <si>
    <t>Cơ cấu nguyên nhân xảy ra tai nạn</t>
  </si>
  <si>
    <t>Tỷ trọng các vụ tai nạn theo từng nhóm nguyên nhân</t>
  </si>
  <si>
    <t>Tổng số ca bệnh nghề nghiệp</t>
  </si>
  <si>
    <t xml:space="preserve">Diversity of governance bodies and employees </t>
  </si>
  <si>
    <t>Total Members</t>
  </si>
  <si>
    <t>Tổng số thành viên trong cơ quan quản trị</t>
  </si>
  <si>
    <t>- Là tổng số lượng cá nhân đang chính thức giữ các chức vụ lãnh đạo cấp cao thuộc cơ quan quản trị của Vietnam Airlines trong kỳ báo cáo</t>
  </si>
  <si>
    <t>- Ngày</t>
  </si>
  <si>
    <t>Đa dạng trong cơ quan quản trị</t>
  </si>
  <si>
    <t>CT 4.36</t>
  </si>
  <si>
    <t>Female Ratio</t>
  </si>
  <si>
    <t>Tỷ lệ thành viên nữ</t>
  </si>
  <si>
    <t>- Là tỷ lệ phần trăm số lượng thành viên nữ trên tổng số thành viên thuộc các cơ quan quản trị (bao gồm HĐQT, BGĐ và BKS)</t>
  </si>
  <si>
    <t>CT 4.37</t>
  </si>
  <si>
    <t>Member by Governance Bodies</t>
  </si>
  <si>
    <t>Số lượng thành viên theo cơ quan quản trị</t>
  </si>
  <si>
    <t>- Là chỉ tiêu bóc tách chi tiết số lượng lãnh đạo Nam và Nữ phân bổ cụ thể vào từng cấu phần của cơ quan quản trị: HĐQT, BGĐ và BKS</t>
  </si>
  <si>
    <t>CT 4.38</t>
  </si>
  <si>
    <t>Age Group and Gender Distribution</t>
  </si>
  <si>
    <t>Số lượng thành viên theo nhóm tuổi và giới tính</t>
  </si>
  <si>
    <t>- Là chỉ tiêu phân loại chi tiết các thành viên thuộc cơ quan quản trị (HĐQT, BGĐ, BKS) thông qua kết hợp: Nhóm tuổi và Giới tính</t>
  </si>
  <si>
    <t>Tổng số vụ phân biệt đối xử</t>
  </si>
  <si>
    <t>Incidents of discrimination</t>
  </si>
  <si>
    <t>CT 4.39</t>
  </si>
  <si>
    <t>Total Employee</t>
  </si>
  <si>
    <t>Tổng số nhân sự</t>
  </si>
  <si>
    <t>- Là tổng số người lao động chính thức đang làm việc tại tổ chức trong kỳ báo cáo</t>
  </si>
  <si>
    <t>CT 4.40</t>
  </si>
  <si>
    <t>Tỷ lệ nhân sự nữ</t>
  </si>
  <si>
    <t>- Là tỷ lệ phần trăm lao động nữ trên tổng số lượng người lao động của tổ chức</t>
  </si>
  <si>
    <t>CT 4.41</t>
  </si>
  <si>
    <t>Female Management Ratio</t>
  </si>
  <si>
    <t>Tỷ lệ cán bộ quản lý nữ</t>
  </si>
  <si>
    <t>- Là tỷ lệ phần trăm nhân sự nữ giữ các vị trí lãnh đạo, cụ thể được tính từ cấp phòng trở lên</t>
  </si>
  <si>
    <t>CT 4.42</t>
  </si>
  <si>
    <t>Average Employee</t>
  </si>
  <si>
    <t>Lao động bình quân</t>
  </si>
  <si>
    <t>- Là số lượng lao động bình quân của tổ chức</t>
  </si>
  <si>
    <t>CT 4.43</t>
  </si>
  <si>
    <t>Number of employees as of December 31 by year</t>
  </si>
  <si>
    <t>Số lượng nhân sự 31/12 theo năm</t>
  </si>
  <si>
    <t>- Là tổng số người lao động được ghi nhận tại thời điểm chốt sổ vào ngày 31/12 hàng năm (5 năm gần nhất)</t>
  </si>
  <si>
    <t>CT 4.44</t>
  </si>
  <si>
    <t>Number of employees by age group</t>
  </si>
  <si>
    <t>Số lượng nhân sự theo nhóm tuổi</t>
  </si>
  <si>
    <t>- Là chỉ tiêu bóc tách tổng số lượng nhân sự hiện hành thành các phân khúc độ tuổi</t>
  </si>
  <si>
    <t>CT 4.45</t>
  </si>
  <si>
    <t>Number of employees by gender</t>
  </si>
  <si>
    <t>Số lượng nhân sự theo giới tính</t>
  </si>
  <si>
    <t>- Là chỉ tiêu bóc tách lực lượng lao động hiện tại thành các nhóm tuyệt đối theo giới tính</t>
  </si>
  <si>
    <t>CT 4.46</t>
  </si>
  <si>
    <t>Number of employees by nationality</t>
  </si>
  <si>
    <t>Số lượng nhân sự theo quốc tịch</t>
  </si>
  <si>
    <t>- Là chỉ tiêu phân tách lực lượng lao động thành các nhóm quốc tịch (người Việt Nam và người nước ngoài)</t>
  </si>
  <si>
    <t>CT 4.47</t>
  </si>
  <si>
    <t>Number of employees by job level</t>
  </si>
  <si>
    <t>Số lượng nhân sự theo cấp bậc</t>
  </si>
  <si>
    <t>- Là chỉ tiêu phân loại tổng nhân sự dựa trên tính chất công việc và cấp bậc</t>
  </si>
  <si>
    <t>CT 4.48</t>
  </si>
  <si>
    <t>Number of employees by field</t>
  </si>
  <si>
    <t>Số lượng nhân sự theo lĩnh vực</t>
  </si>
  <si>
    <t>- Là chỉ tiêu bóc tách số lượng nhân sự dựa trên chuyên môn/mảng nghiệp vụ hoạt động (Tiếp viên, lao động mặt đất, Phi công)</t>
  </si>
  <si>
    <t>CT 4.49</t>
  </si>
  <si>
    <t>Number of employees by division</t>
  </si>
  <si>
    <t>Số lượng nhân sự theo khối</t>
  </si>
  <si>
    <t>- Là chỉ tiêu phân bổ nhân sự chi tiết theo cơ cấu tổ chức (các Khối chức năng)</t>
  </si>
  <si>
    <t>Tỷ lệ nhân viên được bảo vệ bởi thỏa ước lao động</t>
  </si>
  <si>
    <t>- Nhập thủ công (sau sẽ là SkyHR)</t>
  </si>
  <si>
    <t>MS Huyền</t>
  </si>
  <si>
    <t>CT 4.50</t>
  </si>
  <si>
    <t>Total training attendees per year</t>
  </si>
  <si>
    <t>Tổng số lượt người tham gia đào tạo</t>
  </si>
  <si>
    <t>Chị Huyền</t>
  </si>
  <si>
    <t>- Là tổng số lượt nhân viên ghi danh và thực tế tham gia vào các chương trình đào tạo trong kỳ báo cáo</t>
  </si>
  <si>
    <t>- VNĐ</t>
  </si>
  <si>
    <t>CT 4.51</t>
  </si>
  <si>
    <t>Total training costs per year</t>
  </si>
  <si>
    <t>Tổng chi phí đào tạo</t>
  </si>
  <si>
    <t>- Là tổng ngân sách thực tế tổ chức đã giải ngân cho toàn bộ các hoạt động đào tạo, huấn luyện, cấp chứng chỉ và hỗ trợ chuyển tiếp của người lao động trong kỳ</t>
  </si>
  <si>
    <t>CT 4.52</t>
  </si>
  <si>
    <t>Number of training enrollments by employee group: Pilots/Cabin Crew/Ground Staff per year</t>
  </si>
  <si>
    <t>Số lượt đào tạo theo đối tượng nhân viên</t>
  </si>
  <si>
    <t>- Là chỉ tiêu bóc tách tổng số lượt người tham gia đào tạo dựa trên 3 nhóm đối tượng đặc thù của quy trình khai thác bay: Phi công, Tiếp viên, và Người lao động (NLĐ) mặt đất</t>
  </si>
  <si>
    <t>CT 4.53</t>
  </si>
  <si>
    <t xml:space="preserve">Training costs by employee group: Pilots/Cabin Crew/Ground Staff per year </t>
  </si>
  <si>
    <t>Tổng chi phí đào tạo theo đối tượng nhân viên</t>
  </si>
  <si>
    <t>- Là chỉ tiêu bóc tách tổng chi phí đào tạo phân bổ chi tiết vào 3 nhóm đối tượng thụ hưởng: Phi công, Tiếp viên, và NLĐ mặt đất</t>
  </si>
  <si>
    <t>CT 4.54</t>
  </si>
  <si>
    <t>Number of training enrollments by type of training per year: Initial/Recurrent/Type rating/Upgrade per year</t>
  </si>
  <si>
    <t>Số lượt đào tạo theo loại hình đào tạo</t>
  </si>
  <si>
    <t>- Là chỉ tiêu phân loại chi tiết tổng số lượt tham gia đào tạo dựa trên tính chất và vòng đời của khóa học</t>
  </si>
  <si>
    <t>CT 4.55</t>
  </si>
  <si>
    <t>Training costs by type of training: Initial/Recurrent/Type rating/Upgrade per year</t>
  </si>
  <si>
    <t>Chi phí đào tạo theo loại hình đào tạo</t>
  </si>
  <si>
    <t>- Là chỉ tiêu bóc tách và phân bổ tổng ngân sách đào tạo vào 4 nhóm tính chất khóa học</t>
  </si>
  <si>
    <t>Tỷ lệ nhân viên được đánh giá hiệu suất</t>
  </si>
  <si>
    <t>Percentage of employees receiving performance reviews</t>
  </si>
  <si>
    <t>Tỷ lệ nhân viên được hưởng chương trình hưu trí</t>
  </si>
  <si>
    <t>CT 4.56</t>
  </si>
  <si>
    <t>Percentage of Vietnamese managers in Vietnam</t>
  </si>
  <si>
    <t>Tỷ lệ quản lý người Việt Nam tại Việt Nam</t>
  </si>
  <si>
    <t>Tỷ lệ phần trăm lãnh đạo cấp cao là người Việt trên tổng số lãnh đạo cấp cao tại Việt Nam.</t>
  </si>
  <si>
    <t>Tháng</t>
  </si>
  <si>
    <t xml:space="preserve">Thời gian: Tháng, Năm.
</t>
  </si>
  <si>
    <t>CT 4.57</t>
  </si>
  <si>
    <t>Percentage of foreign managers overseas</t>
  </si>
  <si>
    <t>Tỷ lệ quản lý người nước ngoài tại nước ngoài</t>
  </si>
  <si>
    <t>Tỷ lệ phần trăm lãnh đạo cấp cao là người nước ngoài trên tổng số lãnh đạo cấp cao tại nước ngoài.</t>
  </si>
  <si>
    <t>Nội dung văn bản / báo cáo</t>
  </si>
  <si>
    <t>Chair of the highest governance body</t>
  </si>
  <si>
    <t>Communication and training about anti-corruption policies</t>
  </si>
  <si>
    <t>Legal actions for anti-competitive behavior</t>
  </si>
  <si>
    <t>Tổ Dịch vụ</t>
  </si>
  <si>
    <t>Lượng nước khai thác</t>
  </si>
  <si>
    <t>CT 3.1</t>
  </si>
  <si>
    <t>Total Water Withdrawal</t>
  </si>
  <si>
    <t>Tổng lượng nước cấp lên</t>
  </si>
  <si>
    <t>Anh Hải</t>
  </si>
  <si>
    <t>- Là tổng lượng nước sạch thực tế được bơm/cấp (water uplift) vào bình chứa của tất cả các tàu bay thuộc Vietnam Airlines trong kỳ báo cáo nhằm phục vụ nhu cầu sinh hoạt, ăn uống và vệ sinh trên chuyến bay</t>
  </si>
  <si>
    <t>- Tổng lượng nước cấp lên = Tổng lượng nước cấp lên ở tàu bay thân hẹp + Tổng lượng nước cấp lên ở tàu bay thân rộng</t>
  </si>
  <si>
    <t>ML (Megaliter)</t>
  </si>
  <si>
    <t>CT 3.2</t>
  </si>
  <si>
    <t>Total Water Withdrawal by Narrow-body Aircraft</t>
  </si>
  <si>
    <t>Tổng lượng nước cấp lên theo tàu bay thân hẹp</t>
  </si>
  <si>
    <t>- Là tổng lượng nước sạch được ước tính đã cấp lên toàn bộ các chuyến bay khai thác bằng đội tàu bay thân hẹp (A321, A320) của Vietnam Airlines trong kỳ báo cáo</t>
  </si>
  <si>
    <t>- ((Số chuyến bay thuộc nhóm nội địa đi 2 đầu từ các sân bay địa phương) * 50 + (Số chuyến bay thuộc nhóm có điểm đi hoặc điểm đến từ HAN/DAD/SGN * 75) + (Số chuyến bay quốc tế) * 200) / 1000000</t>
  </si>
  <si>
    <t>CT 3.3</t>
  </si>
  <si>
    <t>Total Water Withdrawal by Wide-body Aircraft</t>
  </si>
  <si>
    <t>Tổng lượng nước cấp lên theo tàu bay thân rộng</t>
  </si>
  <si>
    <t>- Là tổng lượng nước sạch được ước tính đã cấp lên toàn bộ các chuyến bay khai thác bằng đội tàu bay thân hẹp (B787, A350) của Vietnam Airlines trong kỳ báo cáo</t>
  </si>
  <si>
    <t>- Định mức cho đường bay tương ứng * (Số khách người lớn thực tế trên chuyến bay / Số khách tối đa dựa theo sức chứa của các loại tàu bay)</t>
  </si>
  <si>
    <t>CT 3.4</t>
  </si>
  <si>
    <t>Water Withdrawal by Route Type</t>
  </si>
  <si>
    <t>Lượng nước cấp lên theo đường bay</t>
  </si>
  <si>
    <t>- Là việc bóc tách và phân bổ "Tổng lượng nước cấp lên" theo các nhóm đường bay đặc thù của hãng (ví dụ: Quốc nội vs. Quốc tế)</t>
  </si>
  <si>
    <t>CT 3.5</t>
  </si>
  <si>
    <t>Water Withdrawal by Aircraft Type</t>
  </si>
  <si>
    <t>Lượng nước cấp lên theo loại tàu bay</t>
  </si>
  <si>
    <t>- Là việc phân loại lượng nước sạch đã cấp lên theo bốn dòng tàu bay (Thân rộng: B787, A350; Thân hẹp: A321, A320) hiện đang khai thác trong đội bay của VNA</t>
  </si>
  <si>
    <t>CT 3.6</t>
  </si>
  <si>
    <t>Annual Water Withdrawal vs. Target</t>
  </si>
  <si>
    <t>Tổng lượng nước cấp lên theo năm vs. Mục tiêu</t>
  </si>
  <si>
    <t xml:space="preserve">- Là chỉ tiêu so sánh trực tiếp giữa lượng nước thực tế đã cấp lên toàn mạng bay trong một năm tài chính so với hạn mức mục tiêu (Target) đã được Ban Lãnh đạo VNA phê duyệt từ đầu kỳ báo cáo. </t>
  </si>
  <si>
    <t>CT 3.7</t>
  </si>
  <si>
    <t>Monthly Water Withdrawal vs. Target</t>
  </si>
  <si>
    <t>Tổng lượng nước cấp lên theo tháng vs. Mục tiêu</t>
  </si>
  <si>
    <t>- Là phiên bản chia nhỏ (breakdown) của CT 3.4 theo chu kỳ hàng tháng. Chỉ tiêu này theo dõi lượng nước cấp lên tàu bay trong một tháng cụ thể và đối chiếu với hạn mức nước đã được lên kế hoạch cho riêng tháng đó (có tính đến tính thời vụ như tháng cao điểm hè, lễ tết)</t>
  </si>
  <si>
    <t>CT 3.8</t>
  </si>
  <si>
    <t>Total Water Consumption</t>
  </si>
  <si>
    <t>Tổng lượng nước tiêu thụ</t>
  </si>
  <si>
    <t>- Do cuối ngày nước cuối ngày được rút hết ra và đã coi như là tiêu thụ, vậy hiện tại Lượng nước tiêu thụ được coi là bằng  Lượng nước cấp lên</t>
  </si>
  <si>
    <t>- Lượng nước tiêu thụ = Lượng nước cấp lên</t>
  </si>
  <si>
    <t>CT 3.9</t>
  </si>
  <si>
    <t>Water Consumption by Route Type</t>
  </si>
  <si>
    <t>Lượng nước tiêu thụ theo loại tàu bay</t>
  </si>
  <si>
    <t xml:space="preserve">- Là việc bóc tách và phân bổ "Tổng lượng nước tiêu thụ" theo các nhóm đường bay đặc thù của hãng (ví dụ: Quốc nội vs. Quốc tế)
</t>
  </si>
  <si>
    <t>CT 3.10</t>
  </si>
  <si>
    <t>Annual Water Consumption vs Target</t>
  </si>
  <si>
    <t>Lượng nước tiêu thụ theo năm vs. Mục tiêu</t>
  </si>
  <si>
    <t>- Là chỉ tiêu so sánh trực tiếp giữa lượng nước thực tế đã tiêu thụ toàn mạng bay trong một năm tài chính so với hạn mức mục tiêu (Target) đã được Ban Lãnh đạo VNA phê duyệt từ đầu kỳ báo cáo</t>
  </si>
  <si>
    <t>CT 3.11</t>
  </si>
  <si>
    <t>Monthly Water Consumption vs. Target</t>
  </si>
  <si>
    <t>Lượng nước tiêu thụ theo tháng vs. Mục tiêu</t>
  </si>
  <si>
    <t xml:space="preserve">- Là phiên bản chia nhỏ (breakdown) của CT 3.9 theo chu kỳ hàng tháng. Chỉ tiêu này theo dõi lượng nước tiêu thụ trong một tháng cụ thể và đối chiếu với hạn mức nước đã được lên kế hoạch cho riêng tháng đó (có tính đến tính thời vụ như tháng cao điểm hè, lễ tết) </t>
  </si>
  <si>
    <t>CT 3.12</t>
  </si>
  <si>
    <t>Average Water Consumption by Route Group for Wide-body Aircraft</t>
  </si>
  <si>
    <t>Lượng nước tiêu thụ trung bình theo nhóm đường bay đối với tàu bay thân rộng</t>
  </si>
  <si>
    <t>- Là thống kê thể tích nước sạch tiêu thụ trung bình trên một chuyến bay khai thác bằng tàu bay thân rộng (A350/B787). Chỉ tiêu phân tách chi tiết theo các nhóm đường bay có đặc thù dịch vụ khác nhau</t>
  </si>
  <si>
    <t>Box Plot</t>
  </si>
  <si>
    <t>Customer satisfaction (NPS Net Promoter Score)</t>
  </si>
  <si>
    <t>CT 3.14</t>
  </si>
  <si>
    <t>Average NPS</t>
  </si>
  <si>
    <t>Điểm NPS trung bình</t>
  </si>
  <si>
    <t>Chị Hương</t>
  </si>
  <si>
    <t>Là điểm Net Promoter Score (NPS) trung bình của toàn bộ khách hàng tham gia khảo sát đối với tất cả các chuyến bay trong kỳ báo cáo</t>
  </si>
  <si>
    <t xml:space="preserve">NPS = % Promoters − % Detractors.
% Promoters = Số khách hàng Promoters / Tổng số khách hàng tham gia khảo sát.
% Detractors = Số khách hàng Detractors / Tổng số khách hàng tham gia khảo sát.
</t>
  </si>
  <si>
    <t>NPS</t>
  </si>
  <si>
    <t>Tháng/Quý/Năm</t>
  </si>
  <si>
    <t>Sự hài lòng của khách hàng</t>
  </si>
  <si>
    <t>CT 3.15</t>
  </si>
  <si>
    <t>NPS (DOM)</t>
  </si>
  <si>
    <t>Điểm NPS nội địa (DOM)</t>
  </si>
  <si>
    <t xml:space="preserve">Là điểm Net Promoter Score (NPS) trung bình đối với các chuyến bay nội địa (Domestic) trong kỳ báo cáo, phản ánh mức độ hài lòng và khả năng khách hàng sẵn sàng giới thiệu dịch vụ trên mạng bay nội địa.
</t>
  </si>
  <si>
    <t>CT 3.16</t>
  </si>
  <si>
    <t xml:space="preserve">NPS (INT)
</t>
  </si>
  <si>
    <t>Điểm NPS quốc tế (INT)</t>
  </si>
  <si>
    <t>Là điểm Net Promoter Score (NPS) trung bình đối với các chuyến bay quốc tế (International) trong kỳ báo cáo, phản ánh mức độ hài lòng và khả năng khách hàng sẵn sàng giới thiệu dịch vụ trên mạng bay quốc tế.</t>
  </si>
  <si>
    <t>CT 3.17</t>
  </si>
  <si>
    <t>Survey Responses</t>
  </si>
  <si>
    <t>Số phản hồi khảo sát</t>
  </si>
  <si>
    <t xml:space="preserve">Là tổng số phản hồi khảo sát hợp lệ được ghi nhận từ khách hàng trong kỳ báo cáo, phục vụ tính toán các chỉ số NPS và đánh giá trải nghiệm khách hàng.
</t>
  </si>
  <si>
    <t>Số phản hồi</t>
  </si>
  <si>
    <t>CT 3.18</t>
  </si>
  <si>
    <t>Promoter Customer Rate</t>
  </si>
  <si>
    <t>Tỷ lệ khách hàng Promoter (%)</t>
  </si>
  <si>
    <t xml:space="preserve">Là tỷ lệ khách hàng thuộc nhóm Promoter trong tổng số phản hồi khảo sát, tức nhóm khách hàng có mức độ hài lòng cao và sẵn sàng giới thiệu dịch vụ cho người khác.
</t>
  </si>
  <si>
    <t xml:space="preserve">Tỷ lệ khách hàng Promoter = Số khách hàng thuộc nhóm Promoter / Tổng số khách hàng tham gia khảo sát × 100%. 
</t>
  </si>
  <si>
    <t>Năm</t>
  </si>
  <si>
    <t>CT 3.19</t>
  </si>
  <si>
    <t>NPS Trend vs. Target Over Time</t>
  </si>
  <si>
    <t>Xu hướng điểm NPS so với mục tiêu</t>
  </si>
  <si>
    <t xml:space="preserve">Là chỉ tiêu phản ánh biến động điểm NPS thực tế so với mục tiêu kế hoạch qua các kỳ báo cáo (theo năm), được phân tách theo hai nhóm chuyến bay nội địa (DOM) và quốc tế (INT).
</t>
  </si>
  <si>
    <t>CT 3.20</t>
  </si>
  <si>
    <t>NPS by Membership Tier</t>
  </si>
  <si>
    <t>Điểm NPS theo hạng hội viên</t>
  </si>
  <si>
    <t xml:space="preserve">Là điểm Net Promoter Score (NPS) được phân tách theo từng hạng hội viên khách hàng trong kỳ báo cáo nhằm phản ánh mức độ hài lòng và trải nghiệm dịch vụ của từng nhóm khách hàng thân thiết.
</t>
  </si>
  <si>
    <t>CT 3.21</t>
  </si>
  <si>
    <t>Total Discrimination Cases</t>
  </si>
  <si>
    <t>Tổng số vụ việc phân biệt đối xử</t>
  </si>
  <si>
    <t>Chị Hiền</t>
  </si>
  <si>
    <t xml:space="preserve">Là tổng số vụ việc liên quan đến hành vi phân biệt đối xử được ghi nhận trong kỳ báo cáo, bao gồm các phản ánh, khiếu nại hoặc vụ việc đã được xác minh phát sinh trong môi trường làm việc hoặc hoạt động cung cấp dịch vụ, không phân biệt trạng thái xử lý.
</t>
  </si>
  <si>
    <t>CT 3.22</t>
  </si>
  <si>
    <t>Resolved Cases</t>
  </si>
  <si>
    <t>Số vụ việc đã xử lý xong</t>
  </si>
  <si>
    <t xml:space="preserve">Là tổng số vụ việc phân biệt đối xử đã hoàn tất quá trình xem xét, xử lý và đóng vụ việc theo quy định nội bộ trong kỳ báo cáo.
</t>
  </si>
  <si>
    <t xml:space="preserve">Là tổng số vụ việc đã có Closed Date (ngày đóng hồ sơ) trong kỳ báo cáo.
</t>
  </si>
  <si>
    <t>CT 3.23</t>
  </si>
  <si>
    <t>Cases Under Review</t>
  </si>
  <si>
    <t>Số vụ việc đang được xem xét</t>
  </si>
  <si>
    <t xml:space="preserve">Là tổng số vụ việc phân biệt đối xử đang trong quá trình xác minh, điều tra hoặc xử lý tại thời điểm báo cáo.
</t>
  </si>
  <si>
    <t xml:space="preserve">Là tổng số vụ việc chưa có Closed Date (ngày đóng hồ sơ) trong kỳ báo cáo.
</t>
  </si>
  <si>
    <t>CT 3.24</t>
  </si>
  <si>
    <t xml:space="preserve">Average Resolution Time </t>
  </si>
  <si>
    <t>Thời gian xử lý trung bình (ngày)</t>
  </si>
  <si>
    <t xml:space="preserve">Là thời gian trung bình tính từ thời điểm tiếp nhận vụ việc đến khi hoàn tất xử lý, được đo lường theo đơn vị ngày nhằm đánh giá hiệu quả và tốc độ xử lý vụ việc.
</t>
  </si>
  <si>
    <t xml:space="preserve">Thời gian xử lý trung bình (ngày) = Thời gian xử lý 1 vụ việc (ngày) / Tổng số vụ việc phân biệt đối xử.
Thời gian xử lý 1 vụ việc (ngày) = Ngày đóng hồ sơ - Ngày tạo hồ sơ.
</t>
  </si>
  <si>
    <t>CT 3.25</t>
  </si>
  <si>
    <t>Number of Discrimination Cases overtime</t>
  </si>
  <si>
    <t>Số vụ phân biệt đối xử qua các năm</t>
  </si>
  <si>
    <t xml:space="preserve">Là số lượng vụ việc phân biệt đối xử được ghi nhận theo từng năm hoặc kỳ báo cáo nhằm theo dõi xu hướng biến động của các vụ việc theo thời gian.
</t>
  </si>
  <si>
    <t>CT 3.26</t>
  </si>
  <si>
    <t>Case Resolution Status</t>
  </si>
  <si>
    <t>Tình trạng xử lý vụ việc</t>
  </si>
  <si>
    <t xml:space="preserve">Là thông tin phản ánh trạng thái xử lý của các vụ việc phân biệt đối xử tại thời điểm báo cáo, bao gồm: 
Đã xử lý: Khi đã có Closed Date.
Đang xử lý: Còn lại.
</t>
  </si>
  <si>
    <t>CT 3.27</t>
  </si>
  <si>
    <t>Corrective Action Statistics</t>
  </si>
  <si>
    <t>Thống kê biện pháp khắc phục</t>
  </si>
  <si>
    <t>Là thống kê các biện pháp khắc phục hoặc xử lý đã thực hiện đối với các vụ phân biệt đối xử</t>
  </si>
  <si>
    <t xml:space="preserve">Hàn Quỳnh Trang , Chu Anh Trà </t>
  </si>
  <si>
    <t>Assessment of the health and safety impacts</t>
  </si>
  <si>
    <t>CT 3.28</t>
  </si>
  <si>
    <t>Health &amp; Safety Assessment Rate</t>
  </si>
  <si>
    <t>Tỷ lệ tuân thủ An toàn (%)</t>
  </si>
  <si>
    <t>Chị Hàn Quỳnh Trang , Chị Chu Anh Trà , Chị Yến</t>
  </si>
  <si>
    <t>Tỷ lệ phần trăm các sản phẩm/dịch vụ đạt yêu cầu an toàn trên tổng số sản phẩm/dịch vụ đã thực hiện đánh giá.</t>
  </si>
  <si>
    <t>LMS, Nhập liệu thủ công</t>
  </si>
  <si>
    <t>Danh mục sản phẩm, Năm, Tháng</t>
  </si>
  <si>
    <t>CT 3.29</t>
  </si>
  <si>
    <t>Total number of material categories affecting passenger health and safety</t>
  </si>
  <si>
    <t>Cơ cấu danh mục trọng yếu</t>
  </si>
  <si>
    <t xml:space="preserve">Tổng số sản phẩm hoặc dịch vụ đã được triển khai trong kỳ báo cáo.
</t>
  </si>
  <si>
    <t>Sản phẩm</t>
  </si>
  <si>
    <t>CT 3.30</t>
  </si>
  <si>
    <t>Total number of incidents</t>
  </si>
  <si>
    <t>Tổng số sự cố</t>
  </si>
  <si>
    <t>Chị Nguyễn Thị Hằng</t>
  </si>
  <si>
    <t>Tổng số sự cố không tuân thủ các quy định liên quan đến tác động về sức khỏe và an toàn của sản phẩm, dịch vụ được ghi nhận trong kỳ báo cáo, không phân biệt hình thức xử lý.</t>
  </si>
  <si>
    <t>Sự cố</t>
  </si>
  <si>
    <t>CT 3.31</t>
  </si>
  <si>
    <t>Number of non-compliance incidents resulting in fines</t>
  </si>
  <si>
    <t>Số sự cố không tuân thủ quy định dẫn đến bị phạt tiền</t>
  </si>
  <si>
    <t>Số sự cố không tuân thủ các quy định về sức khỏe và an toàn của sản phẩm, dịch vụ dẫn đến việc doanh nghiệp bị cơ quan có thẩm quyền xử phạt bằng tiền hoặc các hình thức xử phạt hành chính khác trong kỳ báo cáo.</t>
  </si>
  <si>
    <t>CT 3.32</t>
  </si>
  <si>
    <t>Number of non-compliance incidents resulting in warnings</t>
  </si>
  <si>
    <t>Số sự cố không chấp hành quy định bị cảnh cáo</t>
  </si>
  <si>
    <t>Số sự cố không tuân thủ các quy định về sức khỏe và an toàn của sản phẩm, dịch vụ dẫn đến việc doanh nghiệp bị cơ quan có thẩm quyền cảnh cáo, nhắc nhở hoặc yêu cầu khắc phục nhưng không bị xử phạt bằng tiền.</t>
  </si>
  <si>
    <t>CT 3.33</t>
  </si>
  <si>
    <t>Number of incidents involving non-compliance with voluntary codes</t>
  </si>
  <si>
    <t>Số sự cố không tuân thủ các quy tắc tự nguyện</t>
  </si>
  <si>
    <t>Số sự cố không tuân thủ các quy tắc, tiêu chuẩn hoặc cam kết tự nguyện liên quan đến sức khỏe và an toàn của sản phẩm, dịch vụ mà doanh nghiệp đã tham gia hoặc cam kết áp dụng, nhưng không thuộc các quy định bắt buộc của pháp luật.</t>
  </si>
  <si>
    <t>CT 3.34</t>
  </si>
  <si>
    <t>Monthly incident trend</t>
  </si>
  <si>
    <t>Xu hướng sự cố theo tháng</t>
  </si>
  <si>
    <t>Thể hiện sự biến động về số lượng sự cố không tuân thủ các quy định về sức khỏe và an toàn của sản phẩm, dịch vụ theo từng tháng trong kỳ báo cáo, giúp theo dõi xu hướng tăng hoặc giảm của các sự cố.</t>
  </si>
  <si>
    <t>CT 3.35</t>
  </si>
  <si>
    <t>Incident type distribution</t>
  </si>
  <si>
    <t>Cơ cấu loại sự cố</t>
  </si>
  <si>
    <t>Thể hiện tỷ trọng hoặc số lượng các sự cố được phân loại theo từng loại vi phạm liên quan đến sức khỏe và an toàn của sản phẩm, dịch vụ (ví dụ: sự cố về an toàn thực phẩm, chất lượng sản phẩm, thiết bị không đảm bảo an toàn...), giúp xác định các nhóm vi phạm phổ biến và phục vụ công tác cải tiến.</t>
  </si>
  <si>
    <t>GRI 416-3</t>
  </si>
  <si>
    <t>CT 3.36</t>
  </si>
  <si>
    <t xml:space="preserve">Target number of incidents 
</t>
  </si>
  <si>
    <t>Mục tiêu số sự cố</t>
  </si>
  <si>
    <t>CT 3.37</t>
  </si>
  <si>
    <t>Tổng số sự cố không tuân thủ các quy định về thông tin và nhãn của sản phẩm, dịch vụ được ghi nhận trong kỳ báo cáo, không phân biệt hình thức xử lý.</t>
  </si>
  <si>
    <t>CT 3.38</t>
  </si>
  <si>
    <t>Số sự cố không tuân thủ các quy định về thông tin và nhãn sản phẩm, dịch vụ dẫn đến việc doanh nghiệp bị cơ quan có thẩm quyền xử phạt bằng tiền hoặc các hình thức xử phạt hành chính khác trong kỳ báo cáo.</t>
  </si>
  <si>
    <t>CT 3.39</t>
  </si>
  <si>
    <t>Số sự cố không tuân thủ các quy định về thông tin và nhãn sản phẩm, dịch vụ dẫn đến việc doanh nghiệp bị cơ quan có thẩm quyền nhắc nhở, cảnh cáo hoặc yêu cầu khắc phục nhưng không bị xử phạt bằng tiền.</t>
  </si>
  <si>
    <t>CT 3.40</t>
  </si>
  <si>
    <t>Số sự cố không tuân thủ các bộ quy tắc, tiêu chuẩn hoặc cam kết tự nguyện liên quan đến thông tin và nhãn sản phẩm, dịch vụ mà doanh nghiệp đã tham gia hoặc cam kết áp dụng, nhưng không phải là yêu cầu bắt buộc của pháp luật.</t>
  </si>
  <si>
    <t>CT 3.41</t>
  </si>
  <si>
    <t>Thể hiện sự biến động về số lượng sự cố không tuân thủ các quy định về thông tin và nhãn sản phẩm, dịch vụ theo từng tháng trong kỳ báo cáo, nhằm theo dõi xu hướng tăng hoặc giảm của các sự cố.</t>
  </si>
  <si>
    <t>CT 3.42</t>
  </si>
  <si>
    <t>Thể hiện tỷ trọng hoặc số lượng các sự cố được phân loại theo từng loại vi phạm về thông tin và nhãn sản phẩm, dịch vụ (ví dụ: thiếu thông tin bắt buộc, ghi nhãn sai, ghi nhãn không đầy đủ, thông tin gây hiểu nhầm...), giúp đánh giá các nhóm vi phạm phổ biến.</t>
  </si>
  <si>
    <t>CT 3.43</t>
  </si>
  <si>
    <t>CT 5.1</t>
  </si>
  <si>
    <t>Total aircraft</t>
  </si>
  <si>
    <t>Tổng tàu bay hoạt động</t>
  </si>
  <si>
    <t>Anh Đàn</t>
  </si>
  <si>
    <t>Là tổng số tàu bay đang được khai thác thực tế.</t>
  </si>
  <si>
    <t>Tàu bay</t>
  </si>
  <si>
    <t>Theo giấy chứng nhận nhà khai thác (AOC) cập nhật.</t>
  </si>
  <si>
    <t>Theo thời gian: Năm, Quý, Tháng, Ngày (thời điểm) và theo Kiểu/ Loại tàu bay.</t>
  </si>
  <si>
    <t>CT 5.2</t>
  </si>
  <si>
    <t>Distribution of noise certification categories</t>
  </si>
  <si>
    <t>Cơ cấu chứng chỉ tiếng ồn</t>
  </si>
  <si>
    <t>Cơ cấu tỷ trọng tàu bay theo từng Chapter tiếng ồn tại thời điểm báo cáo.</t>
  </si>
  <si>
    <t xml:space="preserve">Tỷ lệ % của Loại Chapter / Tổng số đội tàu bay.
</t>
  </si>
  <si>
    <t>CT 5.3</t>
  </si>
  <si>
    <t>Aircraft noise certification by year</t>
  </si>
  <si>
    <t>Chứng nhận tiếng ồn máy bay theo năm</t>
  </si>
  <si>
    <t>Sự thay đổi theo thời gian của số lượng tàu bay tuân thủ các tiêu chuẩn tiếng ồn.</t>
  </si>
  <si>
    <t>x</t>
  </si>
  <si>
    <t>CT 5.4</t>
  </si>
  <si>
    <t>Noise certification by aircraft type</t>
  </si>
  <si>
    <t>Chứng chỉ tiếng ồn theo loại máy bay</t>
  </si>
  <si>
    <t>Chỉ tiêu phản ánh số lượng tàu bay đang khai thác được phân loại theo chứng chỉ tiếng ồn tương ứng theo tiêu chuẩn của Tổ chức Hàng không Dân dụng Quốc tế (ICAO). Chỉ tiêu được trình bày theo từng loại máy bay nhằm đánh giá mức độ đáp ứng yêu cầu kiểm soát tiếng ồn và tác động môi trường của đội bay.</t>
  </si>
  <si>
    <t>Sankey chart</t>
  </si>
  <si>
    <t>CT 5.5</t>
  </si>
  <si>
    <t>- Tổng lượng nhiên liệu hàng không được ghi nhận tiêu thụ trong kỳ, được xác định dựa trên lượng nhiên liệu nạp vào tàu bay</t>
  </si>
  <si>
    <t>- Tổng nhiên liệu tiêu thụ là tổng lượng nhiên liệu đã nạp trên tất cả chuyến bay theo hóa đơn</t>
  </si>
  <si>
    <t>FIMS/ANCM</t>
  </si>
  <si>
    <t>Tháng/Quý/Năm
Tàu bay
Khu vực</t>
  </si>
  <si>
    <t>Direct greenhouse gas emissions (Scope 1) from domestic flights</t>
  </si>
  <si>
    <t>Phát thải khí nhà kính trực tiếp (Phạm vi 1) cho các chuyến bay nội địa</t>
  </si>
  <si>
    <t>CT 5.6</t>
  </si>
  <si>
    <t>- Là tổng lượng nhiên liệu hàng không hóa thạch Jet A-1 được tra nạp và sử dụng cho hoạt động khai thác bay</t>
  </si>
  <si>
    <t>- Nhiên liệu tiêu thụ Jet A-1 = Tổng nhiên liệu tiêu thụ - Lượng SAF nguyên chất</t>
  </si>
  <si>
    <t>CT 5.7</t>
  </si>
  <si>
    <t>Neat SAF Consumption</t>
  </si>
  <si>
    <t>- Nhiên liệu tiêu thụ SAF là phần SAF nguyên chất (Neat SAF)</t>
  </si>
  <si>
    <t>- Nhiên liệu tiêu thụ SAF = Tổng lượng SAF nguyên chất được xác định trong chứng nhận từ nhà cung cấp tại các sân bay</t>
  </si>
  <si>
    <t>CT 5.8</t>
  </si>
  <si>
    <t>Total Equivalent Fuel Consumption</t>
  </si>
  <si>
    <t>Tổng năng lượng tiêu thụ tương đương</t>
  </si>
  <si>
    <t>- Là tổng mức năng lượng mà Vietnam Airlines đã thực tế tiêu thụ trong kỳ báo cáo, được xác định bằng cách quy đổi khối lượng nhiên liệu vật lý (chủ yếu là nhiên liệu bay Jet A-1) sang một đơn vị đo lường năng lượng tiêu chuẩn chung là Tấn dầu quy đổi (TOE)</t>
  </si>
  <si>
    <t>- Tổng nhiên liệu tiêu thụ tương đương = Tổng nhiên liệu tiêu thụ (Tấn) * Hệ số quy đổi Tấn sang TOE</t>
  </si>
  <si>
    <t>TOE</t>
  </si>
  <si>
    <t>CT 5.9</t>
  </si>
  <si>
    <t>Total Total GHG Emissions</t>
  </si>
  <si>
    <t>- Là tổng khối lượng các loại khí nhà kính phát sinh trực tiếp từ quá trình đốt cháy nhiên liệu</t>
  </si>
  <si>
    <t>- Tổng phát thải khí nhà kính = Phát thải khí CO2 (tCO2e) + Phát thải khí CH4 (tCO2e) + Phát thải khí N2O (tCO2e)</t>
  </si>
  <si>
    <t>tCO2e</t>
  </si>
  <si>
    <t>CT 5.10</t>
  </si>
  <si>
    <t>CO2 Emissions</t>
  </si>
  <si>
    <t>Phát thải CO2</t>
  </si>
  <si>
    <t>- Là tổng khối lượng khí Carbon Dioxide (CO2) phát sinh trực tiếp và xả thải vào bầu khí quyển từ quá trình đốt cháy nhiên liệu hàng không</t>
  </si>
  <si>
    <t>- Phát thải CO2 = Nhiên liệu tiêu thụ Jet A-1 (Tấn) * Hệ số phát thải CO2 + Phát thải nhiên liệu SAF</t>
  </si>
  <si>
    <t>CT 5.11</t>
  </si>
  <si>
    <t>CH4 Emission</t>
  </si>
  <si>
    <t>Phát thải CH4</t>
  </si>
  <si>
    <t>- Là khối lượng khí CH4 phát sinh trực tiếp từ quá trình đốt cháy nhiên liệu hàng không trong hoạt động khai thác bay của Vietnam Airlines xuyên suốt kỳ báo cáo</t>
  </si>
  <si>
    <t>- Phát thải CH4 = Nhiên liệu Jet A-1 (Tấn)  / 1000000 * NCV* Hệ số phát thải CH4 * GWP_CH4 + Nhiên liệu SAF (Tấn) / 1000000 * NCV * Hệ số phát thải CH4 * GWP_CH4</t>
  </si>
  <si>
    <t>CT 5.12</t>
  </si>
  <si>
    <t>N2O Emissions</t>
  </si>
  <si>
    <t>Phát thải N2O</t>
  </si>
  <si>
    <t>- Là khối lượng khí N2O phát sinh trực tiếp từ quá trình đốt cháy nhiên liệu hàng không trong buồng đốt động cơ tàu bay của Vietnam Airlines xuyên suốt kỳ báo cáo</t>
  </si>
  <si>
    <t>- Phát thải N2O = Nhiên liệu Jet A-1 (Tấn)  / 1000000 * NCV* Hệ số phát thải N2O * GWP_N2O + Nhiên liệu SAF (Tấn) / 1000000 * NCV * Hệ số phát thải N2O * GWP_N2O</t>
  </si>
  <si>
    <t>CT 5.13</t>
  </si>
  <si>
    <t>Annual GHG Emissions</t>
  </si>
  <si>
    <t>Tổng phát thải khí nhà kính theo năm</t>
  </si>
  <si>
    <t>- Là chỉ tiêu tổng hợp lũy kế toàn bộ lượng phát thải khí nhà kính (bao gồm các cấu phần CO2, CH4, N2O đã được quy đổi thống nhất ra đơn vị tCO2e) phát sinh từ chuỗi hoạt động khai thác của Vietnam Airlines trong trọn vẹn một chu kỳ 12 tháng</t>
  </si>
  <si>
    <t>CT 5.14</t>
  </si>
  <si>
    <t>Annual Emissions Intensity</t>
  </si>
  <si>
    <t>Cường độ phát thải nhà kính theo năm</t>
  </si>
  <si>
    <t>- Cường độ phát thải là tỷ số giữa mức phát thải khí nhà kính chia cho một đơn vị tham chiếu đặc trưng của tổ chức (mẫu số chung)</t>
  </si>
  <si>
    <t>tCO2e/100RTK</t>
  </si>
  <si>
    <t>FIMS/ANCM/RPS</t>
  </si>
  <si>
    <t>CT 5.15</t>
  </si>
  <si>
    <t>Monthly GHG Emissions</t>
  </si>
  <si>
    <t>Tổng phát thải khí nhà kính theo tháng</t>
  </si>
  <si>
    <t>- Là chỉ tiêu thống kê tổng khối lượng phát thải khí nhà kính (bao gồm tổng hòa các cấu phần CO2, CH4, N2O đã được quy đổi thống nhất sang đơn vị chuẩn tCO2e) sinh ra từ hoạt động đốt nhiên liệu bay của Vietnam Airlines, được bóc tách và chốt số liệu theo từng tháng riêng biệt.</t>
  </si>
  <si>
    <t>CT 5.16</t>
  </si>
  <si>
    <t>GHG Emissions by Aircraft Type</t>
  </si>
  <si>
    <t>Tổng phát thải khí nhà kính theo loại tàu bay</t>
  </si>
  <si>
    <t>- Là chỉ tiêu bóc tách chi tiết tổng khối lượng phát thải khí nhà kính trực tiếp (đã quy đổi sang tCO2e) dựa trên từng chủng loại máy bay cụ thể cấu thành nên đội tàu bay của Vietnam Airlines</t>
  </si>
  <si>
    <t>Tổng số chuyến bay</t>
  </si>
  <si>
    <t>Nhận diện mối nguy, đánh giá rủi ro và điều tra sự cố</t>
  </si>
  <si>
    <t>Số mối nguy do va chạm chim bay</t>
  </si>
  <si>
    <t>Số mối nguy do sét đánh</t>
  </si>
  <si>
    <t>Số lượng chuyến bay và số sự cố theo tháng</t>
  </si>
  <si>
    <t>Stacked column chart</t>
  </si>
  <si>
    <t>MS Thu, chị My</t>
  </si>
  <si>
    <t>Volunteering during working hours/Tham gia hoạt động tình nguyện</t>
  </si>
  <si>
    <t>CT 7.1</t>
  </si>
  <si>
    <t>Total volunteer hours</t>
  </si>
  <si>
    <t>Tổng số giờ tình nguyện</t>
  </si>
  <si>
    <t>Chị Thu, chị My</t>
  </si>
  <si>
    <t>- Tổng số giờ tình nguyện.</t>
  </si>
  <si>
    <t>- Tổng số giờ tình nguyện = Tổng thời gian tham gia tình nguyện của tất cả nhân sự, theo toàn bộ chương trình tình nguyện trong năm.
(VD: dự án A có 50 nhân sự tham gia, thời gian tham gia của mỗi nhân sự là 10 giờ thì tổng thời gian tham gia tình nguyện = 50*10 = 500 giờ).</t>
  </si>
  <si>
    <t>- Giờ</t>
  </si>
  <si>
    <t>CT 7.2</t>
  </si>
  <si>
    <t>Total number of employees participating in volunteer activities during working hours</t>
  </si>
  <si>
    <t>Tổng số nhân viên tham gia hoạt động tình nguyện trong giờ làm việc</t>
  </si>
  <si>
    <t>- Tổng số nhân viên tham gia hoạt động tình nguyện trong giờ làm việc. Một nhân viên tham gia nhiều hoạt động tình nguyện trong năm báo cáo chỉ được tính 1 lần.</t>
  </si>
  <si>
    <t>- Nhân viên</t>
  </si>
  <si>
    <t>CT 7.3</t>
  </si>
  <si>
    <t>Average volunteer hours per employee</t>
  </si>
  <si>
    <t>Số giờ tình nguyện trung bình mỗi nhân viên</t>
  </si>
  <si>
    <t>- Số giờ trung bình một nhân viên tham gia hoạt động tình nguyện.</t>
  </si>
  <si>
    <t>- Số giờ tình nguyện trung bình mỗi nhân viên = Tổng số giờ tình nguyện / Tổng số nhân viên</t>
  </si>
  <si>
    <t>- Tổng số nhân sự: SkyHR</t>
  </si>
  <si>
    <t>CT 7.4</t>
  </si>
  <si>
    <t>Total volunteer activity expenses</t>
  </si>
  <si>
    <t>Tổng chi phí hoạt động tình nguyện</t>
  </si>
  <si>
    <t>- Tổng chi phí hoạt động tình nguyện, bao gồm cả chi phí tổ chức và chi phí quyên góp.</t>
  </si>
  <si>
    <t>Incidents of non-compliance concerning marketing communications / Các vụ việc không tuân thủ liên quan đến truyền thông marketing</t>
  </si>
  <si>
    <t>CT 7.5</t>
  </si>
  <si>
    <t>Tổng số vụ việc</t>
  </si>
  <si>
    <t>- Tổng số sự cố được ghi nhận trong kỳ báo cáo liên quan đến việc truyền thông, quảng cáo, khuyến mại hoặc tuyên bố marketing không đáp ứng quy định pháp luật, tiêu chuẩn ngành hoặc quy định nội bộ.</t>
  </si>
  <si>
    <t>- Sự cố</t>
  </si>
  <si>
    <t>CT 7.6</t>
  </si>
  <si>
    <t>Incidents resulting in administrative sanctions</t>
  </si>
  <si>
    <t>Các vụ việc xử phạt hành chính</t>
  </si>
  <si>
    <t>- Số sự cố không tuân thủ mà doanh nghiệp bị áp dụng hình phạt như phạt tiền, đình chỉ chiến dịch, thu hồi nội dung, hoặc các biện pháp xử phạt khác.</t>
  </si>
  <si>
    <t>CT 7.7</t>
  </si>
  <si>
    <t>Incidents resulting in warnings</t>
  </si>
  <si>
    <t>Các vụ việc bị cảnh cáo</t>
  </si>
  <si>
    <t>- Số sự cố không tuân thủ dẫn đến cảnh cáo, yêu cầu chỉnh sửa, gỡ bỏ nội dung hoặc cam kết không tái phạm.</t>
  </si>
  <si>
    <t>CT 7.8</t>
  </si>
  <si>
    <t>Number of incidents of non-compliance with voluntary code</t>
  </si>
  <si>
    <t>Số sự cố không tuân thủ các bộ quy tắc tự nguyện</t>
  </si>
  <si>
    <t>- Số sự cố vi phạm các bộ quy tắc tự nguyện, chuẩn mực ngành hoặc quy định đạo đức marketing mà doanh nghiệp đã cam kết áp dụng (ví dụ: bộ quy tắc quảng cáo có trách nhiệm).</t>
  </si>
  <si>
    <t>Mr Hùng, anh Đức</t>
  </si>
  <si>
    <t>CT 9.1</t>
  </si>
  <si>
    <t>Total Lotus Members</t>
  </si>
  <si>
    <t>Tổng số hội viên Bông Sen Vàng</t>
  </si>
  <si>
    <t>Anh Hùng, anh Đức</t>
  </si>
  <si>
    <t xml:space="preserve">Thống kê tổng số hội viên đang tham gia chương trình Bông Sen Vàng của Vietnam Airlines tại từng thời điểm báo cáo.
</t>
  </si>
  <si>
    <t>Hội viên</t>
  </si>
  <si>
    <t>Customer engagement</t>
  </si>
  <si>
    <t>Tương tác khách hàng</t>
  </si>
  <si>
    <t>CT 9.2</t>
  </si>
  <si>
    <t xml:space="preserve">Membership Growth Trend </t>
  </si>
  <si>
    <t>Xu hướng tăng trưởng hội viên</t>
  </si>
  <si>
    <t xml:space="preserve">Thể hiện xu hướng tăng trưởng tổng số hội viên Bông Sen Vàng theo từng năm.
</t>
  </si>
  <si>
    <t>Area chart</t>
  </si>
  <si>
    <t>CT 9.3</t>
  </si>
  <si>
    <t>Quarterly Membership Trend</t>
  </si>
  <si>
    <t>Xu hướng hội viên theo Quý trong năm</t>
  </si>
  <si>
    <t xml:space="preserve">Xu hướng biến động tổng số hội viên Bông Sen Vàng theo từng quý trong năm báo cáo.
</t>
  </si>
  <si>
    <t>CT 9.4</t>
  </si>
  <si>
    <t xml:space="preserve">Monthly Membership Trend </t>
  </si>
  <si>
    <t>Xu hướng hội viên theo Tháng trong năm</t>
  </si>
  <si>
    <t xml:space="preserve">Xu hướng biến động tổng số hội viên Bông Sen Vàng theo từng tháng trong năm báo cáo. 
</t>
  </si>
  <si>
    <t>Mr Thái</t>
  </si>
  <si>
    <t>Substantiated complaints concerning breaches of customer privacy</t>
  </si>
  <si>
    <t xml:space="preserve">CT 8.1 </t>
  </si>
  <si>
    <t>Total number of verified complaints related to personal data</t>
  </si>
  <si>
    <t>Tổng số khiếu nại</t>
  </si>
  <si>
    <t>anh Thái</t>
  </si>
  <si>
    <t>Tổng số khiếu nại mà sau quá trình điều tra, xác minh nội bộ hoặc bởi cơ quan có thẩm quyền, được kết luận là có liên quan đến vi phạm quyền riêng tư hoặc mất dữ liệu cá nhân trong kỳ báo cáo.</t>
  </si>
  <si>
    <t>Vụ vi phạm</t>
  </si>
  <si>
    <t>Theo thời gian: Tháng, Quý, Năm.</t>
  </si>
  <si>
    <t>Các khiếu nại đã được xác minh liên quan đến vi phạm quyền riêng tư của khách hàng và mất dữ liệu khách hàng</t>
  </si>
  <si>
    <t>CT 8.2</t>
  </si>
  <si>
    <t>Number of privacy breach incidents</t>
  </si>
  <si>
    <t>Số vụ vi phạm quyền riêng tư</t>
  </si>
  <si>
    <t>Số vụ việc đã được xác minh trong đó dữ liệu cá nhân của khách hàng bị truy cập, sử dụng, tiết lộ hoặc xử lý trái phép, không đúng mục đích hoặc không có sự đồng ý hợp lệ.</t>
  </si>
  <si>
    <t>CT 8.3</t>
  </si>
  <si>
    <t>Number of data loss incidents</t>
  </si>
  <si>
    <t>Số vụ mất dữ liệu</t>
  </si>
  <si>
    <t>Số vụ việc đã xác minh trong đó dữ liệu cá nhân bị mất mát, phá hủy, rò rỉ, hoặc không thể truy cập do lỗi hệ thống, tấn công mạng, thao tác sai hoặc các nguyên nhân khác.</t>
  </si>
  <si>
    <t>CT 8.4</t>
  </si>
  <si>
    <t>Number of privacy breach and data loss incidents by month</t>
  </si>
  <si>
    <t>Số vi phạm quyền riêng tư và mất dữ liệu theo tháng</t>
  </si>
  <si>
    <t xml:space="preserve">Biểu đồ hoặc chỉ số thể hiện số lượng và xu hướng các sự cố vi phạm quyền riêng tư và mất dữ liệu theo từng tháng. </t>
  </si>
  <si>
    <t>CT 8.5</t>
  </si>
  <si>
    <t>Distribution of privacy breach and data loss risks</t>
  </si>
  <si>
    <t>Cơ cấu rủi ro vi phạm quyền riêng tư và mất dữ liệu</t>
  </si>
  <si>
    <t>Tỷ trọng các sự cố được phân loại theo nhóm rủi ro chính: vi phạm quyền riêng tư, mất dữ liệu, hoặc kết hợp cả hai.</t>
  </si>
  <si>
    <t>MS Dung</t>
  </si>
  <si>
    <t>Proportion of spending on local suppliers</t>
  </si>
  <si>
    <t>CT 10.1</t>
  </si>
  <si>
    <t>Total suppliers</t>
  </si>
  <si>
    <t>Tổng số NCC</t>
  </si>
  <si>
    <t>Anh Đức, chị Dung</t>
  </si>
  <si>
    <t>- Nhà cung cấp</t>
  </si>
  <si>
    <t>- CMS</t>
  </si>
  <si>
    <t>CT 10.2</t>
  </si>
  <si>
    <t>Sustainable suppliers</t>
  </si>
  <si>
    <t>Tổng số NCC có cam kết về phát triển bền vững</t>
  </si>
  <si>
    <t>CT 10.3</t>
  </si>
  <si>
    <t>Local suppliers</t>
  </si>
  <si>
    <t>Số NCC Việt Nam</t>
  </si>
  <si>
    <t>CT 10.4</t>
  </si>
  <si>
    <t>Sustainable local suppliers</t>
  </si>
  <si>
    <t>Số NCC Việt Nam có cam kết về phát triển bền vững</t>
  </si>
  <si>
    <t>CT 10.5</t>
  </si>
  <si>
    <t>International suppliers</t>
  </si>
  <si>
    <t>Số NCC nước ngoài</t>
  </si>
  <si>
    <t>CT 10.6</t>
  </si>
  <si>
    <t>Sustainable international suppliers</t>
  </si>
  <si>
    <t>Số NCC nước ngoài có cam kết về phát triển bền vững</t>
  </si>
  <si>
    <t>CT 10.7</t>
  </si>
  <si>
    <t>Supplier statistics and sustainability commitments</t>
  </si>
  <si>
    <t>Thống kê các NCC và cam kết về PTBV</t>
  </si>
  <si>
    <t>- Nhà cung cấp
- %</t>
  </si>
  <si>
    <t>- CMS
- Nhập thủ công</t>
  </si>
  <si>
    <t>CT 10.8</t>
  </si>
  <si>
    <t>Number of suppliers for the last 3 years</t>
  </si>
  <si>
    <t>Số lượng NCC 3 năm gần nhất</t>
  </si>
  <si>
    <t>DANH SÁCH CHỈ TIÊU TRỤ CỘT GOVERNANCE</t>
  </si>
  <si>
    <t>Hiện trạng
(Yes/No)</t>
  </si>
  <si>
    <t>Yêu cầu của GRI
(theo hướng dẫn của GRI)</t>
  </si>
  <si>
    <t>Báo cáo của SQ (Vie)</t>
  </si>
  <si>
    <t>Chỉ tiêu 
bổ sung</t>
  </si>
  <si>
    <r>
      <t>Cơ cấu quản trị của Vietnam Airlines gồm ĐHĐCĐ, HĐQT, Ban Kiểm soát và TGĐ cùng bộ máy điều hành.</t>
    </r>
    <r>
      <rPr>
        <sz val="10"/>
        <color rgb="FFFF0000"/>
        <rFont val="Segoe UI"/>
        <family val="2"/>
      </rPr>
      <t xml:space="preserve"> </t>
    </r>
    <r>
      <rPr>
        <sz val="10"/>
        <color rgb="FF292929"/>
        <rFont val="Segoe UI"/>
        <family val="2"/>
        <charset val="1"/>
      </rPr>
      <t xml:space="preserve">
HĐQT thành lập 02 tiểu ban: Tiểu ban Chiến lược và đầu tư; Tiểu ban Lao động và Tiền lương
Thành phần Hội đồng quản trị: 07 thành viên, gồm 01 thành viên độc lập, thành viên người đại diện phần vốn nhà nước và đại diện ANA. 
Đối với PTBV, HĐQT giữ vai trò định hướng và giám sát cao nhất. BĐH Chương trình PTBV do TGĐ làm Trưởng ban là cơ quan chịu trách nhiệm ra quyết định và giám sát việc quản lý các tác động kinh tế, môi trường và con người; TTK là cơ quan thường trực điều phối chuyên môn; các Tổ công tác được thành lập theo từng lĩnh vực/chương trình để chủ trì triển khai.
</t>
    </r>
    <r>
      <rPr>
        <sz val="10"/>
        <color rgb="FFFF0000"/>
        <rFont val="Segoe UI"/>
        <family val="2"/>
      </rPr>
      <t>(vẽ sơ đồ tương tự báo cáo thường niên)</t>
    </r>
  </si>
  <si>
    <t>SIA công bố cơ cấu quản trị phát triển bền vững nhiều tầng: Hội đồng quản trị (Board) giám sát cao nhất, được hỗ trợ bởi các Ủy ban trực thuộc Board (gồm Ủy ban An toàn &amp; Rủi ro) và Ủy ban Điều hành (MC), phân cấp xuống Ủy ban Quản lý Rủi ro &amp; Tuân thủ Tập đoàn, Văn phòng PTBV và đại diện các khối/đơn vị kinh doanh. Thành phần và chức năng của từng tầng được nêu rõ, dẫn chiếu thêm Báo cáo Quản trị Công ty trong Báo cáo thường niên.</t>
  </si>
  <si>
    <t xml:space="preserve">1. Quy trình đề cử, lựa chọn thành viên HĐQT và các tiểu ban
2. Tiêu chí lựa chọn — bắt buộc nêu rõ có xét đến và xét như thế nào đối với:
   (i) ý kiến của các bên liên quan (bao gồm cổ đông);
   (ii) tính đa dạng;
   (iii) tính độc lập;
   (iv) năng lực liên quan đến tác động PTBV của TCT.
</t>
  </si>
  <si>
    <t>SIA không trình bày quy trình đề cử và lựa chọn thành viên cơ quan quản trị cao nhất trong Báo cáo PTBV; chỉ tiêu này được dẫn chiếu toàn bộ sang chương Báo cáo Quản trị Công ty trong Báo cáo thường niên FY2024/25 của SIA.</t>
  </si>
  <si>
    <t>Nêu rõ: Chủ tịch HĐQT có đồng thời là cán bộ điều hành cấp cao của TCT hay không.
Nếu Chủ tịch kiêm nhiệm điều hành: phải mô tả chức năng điều hành, lý do bố trí và cách ngăn ngừa/giảm thiểu xung đột lợi ích.</t>
  </si>
  <si>
    <t>Công bố rõ Chủ tịch HĐQT ông Peter Seah Lim Huat (non-independent), tách biệt vai trò CEO (Goh Choon Phong); có Lead Independent Director riêng (Ms Goh Swee Chen).</t>
  </si>
  <si>
    <t>1. Vai trò của HĐQT và của cán bộ điều hành cấp cao trong việc xây dựng, phê duyệt và cập nhật: tầm nhìn/sứ mệnh/giá trị cốt lõi; chiến lược PTBV; các chính sách và mục tiêu PTBV.
2. Vai trò của HĐQT trong giám sát quy trình thẩm định chi tiết và các quy trình khác nhằm nhận diện và quản lý tác động kinh tế – môi trường – con người, gồm:
   (i) HĐQT có và tương tác với các bên liên quan như thế nào để hỗ trợ các quy trình này;
   (ii) HĐQT xem xét, sử dụng kết quả đầu ra của các quy trình này ra sao.
3. Vai trò của HĐQT trong rà soát tính hiệu quả của các quy trình nêu trên và tần suất rà soát.</t>
  </si>
  <si>
    <t>Board cùng Ban lãnh đạo cấp cao giám sát việc quản lý các tác động kinh tế, môi trường và xã hội của Tập đoàn, lồng ghép yếu tố ESG vào tạo giá trị dài hạn. Các rủi ro chiến lược về PTBV và khí hậu được rà soát qua quy trình đánh giá rủi ro toàn Tập đoàn (ARMRE) và báo cáo lên Board cùng lãnh đạo cấp cao.</t>
  </si>
  <si>
    <t>Delegation of responsibility for managing impacts</t>
  </si>
  <si>
    <t xml:space="preserve">1. Cách HĐQT phân cấp trách nhiệm quản lý tác động, gồm:
   (i) HĐQT có bổ nhiệm cán bộ điều hành cấp cao chịu trách nhiệm về quản lý tác động hay không;
   (ii) trách nhiệm có được giao tiếp cho người lao động khác hay không.
2. Quy trình báo cáo ngược lên HĐQT về việc quản lý tác động.
</t>
  </si>
  <si>
    <t>Trách nhiệm quản lý các tác động được phân cấp từ Tổng Giám đốc và Ủy ban Điều hành xuống Văn phòng PTBV (do Giám đốc PTBV phụ trách) và đại diện các khối/đơn vị kinh doanh — đóng vai trò ban thư ký vận hành. Báo cáo nêu rõ tuyến báo cáo và luồng phân bổ trách nhiệm giữa các cấp.</t>
  </si>
  <si>
    <t>Role of the highest governance body in sustainability reporting</t>
  </si>
  <si>
    <t xml:space="preserve">Cần chỉ rõ: HĐQT có chịu trách nhiệm rà soát và phê duyệt thông tin công bố trong Báo cáo PTBV, bao gồm danh mục các chủ đề trọng yếu, hay không. Nếu có, hãy mô tả quy trình.
Nếu không, hãy đưa lý do. </t>
  </si>
  <si>
    <t>Board Statement khẳng định vai trò giám sát trực tiếp của Board đối với báo cáo PTBV, được phê duyệt trước công bố.</t>
  </si>
  <si>
    <t>x
(trong báo cáo của SQ, nhưng không thuộc Governance)</t>
  </si>
  <si>
    <t xml:space="preserve">Mô tả quy trình HĐQT ngăn ngừa và giảm thiểu xung đột lợi ích.
Báo cáo nếu xung đột lợi ích được tiết lộ đến các bên liên quan, ít nhất là bao gồm: 
i. Kiêm nhiệm chéo trong HĐQT 
ii. Sở hữu chéo với nhà cung cấp và các bên liên quan 
iii. Sự tồn tại của cổ đông chi phối
iv. Các bên liên quan: mối quan hệ, giao dịch và số dư còn lại. </t>
  </si>
  <si>
    <t>SIA yêu cầu báo cáo ngay các tình huống xung đột lợi ích thực tế hoặc tiềm ẩn; Chính sách Xung đột lợi ích buộc mọi nhân viên kê khai hằng năm với Khối Nhân sự. Chính sách Luân chuyển các vị trí nhạy cảm là biện pháp kiểm soát rủi ro gian lận bổ sung, đánh giá định kỳ 2 năm/lần với các vị trí đến cấp Phó Chủ tịch Khối.</t>
  </si>
  <si>
    <t>Communication of critical concerns</t>
  </si>
  <si>
    <t>1. Mô tả "mối quan ngại nghiêm trọng" và việc các mối quan ngại nghiêm trọng được báo cáo lên HĐQT như thế nào
2. Tổng số và tính chất của các mối quan ngại nghiêm trọng đã được báo cáo lên HĐQT trong kỳ báo cáo.</t>
  </si>
  <si>
    <t>Các mối quan ngại nghiêm trọng được truyền đạt qua Chính sách Tố giác (Whistleblowing) và Cơ chế Khiếu nại: kênh bảo mật, ẩn danh do bên thứ ba quản lý, báo cáo được chuyển đến Kiểm toán Nội bộ và Ủy ban Kiểm toán rà soát hằng quý. SIA lược bỏ nội dung số lượng và tính chất các quan ngại báo cáo lên Board — vì lý do bảo mật.</t>
  </si>
  <si>
    <t>Collective knowledge of the highest governance body</t>
  </si>
  <si>
    <t>Công bố thành viên HĐQT hoàn thành đào tạo về PTBV/khí hậu theo yêu cầu SGX-ST, dẫn chứng kinh nghiệm ESG cụ thể của từng thành viên (VD bà Goh Swee Chen từng là Giám đốc UN Global Compact Network Singapore).</t>
  </si>
  <si>
    <t>Evaluation of performance of the highest governance body</t>
  </si>
  <si>
    <t>1. Mô tả quy trình đánh giá hiệu quả hoạt động của HĐQT trong việc giám sát quản lý tác động kinh tế – môi trường – con người 
2. Đánh giá là độc lập hay tự đánh giá; tần suất đánh giá.
3. Các hành động đã thực hiện sau đánh giá, bao gồm thay đổi về thành phần HĐQT và thay đổi về thông lệ quản trị của tổ chức.</t>
  </si>
  <si>
    <t>Trong năm tài chính 2024/25, Ủy ban Đề cử đã thuê tư vấn độc lập bên ngoài đánh giá chính thức Board và các ủy ban trực thuộc, thông qua bảng câu hỏi (kèm phỏng vấn trực tiếp tùy chọn), bao gồm việc giám sát tác động của tổ chức tới kinh tế, môi trường và con người. Tư vấn kết luận Board hoạt động hiệu quả; Ủy ban Đề cử rà soát kết quả và các hành động tiếp theo phù hợp.</t>
  </si>
  <si>
    <t>1. Danh mục các cam kết chính sách về ứng xử kinh doanh có trách nhiệm, bao gồm: 
i. các văn kiện liên chính phủ có thẩm quyền mà các cam kết đề cập đến;
ii. cam kết có yêu cầu thực hiện thẩm định chi tiết hay không;
iii. cam kết có áp dụng nguyên tắc phòng ngừa hay không;
iv. cam kết có quy định về tôn trọng quyền con người hay không.
2. Cam kết riêng về tôn trọng quyền con người: 
i. các quyền con người được quốc tế công nhận mà cam kết này bao hàm;
ii. các nhóm bên liên quan được đặc biệt quan tâm, gồm nhóm có nguy cơ/dễ bị tổn thương.
3. Đường dẫn công bố công khai của từng chính sách, hoặc lý do không công khai.
4. Cấp phê duyệt của từng chính sách - nêu rõ có phải cấp cao nhất hay không.
5. Phạm vi áp dụng.
6. Cách truyền thông cam kết tới người lao động, đối tác kinh doanh và các bên liên quan khác.</t>
  </si>
  <si>
    <t>Các cam kết chính sách được neo vào Giá trị cốt lõi của SIA và bộ chính sách doanh nghiệp — gồm Chính sách Chống hối lộ/tham nhũng, Chính sách Tố giác, Bộ Quy tắc Ứng xử, Tuyên bố Chống nô lệ hiện đại, Bộ Quy tắc Nhà cung cấp và Khung Quản lý Rủi ro — áp dụng nguyên tắc phòng ngừa, bao trùm quyền con người và ứng xử kinh doanh có trách nhiệm trên toàn chuỗi giá trị.</t>
  </si>
  <si>
    <t>Embedding policy commitments</t>
  </si>
  <si>
    <t>Mô tả cách VNA lồng ghép từng cam kết chính sách vào toàn bộ hoạt động và quan hệ kinh doanh, bao gồm:
i. Cách phân bổ trách nhiệm thực thi cam kết theo các cấp trong tổ chức;
ii. Cách tích hợp cam kết vào chiến lược, chính sách vận hành, quy trình vận hành; 
iii. Cách thực thi cam kết thông qua quan hệ kinh doanh; 
iv. Đào tạo về thực thi cam kết: đối tượng, nội dung, hình thức, tần suất, tỷ lệ hoàn thành.</t>
  </si>
  <si>
    <t>Các cam kết chính sách được thể chế hóa vào vận hành: các đơn vị kinh doanh chịu trách nhiệm triển khai cam kết kinh doanh có trách nhiệm trong công việc hằng ngày, được rà soát qua đợt Tự đánh giá Kiểm soát (CSA) hằng năm; Bộ Quy tắc Nhà cung cấp mở rộng yêu cầu tới nhà cung cấp, cùng đào tạo tuân thủ bắt buộc để củng cố việc thực thi.</t>
  </si>
  <si>
    <t>Processes to remediate negative impacts</t>
  </si>
  <si>
    <t xml:space="preserve">1. Cam kết của VNA về việc thực hiện hoặc hợp tác khắc phục các tác động tiêu cực mà VNA gây ra hoặc góp phần gây ra;
2. Mô tả cách tiếp cận của tổ chức trong việc xác định và giải quyết các khiếu nại, bao gồm cả các cơ chế giải quyết khiếu nại mà tổ chức đã thiết lập hoặc tham gia;
3. Các quy trình khắc phục khác ngoài cơ chế khiếu nại; 
4. Mô tả cách thức các bên liên quan - với tư cách là người sử dụng cơ chế khiếu nại - tham gia vào quá trình thiết kế, rà soát, vận hành và cải tiến các cơ chế này;
5. Cách doanh nghiệp theo dõi tính hiệu quả của cơ chế khiếu nại và các quy trình khắc phục; ví dụ minh chứng về hiệu quả, kèm phản hồi của bên liên quan. </t>
  </si>
  <si>
    <t>Mô tả kênh khiếu nại nội bộ/ngoài, quy trình xử lý qua Internal Audit độc lập, Audit Committee theo dõi tiến độ khắc phục.</t>
  </si>
  <si>
    <t xml:space="preserve">1. Cơ chế để cá nhân xin tư vấn về việc thực thi các chính sách và thông lệ ứng xử kinh doanh có trách nhiệm. 
2. Cơ chế để cá nhân phản ánh quan ngại về hành vi kinh doanh của doanh nghiệp. </t>
  </si>
  <si>
    <t>Liệt kê đầy đủ kênh (Code of Conduct, Grievance Mechanisms, Whistleblowing Policy, kênh tiếp nhận nội bộ/ngoài), số liệu cụ thể theo dõi.</t>
  </si>
  <si>
    <t>Compliance with Laws and Regulations</t>
  </si>
  <si>
    <t>Đây là chỉ tiêu định lượng - bốn tiểu mục đều yêu cầu số liệu, không phải cam kết:
1. TỔNG SỐ trường hợp không tuân thủ đáng kể phát sinh trong kỳ, chia theo:
   (i) số trường hợp bị phạt tiền;
   (ii) số trường hợp bị áp dụng chế tài phi tiền tệ.
2. TỔNG SỐ và GIÁ TRỊ TIỀN các khoản phạt ĐÃ NỘP trong kỳ, chia theo:
   (i) khoản phạt cho vi phạm phát sinh trong kỳ báo cáo;
   (ii) khoản phạt cho vi phạm phát sinh ở các kỳ trước.
3. Mô tả từng trường hợp không tuân thủ đáng kể (địa bàn, lĩnh vực, bối cảnh).
4. Mô tả cách thức xác định các trường hợp không tuân thủ nghiêm trọng</t>
  </si>
  <si>
    <t>SIA và Scoot cam kết liêm chính, minh bạch, tuân thủ mọi luật xã hội và môi trường hiện hành tại từng quốc gia hoạt động. Trong năm tài chính 2024/25, không có khoản phạt đáng kể (trên 10.000 USD) hay chế tài phi tiền tệ nào do không tuân thủ luật về môi trường, sức khỏe và an toàn.</t>
  </si>
  <si>
    <t xml:space="preserve">1. Danh mục các nhóm bên liên quan mà doanh nghiệp đối thoại và phương pháp nhận diện các nhóm này. 
2. Mục đích đối thoại với từng nhóm
3. Cách doanh nghiệp đảm bảo đối thoại thực chất </t>
  </si>
  <si>
    <t>Có mục riêng "Stakeholder Engagement" với bảng chi tiết từng nhóm bên liên quan (nhà đầu tư, khách hàng, nhân viên, cơ quan quản lý...), kênh đối thoại, tần suất.</t>
  </si>
  <si>
    <t>LƯU Ý CẤU TRÚC: GRI 3-3 phải được báo cáo RIÊNG cho TỪNG chủ đề trọng yếu, không báo cáo gộp cho cả trụ cột. Trước 3-3 phải có GRI 3-1 (quy trình xác định chủ đề trọng yếu) và GRI 3-2 (danh mục chủ đề trọng yếu).
i. Xác định các chủ đề trọng yếu thuộc trụ cột Governance. 
ii. Với mỗi chủ đề, công bố đủ 6 nội dung:
(a) Mô tả các tác động thực tế và tiềm ẩn, tiêu cực và tích cực đối với kinh tế, môi trường và con người (kể cả quyền con người).
(b) VNA có liên quan tới các tác động tiêu cực đó thông qua hoạt động của chính mình hay thông qua quan hệ kinh doanh — và mô tả hoạt động/quan hệ kinh doanh đó.
(c) Các chính sách hoặc cam kết đối với chủ đề.
(d) Các hành động quản lý chủ đề, gồm: (i) ngăn ngừa/giảm thiểu tác động tiêu cực tiềm ẩn; (ii) xử lý tác động tiêu cực thực tế, gồm thực hiện hoặc hợp tác khắc phục; (iii) quản lý tác động tích cực.
(e) Theo dõi hiệu quả của các hành động, gồm: (i) quy trình theo dõi; (ii) mục tiêu, chỉ tiêu và chỉ số đánh giá tiến độ; (iii) mức độ hiệu quả đạt được, gồm tiến độ so với mục tiêu; (iv) bài học rút ra và cách đưa vào chính sách, quy trình vận hành.
(f) Việc đối thoại với các bên liên quan đã định hình các hành động tại (d) và việc đánh giá hiệu quả tại (e) như thế nào.</t>
  </si>
  <si>
    <t>Thực hiện Double Materiality Assessment (DMA) theo chuẩn GRI 2021/SGX/IFRS, xác định 10 material topics qua khảo sát nội bộ/ngoài, có ma trận trọng yếu (Materiality Matrix) trực quan, review hàng năm bởi MC và CETSC.</t>
  </si>
  <si>
    <t xml:space="preserve">1. TỔNG GIÁ TRỊ TIỀN TỆ hỗ trợ tài chính nhận được từ BẤT KỲ chính phủ nào trong kỳ, phân theo 08 loại:
   (i) miễn, giảm thuế và tín dụng thuế;
   (ii) trợ cấp;
   (iii) tài trợ đầu tư, tài trợ nghiên cứu và phát triển, các loại tài trợ khác;
   (iv) giải thưởng;
   (v) miễn/giảm tiền bản quyền, phí nhượng quyền;
   (vi) hỗ trợ tài chính từ các Cơ quan Tín dụng Xuất khẩu (ECA);
   (vii) ưu đãi tài chính;
   (viii) lợi ích tài chính khác đã nhận hoặc sẽ nhận từ bất kỳ chính phủ nào cho bất kỳ hoạt động nào 
2. Số liệu tại mục (1) phân tách theo quốc gia 
3. Chính phủ có hiện diện trong cơ cấu sở hữu hay không và mức độ hiện diện
4. Cơ sở xác định giá trị: áp dụng nhất quán các nguyên tắc kế toán được thừa nhận chung.
</t>
  </si>
  <si>
    <r>
      <t xml:space="preserve">Sự hiện diện của Nhà nước trong cơ cấu sở hữu: Nhà nước là cổ đông chi phối của Vietnam Airlines, nắm giữ khoảng 86,42% vốn điều lệ thông qua Bộ Tài chính và Tổng công ty Đầu tư và Kinh doanh vốn nhà nước (SCIC). Nhà nước thực hiện các quyền và nghĩa vụ của cổ đông theo quy định của pháp luật và Điều lệ TCT. 
</t>
    </r>
    <r>
      <rPr>
        <sz val="10"/>
        <color theme="1" tint="0.14999847407452621"/>
        <rFont val="Segoe UI"/>
        <family val="2"/>
      </rPr>
      <t xml:space="preserve">
Hỗ trợ tài chính nhận từ Chính phủ: Thực hiện Nghị quyết số 135/2020/QH14 ngày 17/11/2020 của Quốc hội về các giải pháp tháo gỡ khó khăn cho TCTHKVN do ảnh hưởng của đại dịch COVID-19, Vietnam Airlines đã triển khai gói giải pháp thanh khoản quy mô 12.000 tỷ đồng, gồm:
• Khoản vay tái cấp vốn 4.000 tỷ đồng thông qua các tổ chức tín dụng được Ngân hàng Nhà nước tái cấp vốn với lãi suất 0%/năm, không tài sản bảo đảm. Khoản vay đã được Quốc hội cho phép gia hạn trả nợ, tối đa đến ngày 31/12/2027.
• Phương án phát hành cổ phiếu tăng vốn điều lệ quy mô khoảng 8.000 tỷ đồng, trong đó SCIC thay mặt Chính phủ thực hiện quyền mua cổ phần của cổ đông Nhà nước.
Kiểm toán Nhà nước đã thực hiện kiểm toán việc sử dụng nguồn vốn của gói hỗ trợ và kết luận nguồn vốn được quản lý, sử dụng đúng mục đích đề ra.</t>
    </r>
  </si>
  <si>
    <t>SIA KHÔNG báo cáo chỉ tiêu GRI 201-4 (trợ cấp/hỗ trợ tài chính nhận từ chính phủ) trong Báo cáo PTBV FY2024/25 — chỉ tiêu này không có trong GRI Content Index. 
Phần hiệu quả kinh tế chỉ công bố GRI 201-1 (giá trị kinh tế trực tiếp tạo ra và phân phối); không có công bố riêng về hỗ trợ tài chính từ chính phủ.</t>
  </si>
  <si>
    <r>
      <t xml:space="preserve">Đây là chỉ tiêu định lượng, cụ thể: 
1. Số lượng và tỷ lệ </t>
    </r>
    <r>
      <rPr>
        <b/>
        <sz val="10"/>
        <rFont val="Segoe UI"/>
        <family val="2"/>
      </rPr>
      <t>thành viên cơ quan quản trị</t>
    </r>
    <r>
      <rPr>
        <sz val="10"/>
        <rFont val="Segoe UI"/>
        <family val="2"/>
      </rPr>
      <t xml:space="preserve"> đã được </t>
    </r>
    <r>
      <rPr>
        <b/>
        <sz val="10"/>
        <rFont val="Segoe UI"/>
        <family val="2"/>
      </rPr>
      <t>truyền thông</t>
    </r>
    <r>
      <rPr>
        <sz val="10"/>
        <rFont val="Segoe UI"/>
        <family val="2"/>
      </rPr>
      <t xml:space="preserve"> về chính sách và quy trình phòng, chống tham nhũng — phân theo khu vực.
2. Số lượng và tỷ lệ </t>
    </r>
    <r>
      <rPr>
        <b/>
        <sz val="10"/>
        <rFont val="Segoe UI"/>
        <family val="2"/>
      </rPr>
      <t>người lao động</t>
    </r>
    <r>
      <rPr>
        <sz val="10"/>
        <rFont val="Segoe UI"/>
        <family val="2"/>
      </rPr>
      <t xml:space="preserve"> đã được </t>
    </r>
    <r>
      <rPr>
        <b/>
        <sz val="10"/>
        <rFont val="Segoe UI"/>
        <family val="2"/>
      </rPr>
      <t>truyền thông</t>
    </r>
    <r>
      <rPr>
        <sz val="10"/>
        <rFont val="Segoe UI"/>
        <family val="2"/>
      </rPr>
      <t xml:space="preserve"> — phân theo nhóm lao động và theo khu vực
3. Số lượng và tỷ lệ </t>
    </r>
    <r>
      <rPr>
        <b/>
        <sz val="10"/>
        <rFont val="Segoe UI"/>
        <family val="2"/>
      </rPr>
      <t>đối tác kinh doanh</t>
    </r>
    <r>
      <rPr>
        <sz val="10"/>
        <rFont val="Segoe UI"/>
        <family val="2"/>
      </rPr>
      <t xml:space="preserve"> đã được </t>
    </r>
    <r>
      <rPr>
        <b/>
        <sz val="10"/>
        <rFont val="Segoe UI"/>
        <family val="2"/>
      </rPr>
      <t>truyền thông</t>
    </r>
    <r>
      <rPr>
        <sz val="10"/>
        <rFont val="Segoe UI"/>
        <family val="2"/>
      </rPr>
      <t xml:space="preserve"> — phân theo nhóm lao động và theo khu vực; đồng thời mô tả nếu có truyền thông tới tổ chức/cá nhân khác.
4. Số lượng và tỷ lệ thành viên </t>
    </r>
    <r>
      <rPr>
        <b/>
        <sz val="10"/>
        <rFont val="Segoe UI"/>
        <family val="2"/>
      </rPr>
      <t>HĐQT</t>
    </r>
    <r>
      <rPr>
        <sz val="10"/>
        <rFont val="Segoe UI"/>
        <family val="2"/>
      </rPr>
      <t xml:space="preserve"> đã được </t>
    </r>
    <r>
      <rPr>
        <b/>
        <sz val="10"/>
        <rFont val="Segoe UI"/>
        <family val="2"/>
      </rPr>
      <t>đào tạo</t>
    </r>
    <r>
      <rPr>
        <sz val="10"/>
        <rFont val="Segoe UI"/>
        <family val="2"/>
      </rPr>
      <t xml:space="preserve"> về phòng, chống tham nhũng — phân theo khu vực.
5. Số lượng và tỷ lệ </t>
    </r>
    <r>
      <rPr>
        <b/>
        <sz val="10"/>
        <rFont val="Segoe UI"/>
        <family val="2"/>
      </rPr>
      <t>người lao động</t>
    </r>
    <r>
      <rPr>
        <sz val="10"/>
        <rFont val="Segoe UI"/>
        <family val="2"/>
      </rPr>
      <t xml:space="preserve"> đã được </t>
    </r>
    <r>
      <rPr>
        <b/>
        <sz val="10"/>
        <rFont val="Segoe UI"/>
        <family val="2"/>
      </rPr>
      <t>đào tạo</t>
    </r>
    <r>
      <rPr>
        <sz val="10"/>
        <rFont val="Segoe UI"/>
        <family val="2"/>
      </rPr>
      <t xml:space="preserve">  — phân theo nhóm lao động và khu vực.</t>
    </r>
  </si>
  <si>
    <t>Số liệu cụ thể 98.3% nhân viên hoàn thành đào tạo chống tham nhũng, 100% thành viên Ban điều hành hoàn thành đào tạo, đào tạo bắt buộc hàng năm qua nền tảng e-learning.</t>
  </si>
  <si>
    <t xml:space="preserve">1. TỔNG SỐ và TÍNH CHẤT các sự cố tham nhũng ĐÃ ĐƯỢC XÁC NHẬN trong kỳ báo cáo.
2. (b) Tổng số sự cố đã xác nhận dẫn tới việc NGƯỜI LAO ĐỘNG bị sa thải hoặc bị kỷ luật vì hành vi tham nhũng.
3. (c) Tổng số sự cố đã xác nhận dẫn tới việc CHẤM DỨT hoặc KHÔNG GIA HẠN hợp đồng với đối tác kinh doanh do vi phạm liên quan đến tham nhũng.
4. (d) Các VỤ VIỆC PHÁP LÝ CÔNG KHAI về tham nhũng được khởi kiện đối với Tổng công ty hoặc người lao động của Tổng công ty trong kỳ, và KẾT QUẢ xử lý các vụ việc đó.
</t>
  </si>
  <si>
    <t>Trong năm tài chính 2024/25, không có sự cố tham nhũng nào được xác nhận liên quan đến nhân viên SIA, Scoot hay đối tác kinh doanh. Trên toàn Tập đoàn, 33 đơn vị kinh doanh được đánh giá rủi ro hối lộ/tham nhũng qua Bảng câu hỏi CSA, không phát hiện rủi ro đáng kể.</t>
  </si>
  <si>
    <t>1. (a) SỐ VỤ KIỆN đang xử lý hoặc đã hoàn tất trong kỳ báo cáo liên quan đến hành vi hạn chế cạnh tranh và vi phạm pháp luật về chống độc quyền, trong đó doanh nghiệp được xác định là MỘT BÊN THAM GIA.
2. (b) KẾT QUẢ CHÍNH của các vụ kiện đã hoàn tất, bao gồm các quyết định hoặc phán quyết.</t>
  </si>
  <si>
    <t>SIA KHÔNG báo cáo chỉ tiêu GRI 206-1 (vụ kiện về hành vi phản cạnh tranh, chống độc quyền) trong Báo cáo PTBV FY2024/25 — không có trong GRI Content Index.
Chủ yếu đề cập chung thông qua phần Compliance with Laws and Regulations tổng quát, không có sự cố pháp lý phát sinh.</t>
  </si>
  <si>
    <t>1. (a) TỔNG GIÁ TRỊ TIỀN TỆ các khoản đóng góp chính trị bằng TIỀN và bằng HIỆN VẬT, được thực hiện TRỰC TIẾP và GIÁN TIẾP bởi doanh nghiệp — phân theo QUỐC GIA và theo BÊN NHẬN/THỤ HƯỞNG.
2. (b) Nếu có đóng góp bằng hiện vật: phương pháp ước tính giá trị.</t>
  </si>
  <si>
    <t>Là hãng hàng không quốc gia của Singapore, SIA phối hợp với chính phủ, cơ quan quản lý và vận động gián tiếp qua các hiệp hội ngành (AAPA, IATA, Star Alliance). SIA không đóng góp cho chiến dịch, tổ chức chính trị hay vận động hành lang; năm 2024/25 SIA và Scoot không có khoản đóng góp chính trị nào, song đã chi 805.238 USD phí thành viên cho các hiệp hội thương mại như IATA và AAPA.</t>
  </si>
  <si>
    <t>Tổ/CQĐV phụ trách</t>
  </si>
  <si>
    <t xml:space="preserve">Mã chỉ tiêu </t>
  </si>
  <si>
    <t>Chỉ tiêu con/Dashboard</t>
  </si>
  <si>
    <t>Logic tính chỉ tiêu / Công thức tính</t>
  </si>
  <si>
    <t>Chiều tổng hợp dữ liệu (filter)</t>
  </si>
  <si>
    <t>Nguồn dữ liệu</t>
  </si>
  <si>
    <t xml:space="preserve">Tần suất cập nhật dữ liệu  </t>
  </si>
  <si>
    <t>&lt; số KH</t>
  </si>
  <si>
    <t>Lít</t>
  </si>
  <si>
    <t>- Theo thời gian: Tháng/Năm</t>
  </si>
  <si>
    <t>DWH/FIMS</t>
  </si>
  <si>
    <t>Hàng ngày</t>
  </si>
  <si>
    <t>Nhiên liệu tiêu thụ Jet A-1 = Tổng nhiên liệu tiêu thụ - Lượng SAF nguyên chất</t>
  </si>
  <si>
    <t>Nhiên liệu tiêu thụ SAF = Tổng lượng SAF nguyên chất được xác định trong chứng nhận từ nhà cung cấp tại các sân bay</t>
  </si>
  <si>
    <t>Tỷ lệ pha trộn SAF (% Neat SAF) = Lượng SAF nguyên chất (Neat SAF) / Lượng SAF pha trộn (Blended SAF)</t>
  </si>
  <si>
    <t>Tiêu thụ nhiên liệu theo năm so với kế hoạch (Lít)</t>
  </si>
  <si>
    <t>DWH/FIMS+ PMS</t>
  </si>
  <si>
    <t>DWH/FIMS + ANCM</t>
  </si>
  <si>
    <t xml:space="preserve">Tổng năng lượng tiết kiệm (L) = Tổng tiết kiệm nhiên liệu (kg) / 0.8.
</t>
  </si>
  <si>
    <t>Excel/ Nhập thủ công</t>
  </si>
  <si>
    <t>Kg</t>
  </si>
  <si>
    <t>tCO2</t>
  </si>
  <si>
    <t>Tổng giảm phát thải khí nhà kính (tấn) = Tổng phát thải giảm nhờ các biện pháp tiết kiệm nhiên liệu nhiên liệu + Tổng giảm phát thải nhờ sử dụng SAF + Tổng phát thải đền bù</t>
  </si>
  <si>
    <t>Tổng phát thải khí nhà kính = Phát thải Jet A-1 + Phát thải SAF</t>
  </si>
  <si>
    <t>- Theo thời gian: Tháng/ Năm</t>
  </si>
  <si>
    <t>Phát thải Jet A-1 = Nhiên liệu tiêu thụ Jet A-1 * 0.8 / 1000 * Hệ số phát thải CO2</t>
  </si>
  <si>
    <t>Phát thải SAF =  Hàm lượng năng lượng (MJ) * Cường độ phát thải CO2 tương đương của vòng đời (gCO2e/MJ) / 1000000</t>
  </si>
  <si>
    <t xml:space="preserve">DWH/FIMS + PMS </t>
  </si>
  <si>
    <t>tCO2/ RTK</t>
  </si>
  <si>
    <t>Tổng cường độ phát thải = Tổng phát thải khí nhà kính / (Tổng RTK / 100)</t>
  </si>
  <si>
    <t>DWH/FIMS+RPS</t>
  </si>
  <si>
    <t>Tổng phát thải khí nhà kính được lấy ở báo cáo GRI 305-1: Phát thải khí nhà kính trực tiếp (Phạm vi 1)</t>
  </si>
  <si>
    <t>RPS</t>
  </si>
  <si>
    <t>DWH/FIMS + EU_ETS + RPS</t>
  </si>
  <si>
    <t>DWH/FIMS+ RPS</t>
  </si>
  <si>
    <t>Tổng giảm phát thải khí nhà kính (tấn) = Tổng phát thải giảm nhờ các biện pháp tiết kiệm nhiên liệu + Tổng giảm phát thải nhờ sử dụng SAF + Tổng phát thải đền bù</t>
  </si>
  <si>
    <t>Tổng phát thải giảm nhờ các biện pháp tiết kiệm nhiên liệu = Tổng nhiên liệu tiết kiệm (Lít) * 0.8 / 1000 * 3.16</t>
  </si>
  <si>
    <t>Tổng phát thải giảm nhờ sử dụng SAF (Tấn) = Hàm lượng năng lượng (MJ) * (Cường độ phát thải cơ sở của nhiên liệu hóa thạch (gCO2e/MJ) - Cường độ phát thải CO2 tương đương của vòng đời (gCO2e/MJ)) / 1000000</t>
  </si>
  <si>
    <t>Tổng phát thải đền bù = Lượng CO₂ cần đền bù (EU ETS) + Lượng CO₂ cần đền bù (UK ETS) + Lượng CO₂ cần đền bù (CORSIA).</t>
  </si>
  <si>
    <t>Chưa có cách tính</t>
  </si>
  <si>
    <t>Chuyển Phase 2 khi có công thức tính</t>
  </si>
  <si>
    <t>Phát thải khí CO2 được lấy ở báo cáo GRI 305-1: Phát thải khí nhà kính trực tiếp (Phạm vi 1)</t>
  </si>
  <si>
    <t>chuyến</t>
  </si>
  <si>
    <t>Chỉ tính các chuyến bay có sân bay khởi hành (DEP) từ các quốc gia theo quy định Liên minh Châu Âu.</t>
  </si>
  <si>
    <t>- Theo thời gian: Tháng/ Năm
- Theo quốc gia: EU
- Theo sân bay
- Theo loại SAF
- Theo phạm vi RefuelEU Aviation</t>
  </si>
  <si>
    <t>hours</t>
  </si>
  <si>
    <t>Tổng số giờ bay thực tế (hours) = Block on - Block off</t>
  </si>
  <si>
    <t xml:space="preserve">Chỉ tính các chuyến bay có sân bay khởi hành (DEP) thuộc lãnh thổ Pháp. </t>
  </si>
  <si>
    <t>1. Trường hợp đã có thư xác nhận:
- Lượng SAF cho từng chuyến bay = (Lượng Neat SAF thực tế / Tổng nhiên liệu SAF pha trộn) * Lượng nhiên liệu nạp từng chuyến bay.
- Lượng SAF nạp theo tháng = Σ Lượng SAF cho từng chuyến bay.
2. Trường hợp chưa có thư xác nhận sẽ lấy theo số kế hoạch:
- Lượng SAF cho từng chuyến bay = % SAF theo kế hoạch * Lượng nhiên liệu nạp từng chuyến bay.
- Lượng SAF nạp heo tháng = Σ Lượng SAF cho từng chuyến bay.</t>
  </si>
  <si>
    <t>Tỷ lệ Neat SAF (%) = (Khối lượng SAF nguyên chất / Tổng khối lượng SAF pha trộn) * 100</t>
  </si>
  <si>
    <t>- Aviation Fuel Required = Trip fuel + Taxi fuel
- Yearly non-tanked quantity = 0
- Yearly tanked quantity for fuel safety rules = 0</t>
  </si>
  <si>
    <t>Báo cáo CO2 phát thải vượt mức</t>
  </si>
  <si>
    <t xml:space="preserve">Chỉ tính các chuyến bay có điểm đi (DEP), điểm đến (ARR), hoặc cả DEP và ARR thuộc các sân bay tại EU.
</t>
  </si>
  <si>
    <t>- Theo thời gian: Tháng/ Năm
- Theo cơ chế: EU-ETS, UK-ETS, CORSIA
- Theo phạm vi: Reduced scope, full scope
- Theo chặng bay</t>
  </si>
  <si>
    <t xml:space="preserve">Chỉ tính các chuyến bay có điểm đi (DEP) và điểm đến (ARR) dều thuộc các sân bay tại EU.
</t>
  </si>
  <si>
    <t>DWH/FIMS + Excel/ Nhập thủ công</t>
  </si>
  <si>
    <t>Tổng chi phí bù trừ UKA = Tổng số lượng tín chỉ UKA cần mua mỗi loại * Đơn giá mỗi loại.</t>
  </si>
  <si>
    <t>Tổng số chuyến bay quốc tế được thực hiện trong kỳ báo cáo thuộc phạm vi áp dụng của chương trình CORSIA theo quy định của ICAO</t>
  </si>
  <si>
    <t>- Lượng phát thải CO2 thực tế = Lượng phát thải CO2 do Jet A-1 + Lượng phát thải CO2 do SAF nguyên chất.
- Lượng nhiên liệu tiêu thụ = Lượng nhiên liệu nạp theo hóa đơn</t>
  </si>
  <si>
    <t>Ngày</t>
  </si>
  <si>
    <t>Hàng năm</t>
  </si>
  <si>
    <t>Người</t>
  </si>
  <si>
    <t>Tổng số lượng nhân sự đã gia nhập và chính thức ký hợp đồng lao động với Vietnam Airlines trong kỳ báo cáo.</t>
  </si>
  <si>
    <t>DWH/SkyHr</t>
  </si>
  <si>
    <t>Trường hợp</t>
  </si>
  <si>
    <t>- Thời gian: Năm, Quý, Tháng</t>
  </si>
  <si>
    <t>Là tổng số lượng cá nhân đang chính thức tromg cơ quan Hội đồng Quản trị (HĐQT), Ban Giám đốc (BGĐ) và Ban Kiểm soát (BKS).</t>
  </si>
  <si>
    <t>- Thời gian: Năm</t>
  </si>
  <si>
    <t>Là tổng số người lao động chính thức đang làm việc tại tổ chức trong kỳ báo cáo</t>
  </si>
  <si>
    <t>- Theo thời gian: Ngày</t>
  </si>
  <si>
    <t>Tỷ lệ nhân sự nữ = Tổng số nhân sự nữ / Bình quân lao động</t>
  </si>
  <si>
    <t>Tỷ lệ cán bộ quản lý nữ = Tổng số cán bộ quản lý là nữ / Lao động bình quân</t>
  </si>
  <si>
    <t>(Lao động tháng 1 +....+ Lao động tháng 12) / 12</t>
  </si>
  <si>
    <t>Lượt đào tạo</t>
  </si>
  <si>
    <t>- Theo năm</t>
  </si>
  <si>
    <t xml:space="preserve">Tỷ lệ quản lý người Việt Nam tại Việt Nam
</t>
  </si>
  <si>
    <t xml:space="preserve">Tỷ lệ quản lý người nước ngoài tại nước ngoài
</t>
  </si>
  <si>
    <t>megalitres (ML)</t>
  </si>
  <si>
    <t>Tổng lượng nước cấp lên = Tổng lượng nước cấp lên ở tàu bay thân hẹp + Tổng lượng nước cấp lên ở tàu bay thân rộng</t>
  </si>
  <si>
    <t>- Theo thời gian: Tháng/ Năm
- Theo loại tàu bay 
- Theo mạng bay</t>
  </si>
  <si>
    <t>TOSS/ACARS + DWH/FIMS</t>
  </si>
  <si>
    <t>((Số chuyến bay thuộc nhóm nội địa đi 2 đầu từ các sân bay địa phương) * 50 + (Số chuyến bay thuộc nhóm có điểm đi hoặc điểm đến từ HAN/DAD/SGN * 75) + (Số chuyến bay quốc tế) * 200) / 1000000</t>
  </si>
  <si>
    <r>
      <t xml:space="preserve">Tổng lượng cấp lên theo tàu bay thân rộng = Tổng số nước tiêu thụ được ghi nhận từ điện ACARS
</t>
    </r>
    <r>
      <rPr>
        <b/>
        <sz val="12"/>
        <color theme="1"/>
        <rFont val="Times New Roman"/>
        <family val="1"/>
      </rPr>
      <t>Đối với các chuyến không được ghi nhận lượng nước:</t>
    </r>
    <r>
      <rPr>
        <sz val="12"/>
        <color theme="1"/>
        <rFont val="Times New Roman"/>
        <family val="1"/>
      </rPr>
      <t xml:space="preserve">
Số nước tiêu thụ được tính = Định mức cho đường bay tương ứng * (Số khách người lớn thực tế trên chuyến bay / Số khách tối đa dựa theo sức chứa của các loại tàu bay).</t>
    </r>
  </si>
  <si>
    <t>TOSS/ACARS</t>
  </si>
  <si>
    <t>Lượng nước cấp lên theo mạng bay</t>
  </si>
  <si>
    <t>Excel/ Nhập thủ công + TOSS/ACARS + DWH/FIMS</t>
  </si>
  <si>
    <t>Tổng lượng nước tiêu thụ = Tổng lượng nước cấp lên</t>
  </si>
  <si>
    <t>Điểm</t>
  </si>
  <si>
    <t>NPS = % Promoters − % Detractors.</t>
  </si>
  <si>
    <t>- Theo thời gian: Tháng/ Năm
- Theo hạng thẻ</t>
  </si>
  <si>
    <t>DWH/Report Pro</t>
  </si>
  <si>
    <t>NPS theo hạng hội viên</t>
  </si>
  <si>
    <t>Tổ thư ký</t>
  </si>
  <si>
    <t>Tổng số NCC quốc tế</t>
  </si>
  <si>
    <t>Tổng số NCC địa phương</t>
  </si>
  <si>
    <t>Tỷ lệ NCC địa phương</t>
  </si>
  <si>
    <t>Tổng số NCC qua các năm</t>
  </si>
  <si>
    <t>Khi phát sinh</t>
  </si>
  <si>
    <t xml:space="preserve">Thời gian xử lý trung bình (ngày) = Thời gian xử lý 1 vụ việc (ngày) / Tổng số vụ việc phân biệt đối xử.
</t>
  </si>
  <si>
    <t>Hàn Quỳnh Trang , Chu Mr Trà , chị Yến</t>
  </si>
  <si>
    <t>=100%</t>
  </si>
  <si>
    <t>- Danh mục sản phẩm</t>
  </si>
  <si>
    <t>Tổng số danh mục trọng yếu có ảnh hướng đến sức khỏe và an toàn của hành khách</t>
  </si>
  <si>
    <t>Tiêu chuẩn đánh giá sản phẩm</t>
  </si>
  <si>
    <t>Hàn Quỳnh Trang , Chu Mr Trà</t>
  </si>
  <si>
    <t xml:space="preserve">- Thời gian: Năm, Quý, Tháng, Ngày (thời điểm) 
- Kiểu/ Loại tàu bay.
</t>
  </si>
  <si>
    <t>Tổng nhiên liệu tiêu thụ= Nhiên liệu Jet A1 + Nhiên liệu SAF</t>
  </si>
  <si>
    <t>- Thời gian: Tháng/ Năm
- Theo loại tàu bay 
- Theo chặng bay
- Theo khu vực</t>
  </si>
  <si>
    <t>ANCM + DWH/FIMS</t>
  </si>
  <si>
    <t>Tổng nhiên liệu tiêu thụ quy đổi (TOE) = Tổng nhiên liệu tiêu thụ (Tấn) * Hệ số quy đổi Tấn sang TOE</t>
  </si>
  <si>
    <t>Tổng khí nhà kính phát thải = Phát thải khí CO2 + Phát thải khí CH4 + Phát thải khí N2O</t>
  </si>
  <si>
    <t>Phát thải khí CO2 = Khối lượng Jet A-1 tiêu thụ (tấn) * Hệ số phát thải CO2</t>
  </si>
  <si>
    <t>Phát thải khí CH4 = Nhiên liệu tiêu thụ Jet A-1 (tấn) / 1000000 * NCV * Hệ số phát thải CH4 * GWP*CH4 + Nhiên liệu tiêu thụ SAF (tấn) / 1000000 * NCV * Hệ số phát thải CH4 * GWP*CH4</t>
  </si>
  <si>
    <t>Phát thải khí N2O = Nhiên liệu Jet A-1 (tấn) / 1000000 * NCV * Hệ số phát thải N2O * GWP*N2O + Nhiên liệu tiêu thụ SAF (tấn) / 1000000 * NCV * Hệ số phát thải N2O * GWP*N2O</t>
  </si>
  <si>
    <t>DWH/FIMS + DWH RPS</t>
  </si>
  <si>
    <t>VHAT</t>
  </si>
  <si>
    <t>Ban Truyền thông</t>
  </si>
  <si>
    <t>Tổng số giờ tình nguyện = Tổng thời gian tham gia tình nguyện của tất cả nhân sự, theo toàn bộ chương trình tình nguyện trong năm.</t>
  </si>
  <si>
    <t>Số giờ tình nguyện trung bình mỗi nhân viên = Tổng số giờ tình nguyện / Tổng số nhân viên</t>
  </si>
  <si>
    <t>Số lượng</t>
  </si>
  <si>
    <t>- Thời gian: Tháng/Quý/Năm</t>
  </si>
  <si>
    <t>DWH/CLM</t>
  </si>
  <si>
    <t>Hàng tháng</t>
  </si>
  <si>
    <t>Ban CĐSCN</t>
  </si>
  <si>
    <t xml:space="preserve">Số vụ vi phạm quyền riêng tư </t>
  </si>
  <si>
    <t xml:space="preserve">Số vụ mất dữ liệu </t>
  </si>
  <si>
    <t xml:space="preserve">Cơ cấu rủi ro vi phạm quyền riêng tư và mất dữ liệu
</t>
  </si>
  <si>
    <t>8.10</t>
  </si>
  <si>
    <t>8.11</t>
  </si>
  <si>
    <t>Phát thải CO₂ so với Baseline qua các năm (tấn)</t>
  </si>
  <si>
    <t>8.12</t>
  </si>
  <si>
    <t>- Lượng CO2 cần đền bù = Lượng phát thải CO2 thực tế – Lượng CO2 được giảm trừ (nhờ sử dụng nhiên liệu SAF) – Hạn ngạch miễn phí (Allowance).
- Lượng nhiên liệu tiêu thụ đối với từng chặng bay = Lượng nhiên liệu tồn trước chuyến bay (R0) + Lượng nạp vào chuyến đó (U1) - Lượng nhiên liệu còn lại sau chuyến bay (R1)</t>
  </si>
  <si>
    <t>8.13</t>
  </si>
  <si>
    <t>8.14</t>
  </si>
  <si>
    <t>8.15</t>
  </si>
  <si>
    <t>EU_ETS + Excel/ Nhập thủ công</t>
  </si>
  <si>
    <t>8.16</t>
  </si>
  <si>
    <t xml:space="preserve">Tổng chi phí bù trừ EUA = Tổng số lượng tín chỉ EUA cần mua mỗi loại * Đơn giá mỗi loại.
</t>
  </si>
  <si>
    <t>8.17</t>
  </si>
  <si>
    <t xml:space="preserve">EU_ETS </t>
  </si>
  <si>
    <t>8.18</t>
  </si>
  <si>
    <t>Phát thải CO₂ theo phạm vi Full scope/Reduced scope</t>
  </si>
  <si>
    <t>8.19</t>
  </si>
  <si>
    <t xml:space="preserve">Đếm các chuyến bay có DEP hoặc ARR thuộc các sân bay tại Anh.
</t>
  </si>
  <si>
    <t>8.20</t>
  </si>
  <si>
    <t xml:space="preserve">Chỉ các chuyến bay nội địa UK hoặc phạm vi UK - EU (Reduced scope) 
</t>
  </si>
  <si>
    <t>8.21</t>
  </si>
  <si>
    <t>- Lượng CO2 cần đền bù = Lượng phát thải CO2 thực tế – Lượng CO2 được giảm trừ (nhờ sử dụng nhiên liệu SAF) – Hạn ngạch miễn phí (UK Allowance).
- Lượng nhiên liệu tiêu thụ đối với từng chặng bay = Lượng nhiên liệu tồn trước chuyến bay (R0) + Lượng nạp vào chuyến đó (U1) - Lượng nhiên liệu còn lại sau chuyến bay (R1)</t>
  </si>
  <si>
    <t>Tổ/Ban</t>
  </si>
  <si>
    <t>Mã chỉ tiêu</t>
  </si>
  <si>
    <t>Tên chỉ tiêu cha (VN)</t>
  </si>
  <si>
    <t>Chỉ tiêu con (VN)</t>
  </si>
  <si>
    <t>Mã chỉ tiêu con</t>
  </si>
  <si>
    <t>Kế hoạch/Mục tiêu</t>
  </si>
  <si>
    <t>Nguồn nhập kế hoạch/mục tiêu</t>
  </si>
  <si>
    <t>Không</t>
  </si>
  <si>
    <t>Có</t>
  </si>
  <si>
    <t>PMS
RPS</t>
  </si>
  <si>
    <t>NOX, SOX và các khí thải nhà kính khác</t>
  </si>
  <si>
    <t>EU ETS</t>
  </si>
  <si>
    <t>Ban TCKT</t>
  </si>
  <si>
    <t>Số lượng NCC địa phương / tổng số NCC</t>
  </si>
  <si>
    <t>note</t>
  </si>
  <si>
    <t xml:space="preserve">Ban TCNL </t>
  </si>
  <si>
    <t xml:space="preserve">Tổ Dịch vụ </t>
  </si>
  <si>
    <t xml:space="preserve">có 3 nhưng thực tế là 2 do gộp 2 chỉ tiêu thành 1 </t>
  </si>
  <si>
    <t>sau khảo sát thực tế còn 54 chỉ tiêu</t>
  </si>
  <si>
    <t>Chỉ tiêu</t>
  </si>
  <si>
    <t>Hệ thống nguồn</t>
  </si>
  <si>
    <t>Bảng / Endpoint / File</t>
  </si>
  <si>
    <t>Thông tin cần lấy (EN)</t>
  </si>
  <si>
    <t>Thông tin cần lấy (VI)</t>
  </si>
  <si>
    <t>Kiểu dữ liệu</t>
  </si>
  <si>
    <t>Schema / DB</t>
  </si>
  <si>
    <t>Tên trường / cột</t>
  </si>
  <si>
    <t>Tần suất</t>
  </si>
  <si>
    <t>Người liên hệ</t>
  </si>
  <si>
    <t>Mức độ hài lòng của khách hàng (NPS)</t>
  </si>
  <si>
    <t> </t>
  </si>
  <si>
    <t>NPS Target (DOM)</t>
  </si>
  <si>
    <t>Mục tiêu NPS DOM</t>
  </si>
  <si>
    <t>DECIMAL</t>
  </si>
  <si>
    <t>Cuối năm</t>
  </si>
  <si>
    <t>GMS</t>
  </si>
  <si>
    <t>NPS Target (INT)</t>
  </si>
  <si>
    <t>Mục tiêu NPS INT</t>
  </si>
  <si>
    <t>NPS trung bình</t>
  </si>
  <si>
    <t>NPS (INT)</t>
  </si>
  <si>
    <t>INTEGER</t>
  </si>
  <si>
    <t>Customer Segment</t>
  </si>
  <si>
    <t>Phân loại nhóm khách hàng</t>
  </si>
  <si>
    <t>VARCHAR</t>
  </si>
  <si>
    <t>Membership Tier</t>
  </si>
  <si>
    <t>Hạng hội viên</t>
  </si>
  <si>
    <t>v_cust_enrolment_accumulated</t>
  </si>
  <si>
    <t>Total Lotus Miles Members</t>
  </si>
  <si>
    <t>cumulative_total</t>
  </si>
  <si>
    <t>Snapshot Date</t>
  </si>
  <si>
    <t>Ngày cập nhật</t>
  </si>
  <si>
    <t>DATE</t>
  </si>
  <si>
    <t>snapshot_date</t>
  </si>
  <si>
    <t>AIRPORT</t>
  </si>
  <si>
    <t>ICAO Code</t>
  </si>
  <si>
    <t>Mã ICAO</t>
  </si>
  <si>
    <t>ICAO_CODE</t>
  </si>
  <si>
    <t> DWH: Mr Quang</t>
  </si>
  <si>
    <t>Block Hours</t>
  </si>
  <si>
    <t>Giờ bay</t>
  </si>
  <si>
    <t>Yearly actual aviation fuel uplifted (tonnes)</t>
  </si>
  <si>
    <t>Tổng lượng nhiên liệu thực tế đã nạp tại sân bay trong năm</t>
  </si>
  <si>
    <t>dec_route</t>
  </si>
  <si>
    <t>Route</t>
  </si>
  <si>
    <t>Chặng bay</t>
  </si>
  <si>
    <t>STG_KHNH</t>
  </si>
  <si>
    <t>route</t>
  </si>
  <si>
    <t>Country Code</t>
  </si>
  <si>
    <t>Tên quốc gia</t>
  </si>
  <si>
    <t>STG_FIMS</t>
  </si>
  <si>
    <t>country_code</t>
  </si>
  <si>
    <t>Supplier Name</t>
  </si>
  <si>
    <t>Tên nhà cung cấp</t>
  </si>
  <si>
    <t>Bravo: Mr Mạnh</t>
  </si>
  <si>
    <t>Contract Start Date</t>
  </si>
  <si>
    <t>Ngày bắt đầu giao dịch</t>
  </si>
  <si>
    <t>Contract End Date</t>
  </si>
  <si>
    <t>Ngày kết thúc giao dịch</t>
  </si>
  <si>
    <t>SkyHR</t>
  </si>
  <si>
    <t>Nationality</t>
  </si>
  <si>
    <t>Quốc tịch</t>
  </si>
  <si>
    <t>quoc_tich</t>
  </si>
  <si>
    <t>Employment Type</t>
  </si>
  <si>
    <t>Loại lao động</t>
  </si>
  <si>
    <t>Department</t>
  </si>
  <si>
    <t>Phòng/Ban</t>
  </si>
  <si>
    <t>phong</t>
  </si>
  <si>
    <t> Loại nhân sự</t>
  </si>
  <si>
    <t>Work Function (Cabin Crew / Ground Staff / Pilots)</t>
  </si>
  <si>
    <t>Lĩnh vực công việc (Cabin / Ground / Pilots)</t>
  </si>
  <si>
    <t> ma_loailaodong</t>
  </si>
  <si>
    <t>FLS_OPS</t>
  </si>
  <si>
    <t>Fuel Consumption Target</t>
  </si>
  <si>
    <t>Kế hoạch tiêu thụ nhiên liệu</t>
  </si>
  <si>
    <t>FUEL</t>
  </si>
  <si>
    <t>Theo version</t>
  </si>
  <si>
    <t>Flights</t>
  </si>
  <si>
    <t>Estimated Departure Time</t>
  </si>
  <si>
    <t>Thời gian khởi hành dự kiến</t>
  </si>
  <si>
    <t>DATETIME</t>
  </si>
  <si>
    <t>dep_sche_dt</t>
  </si>
  <si>
    <t>Estimated Arrival Time</t>
  </si>
  <si>
    <t>Thời gian đến dự kiến</t>
  </si>
  <si>
    <t>arr_sche_dt</t>
  </si>
  <si>
    <t>aircraft</t>
  </si>
  <si>
    <t>Aircraft Registration</t>
  </si>
  <si>
    <t>Số đăng ký tàu bay</t>
  </si>
  <si>
    <t>registration</t>
  </si>
  <si>
    <t>Aircraft Type</t>
  </si>
  <si>
    <t>Loại tàu bay</t>
  </si>
  <si>
    <t>ac_type</t>
  </si>
  <si>
    <t>flights</t>
  </si>
  <si>
    <t>Flight No</t>
  </si>
  <si>
    <t>Số hiệu chuyến bay</t>
  </si>
  <si>
    <t>fn_number</t>
  </si>
  <si>
    <t>Aircraft Subtype</t>
  </si>
  <si>
    <t>Phiên bản tàu bay</t>
  </si>
  <si>
    <t>ac_subtype</t>
  </si>
  <si>
    <t>Scheduled Departure</t>
  </si>
  <si>
    <t>Điểm khởi hành dự kiến</t>
  </si>
  <si>
    <t>dep_ap_sched</t>
  </si>
  <si>
    <t>Scheduled Destination</t>
  </si>
  <si>
    <t>Điểm đến dự kiến</t>
  </si>
  <si>
    <t>arr_ap_sched</t>
  </si>
  <si>
    <t>dep_sched_dt</t>
  </si>
  <si>
    <t>arr_sched_dt</t>
  </si>
  <si>
    <t>TOSS</t>
  </si>
  <si>
    <t>AITS</t>
  </si>
  <si>
    <t>Netlines</t>
  </si>
  <si>
    <t>leg_time</t>
  </si>
  <si>
    <t>Out Time</t>
  </si>
  <si>
    <t>Giờ rời vị trí đỗ</t>
  </si>
  <si>
    <t>stg_Netlines</t>
  </si>
  <si>
    <t>offblock_dt</t>
  </si>
  <si>
    <t>Off Time</t>
  </si>
  <si>
    <t>Giờ cất cánh</t>
  </si>
  <si>
    <t> airborne_dt</t>
  </si>
  <si>
    <t>On-block time</t>
  </si>
  <si>
    <t>Giờ hạ cánh</t>
  </si>
  <si>
    <t>landing_dt</t>
  </si>
  <si>
    <t>In Time</t>
  </si>
  <si>
    <t>Giờ chèn bánh</t>
  </si>
  <si>
    <t>onblock_dt</t>
  </si>
  <si>
    <t>flt_act</t>
  </si>
  <si>
    <t>Route Type</t>
  </si>
  <si>
    <t>Loại đường bay</t>
  </si>
  <si>
    <t>NW</t>
  </si>
  <si>
    <t>flt_leg</t>
  </si>
  <si>
    <t>Total Passengers on the Flight</t>
  </si>
  <si>
    <t>Tổng số khách trên chuyến bay</t>
  </si>
  <si>
    <t>pax</t>
  </si>
  <si>
    <t>Maximum Passenger Capacity (Based on Aircraft Capacity)</t>
  </si>
  <si>
    <t>Số khách tối đa (dựa theo sức chứa của các loại tàu bay)</t>
  </si>
  <si>
    <t>seat</t>
  </si>
  <si>
    <t>Actual Number of Adult Passengers on the Flight</t>
  </si>
  <si>
    <t>Số khách người lớn thực tế trên chuyến bay</t>
  </si>
  <si>
    <t>adl</t>
  </si>
  <si>
    <t>Total Number of Infant (INF) Passengers on the Flight</t>
  </si>
  <si>
    <t>Tổng số khách là trẻ sơ sinh (INF) trên chuyến bay</t>
  </si>
  <si>
    <t>inf</t>
  </si>
  <si>
    <t>rps.flt_est1
pms.v_fls_ops</t>
  </si>
  <si>
    <t>RTK estimate</t>
  </si>
  <si>
    <t>RTK tạm tính</t>
  </si>
  <si>
    <t>stg_khnh</t>
  </si>
  <si>
    <t>rtk</t>
  </si>
  <si>
    <t>rps.flt_act_by_fls</t>
  </si>
  <si>
    <t>RTK actual</t>
  </si>
  <si>
    <t>RTK thực tế</t>
  </si>
  <si>
    <t>rps.flt_bud</t>
  </si>
  <si>
    <t>RTK target</t>
  </si>
  <si>
    <t>RTK mục tiêu</t>
  </si>
  <si>
    <t>Employee ID</t>
  </si>
  <si>
    <t>Mã nhân viên</t>
  </si>
  <si>
    <t>ma_nhanvien</t>
  </si>
  <si>
    <t>Hire Date / Date of Joining</t>
  </si>
  <si>
    <t>Ngày vào cơ quan</t>
  </si>
  <si>
    <t>ngay_vao_hk</t>
  </si>
  <si>
    <t>Termination Date / Separation Date</t>
  </si>
  <si>
    <t>Ngày nghỉ việc</t>
  </si>
  <si>
    <t>ngay_nghi_viec</t>
  </si>
  <si>
    <t>Reason for Separation</t>
  </si>
  <si>
    <t>Lý do nghỉ việc</t>
  </si>
  <si>
    <t>ly_do_nghiviec</t>
  </si>
  <si>
    <t>Số Ngày đào tạo</t>
  </si>
  <si>
    <t>GRI 403-1</t>
  </si>
  <si>
    <t>Total Flights</t>
  </si>
  <si>
    <t>leg_no</t>
  </si>
  <si>
    <t>Bird Strike Hazards</t>
  </si>
  <si>
    <t>Hưng Việt</t>
  </si>
  <si>
    <t>Lightning Strike Hazards</t>
  </si>
  <si>
    <t>Incident Date</t>
  </si>
  <si>
    <t>Ngày ghi nhận sự cố</t>
  </si>
  <si>
    <t>Training Course ID</t>
  </si>
  <si>
    <t>Mã khóa đào tạo</t>
  </si>
  <si>
    <t>ma_khoa_hoc</t>
  </si>
  <si>
    <t>Course Name</t>
  </si>
  <si>
    <t>Tên khóa đào tạo</t>
  </si>
  <si>
    <t>ten_khoa_hoc</t>
  </si>
  <si>
    <t>Target Audience</t>
  </si>
  <si>
    <t>Đối tượng đào tạo</t>
  </si>
  <si>
    <t>doi_tuong</t>
  </si>
  <si>
    <t>Training Type (Basic, Refresher, Specialized, Advanced, etc.)</t>
  </si>
  <si>
    <t>Loại hình đào tạo (cơ bản / định kỳ / chuyên loại / nâng cấp)</t>
  </si>
  <si>
    <t>loai_hinh</t>
  </si>
  <si>
    <t>Number of Training Sessions</t>
  </si>
  <si>
    <t>Số lượt đào tạo</t>
  </si>
  <si>
    <t>luot_daotao</t>
  </si>
  <si>
    <t>Training Cost</t>
  </si>
  <si>
    <t>Chi phí đào tạo</t>
  </si>
  <si>
    <t>chi_phi</t>
  </si>
  <si>
    <t>Training Date / Training Period</t>
  </si>
  <si>
    <t>Ngày / kỳ đào tạo</t>
  </si>
  <si>
    <t>ky_dao_tao</t>
  </si>
  <si>
    <t>Date of Birth</t>
  </si>
  <si>
    <t>Ngày sinh</t>
  </si>
  <si>
    <t>ngay_sinh</t>
  </si>
  <si>
    <t>Gender</t>
  </si>
  <si>
    <t>Giới tính</t>
  </si>
  <si>
    <t>gioi_tinh</t>
  </si>
  <si>
    <t>Job Title</t>
  </si>
  <si>
    <t>Chức danh</t>
  </si>
  <si>
    <t>chuc_danh</t>
  </si>
  <si>
    <t>Cấp quản lý</t>
  </si>
  <si>
    <t>Job Grade</t>
  </si>
  <si>
    <t>Cấp bậc</t>
  </si>
  <si>
    <t> cap_quan_ly</t>
  </si>
  <si>
    <t>Lấy đơn vị cấp 5</t>
  </si>
  <si>
    <t>Cơ quan Phòng/Ban</t>
  </si>
  <si>
    <t>ten_donvi</t>
  </si>
  <si>
    <t>LMS</t>
  </si>
  <si>
    <t xml:space="preserve"> LMS_DANHMUCVATTU </t>
  </si>
  <si>
    <t>List of supplies (tools, items, beverages)</t>
  </si>
  <si>
    <t>Danh sách vật tư thuộc các danh mục: dụng cụ, vật phẩm, đồ uống.</t>
  </si>
  <si>
    <t>  STG_CONTRACT_PROD</t>
  </si>
  <si>
    <t> tenvattu</t>
  </si>
  <si>
    <t>theo tháng</t>
  </si>
  <si>
    <t>Nhà cung cấp</t>
  </si>
  <si>
    <t>Cần hỏi QLVT về thời gian áp dụng SAF của NCC đó</t>
  </si>
  <si>
    <t> ANCM: Anh Hoàng</t>
  </si>
  <si>
    <t>VAT Number</t>
  </si>
  <si>
    <t>Mã số VAT của nhà cung cấp</t>
  </si>
  <si>
    <t>Batch Number</t>
  </si>
  <si>
    <t>Mã lô nhiên liệu</t>
  </si>
  <si>
    <t>Category of eligible fuel</t>
  </si>
  <si>
    <t>Phân loại nhiên liệu đủ điều kiện</t>
  </si>
  <si>
    <t xml:space="preserve"> theo từng chuyến bay</t>
  </si>
  <si>
    <t>Fuel conversion process</t>
  </si>
  <si>
    <t>Quy trình sản xuất</t>
  </si>
  <si>
    <t>Feedstock name</t>
  </si>
  <si>
    <t>Tên nguyên liệu</t>
  </si>
  <si>
    <t>Origin of feedstock</t>
  </si>
  <si>
    <t>Quốc gia xuất xứ</t>
  </si>
  <si>
    <t>Lifecycle emissions of the Eligible Fuel (gCO2eq/MJ)</t>
  </si>
  <si>
    <t xml:space="preserve">Vòng đời phát thải </t>
  </si>
  <si>
    <t>Energy content (MJ)</t>
  </si>
  <si>
    <t>Actual SAF Volume Uplifted (Tonnes)</t>
  </si>
  <si>
    <t>Blended SAF</t>
  </si>
  <si>
    <t>Lượng SAF pha trộn (tấn)</t>
  </si>
  <si>
    <t>SAF Surcharge</t>
  </si>
  <si>
    <t>Phụ phí SAF</t>
  </si>
  <si>
    <t>SAF Fee</t>
  </si>
  <si>
    <t>Đơn giá</t>
  </si>
  <si>
    <t>flight_amasis_fuel</t>
  </si>
  <si>
    <t>Fuel Before Uplift (R0)</t>
  </si>
  <si>
    <t>Lượng nhiên liệu tồn trước chuyến bay (R0)</t>
  </si>
  <si>
    <t>FUEL_BEFORE_UPLIFT</t>
  </si>
  <si>
    <t>Fuel Uplift (U1)</t>
  </si>
  <si>
    <t>Lượng nhiên liệu nạp (U1)</t>
  </si>
  <si>
    <t>fuel_uplift</t>
  </si>
  <si>
    <t>Fuel Remaining (R1)</t>
  </si>
  <si>
    <t>Lượng nhiên liệu còn lại sau chuyến bay (R1)</t>
  </si>
  <si>
    <t>FUEL_REMAINING</t>
  </si>
  <si>
    <t>Airport Name</t>
  </si>
  <si>
    <t>Tên sân bay (nạp)</t>
  </si>
  <si>
    <t>FLIGHTS</t>
  </si>
  <si>
    <t>Flight NO</t>
  </si>
  <si>
    <t>Mã chuyến bay</t>
  </si>
  <si>
    <t>Flight Date</t>
  </si>
  <si>
    <t>Ngày bay</t>
  </si>
  <si>
    <t>flt_date</t>
  </si>
  <si>
    <t>Off-block time</t>
  </si>
  <si>
    <t>Giờ khởi hành</t>
  </si>
  <si>
    <t>dep_dt</t>
  </si>
  <si>
    <t>arr_dt</t>
  </si>
  <si>
    <t>flight_more_inf_plan</t>
  </si>
  <si>
    <t>Yearly aviation fuel required (tonnes)</t>
  </si>
  <si>
    <t>Tổng lượng nhiên liệu lẽ ra cần thiết cho hoạt động bay trong năm.</t>
  </si>
  <si>
    <t>trip_fuel, taxi_fuel</t>
  </si>
  <si>
    <t> IF NVL(LEG_TYPE,'X') IN ('J', 'G', 'U') THEN
        RETURN 'PXR'; --CHO KHACH THUONG LE
    ELSIF NVL(LEG_TYPE,'X') IN ('C') THEN
        RETURN 'PXC'; --CHO KHACH THUE CHUYEN
    ELSIF NVL(LEG_TYPE,'X') IN ('F', 'A', 'V', 'Q') THEN
        RETURN 'CAR'; --CHO HANG THUONG LE
    --ELSIF NVL(LEG_TYPE,'X') IN ('H') THEN
        --RETURN 'CAC'; --CHO HANG THUE CHUYEN BO THEO YEU CAU CUA NGHĨA
    ELSIF NVL(LEG_TYPE,'X') IN ('O') THEN
        RETURN 'VIP'; --CHUYEN CO
    ELSIF NVL(LEG_TYPE,'X') IN ('E') THEN
        RETURN 'PXR'; --CHUYEN CO KET HOP CHO KHACH
    ELSIF NVL(LEG_TYPE,'X') IN ('P') THEN
        RETURN 'FER'; --FERRY
    ELSIF NVL(LEG_TYPE,'X') IN ('K') THEN
        RETURN 'NTS'; --Ky thuat
    ELSIF NVL(LEG_TYPE,'X') IN ('T') THEN
        RETURN 'PXW'; --huan luyen
    ELSIF NVL(LEG_TYPE,'X') IN ('R', 'H') THEN
        RETURN 'PXM'; --LUC DI CHO HANG, LUC VE CHO KHACH 
    ELSIF NVL(LEG_TYPE,'X') IN ('M') THEN
        RETURN 'PXN'; --FERRY + CARGO
    ELSIF NVL(LEG_TYPE,'X') IN ('S') THEN
        RETURN 'PXR'; --CHO KHACH DICH BENH COVID19
    ELSE
        RETURN 'XXX'; --KHAC
    END IF;</t>
  </si>
  <si>
    <t>Flight Type</t>
  </si>
  <si>
    <t>Loại chuyến bay</t>
  </si>
  <si>
    <t>LEG_TYPE</t>
  </si>
  <si>
    <t>rps</t>
  </si>
  <si>
    <t>AC_VERSION</t>
  </si>
  <si>
    <t>Flight Itinerary</t>
  </si>
  <si>
    <t>Hành trình bay</t>
  </si>
  <si>
    <t>LEG</t>
  </si>
  <si>
    <t>Area</t>
  </si>
  <si>
    <t>Khu vực bay</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</si>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</sst>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6">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0"/>
      <color theme="1"/>
      <name val="Arial"/>
      <family val="2"/>
      <scheme val="minor"/>
    </font>
    <font>
      <sz val="8"/>
      <name val="Arial"/>
      <family val="2"/>
      <scheme val="minor"/>
    </font>
    <font>
      <sz val="12"/>
      <color rgb="FFFFFFFF"/>
      <name val="Times New Roman"/>
      <family val="1"/>
    </font>
    <font>
      <sz val="12"/>
      <color rgb="FF000000"/>
      <name val="Times New Roman"/>
      <family val="1"/>
    </font>
    <font>
      <sz val="12"/>
      <color theme="1"/>
      <name val="Times New Roman"/>
      <family val="1"/>
    </font>
    <font>
      <sz val="12"/>
      <name val="Times New Roman"/>
      <family val="1"/>
    </font>
    <font>
      <b/>
      <sz val="12"/>
      <color theme="1"/>
      <name val="Times New Roman"/>
      <family val="1"/>
    </font>
    <font>
      <sz val="10"/>
      <color rgb="FF000000"/>
      <name val="Calibri"/>
      <family val="2"/>
    </font>
    <font>
      <b/>
      <sz val="11"/>
      <color rgb="FFFFFFFF"/>
      <name val="Calibri"/>
      <family val="2"/>
    </font>
    <font>
      <sz val="8"/>
      <name val="Arial"/>
      <family val="2"/>
      <scheme val="minor"/>
    </font>
    <font>
      <i/>
      <sz val="12"/>
      <color rgb="FF000000"/>
      <name val="Times New Roman"/>
      <family val="1"/>
    </font>
    <font>
      <i/>
      <sz val="12"/>
      <color theme="1"/>
      <name val="Times New Roman"/>
      <family val="1"/>
    </font>
    <font>
      <i/>
      <sz val="12"/>
      <name val="Times New Roman"/>
      <family val="1"/>
    </font>
    <font>
      <b/>
      <i/>
      <sz val="12"/>
      <color rgb="FF000000"/>
      <name val="Times New Roman"/>
      <family val="1"/>
    </font>
    <font>
      <b/>
      <i/>
      <sz val="12"/>
      <color theme="1"/>
      <name val="Times New Roman"/>
      <family val="1"/>
    </font>
    <font>
      <b/>
      <i/>
      <sz val="12"/>
      <name val="Times New Roman"/>
      <family val="1"/>
    </font>
    <font>
      <sz val="10"/>
      <color theme="1"/>
      <name val="Arial"/>
      <family val="2"/>
    </font>
    <font>
      <sz val="11"/>
      <color rgb="FF000000"/>
      <name val="Tahoma"/>
      <family val="2"/>
    </font>
    <font>
      <sz val="11"/>
      <color theme="1"/>
      <name val="Tahoma"/>
      <family val="2"/>
    </font>
    <font>
      <sz val="10"/>
      <color rgb="FF000000"/>
      <name val="Arial"/>
      <family val="2"/>
    </font>
    <font>
      <b/>
      <sz val="9"/>
      <color rgb="FFFFFFFF"/>
      <name val="Tahoma"/>
      <family val="2"/>
    </font>
    <font>
      <sz val="12"/>
      <color rgb="FFFFFFFF"/>
      <name val="Calibri"/>
      <family val="2"/>
    </font>
    <font>
      <sz val="12"/>
      <color rgb="FF000000"/>
      <name val="Calibri"/>
      <family val="2"/>
    </font>
    <font>
      <sz val="10"/>
      <color rgb="FFFFFFFF"/>
      <name val="Calibri"/>
      <family val="2"/>
    </font>
    <font>
      <b/>
      <sz val="10"/>
      <color rgb="FFFFFFFF"/>
      <name val="Calibri"/>
      <family val="2"/>
    </font>
    <font>
      <sz val="10"/>
      <color theme="0"/>
      <name val="Calibri"/>
      <family val="2"/>
    </font>
    <font>
      <b/>
      <sz val="11"/>
      <color rgb="FFFFFFFF"/>
      <name val="Times New Roman"/>
      <family val="1"/>
    </font>
    <font>
      <sz val="11"/>
      <color rgb="FF000000"/>
      <name val="Times New Roman"/>
      <family val="1"/>
    </font>
    <font>
      <sz val="10"/>
      <color rgb="FF242424"/>
      <name val="Calibri"/>
      <family val="2"/>
    </font>
    <font>
      <sz val="10"/>
      <color rgb="FF000000"/>
      <name val="Arial"/>
      <family val="2"/>
      <scheme val="minor"/>
    </font>
    <font>
      <sz val="11"/>
      <color theme="1"/>
      <name val="Calibri"/>
      <family val="2"/>
      <charset val="1"/>
    </font>
    <font>
      <sz val="10"/>
      <color rgb="FF292929"/>
      <name val="Segoe UI"/>
      <family val="2"/>
      <charset val="1"/>
    </font>
    <font>
      <b/>
      <sz val="11"/>
      <color rgb="FF006100"/>
      <name val="Segoe UI"/>
      <family val="2"/>
    </font>
    <font>
      <b/>
      <sz val="10"/>
      <color rgb="FF292929"/>
      <name val="Segoe UI"/>
      <family val="2"/>
      <charset val="1"/>
    </font>
    <font>
      <b/>
      <sz val="11"/>
      <color rgb="FF006100"/>
      <name val="Segoe UI"/>
      <family val="2"/>
      <charset val="1"/>
    </font>
    <font>
      <b/>
      <sz val="10"/>
      <name val="Segoe UI"/>
      <family val="2"/>
    </font>
    <font>
      <sz val="10"/>
      <name val="Segoe UI"/>
      <family val="2"/>
    </font>
    <font>
      <sz val="10"/>
      <color theme="1" tint="0.14999847407452621"/>
      <name val="Segoe UI"/>
      <family val="2"/>
    </font>
    <font>
      <b/>
      <sz val="11"/>
      <color rgb="FF9C0006"/>
      <name val="Segoe UI"/>
      <family val="2"/>
    </font>
    <font>
      <b/>
      <sz val="11"/>
      <color rgb="FF9C0006"/>
      <name val="Segoe UI"/>
      <family val="2"/>
      <charset val="1"/>
    </font>
    <font>
      <sz val="10"/>
      <color rgb="FFFF0000"/>
      <name val="Segoe UI"/>
      <family val="2"/>
    </font>
    <font>
      <b/>
      <sz val="11"/>
      <color rgb="FFFFFFFF"/>
      <name val="Segoe UI"/>
      <family val="2"/>
      <charset val="1"/>
    </font>
    <font>
      <b/>
      <sz val="11"/>
      <color rgb="FFFFFFFF"/>
      <name val="Segoe UI"/>
      <family val="2"/>
    </font>
    <font>
      <i/>
      <sz val="10"/>
      <color rgb="FFDBA410"/>
      <name val="Segoe UI"/>
      <family val="2"/>
      <charset val="1"/>
    </font>
    <font>
      <b/>
      <sz val="14"/>
      <color rgb="FF006885"/>
      <name val="Segoe UI"/>
      <family val="2"/>
      <charset val="1"/>
    </font>
    <font>
      <sz val="11"/>
      <color rgb="FFFFFFFF"/>
      <name val="Times New Roman"/>
      <family val="1"/>
    </font>
    <font>
      <sz val="11"/>
      <color theme="1"/>
      <name val="Times New Roman"/>
      <family val="1"/>
    </font>
    <font>
      <sz val="11"/>
      <color rgb="FFFF0000"/>
      <name val="Times New Roman"/>
      <family val="1"/>
    </font>
    <font>
      <sz val="11"/>
      <color rgb="FF292929"/>
      <name val="Times New Roman"/>
      <family val="1"/>
    </font>
    <font>
      <sz val="11"/>
      <color theme="1" tint="0.14999847407452621"/>
      <name val="Times New Roman"/>
      <family val="1"/>
    </font>
    <font>
      <b/>
      <sz val="11"/>
      <name val="Times New Roman"/>
      <family val="1"/>
    </font>
    <font>
      <sz val="11"/>
      <name val="Times New Roman"/>
      <family val="1"/>
    </font>
    <font>
      <sz val="11"/>
      <color rgb="FF000000"/>
      <name val="Times New Roman"/>
    </font>
    <font>
      <sz val="11"/>
      <color theme="0"/>
      <name val="Times New Roman"/>
    </font>
    <font>
      <sz val="11"/>
      <color rgb="FFFFFFFF"/>
      <name val="Times New Roman"/>
    </font>
    <font>
      <b/>
      <sz val="11"/>
      <color rgb="FFFFFFFF"/>
      <name val="Times New Roman"/>
    </font>
    <font>
      <sz val="11"/>
      <color theme="1"/>
      <name val="Times New Roman"/>
    </font>
    <font>
      <sz val="11"/>
      <name val="Times New Roman"/>
    </font>
    <font>
      <sz val="10"/>
      <color rgb="FF000000"/>
      <name val="Times New Roman"/>
    </font>
    <font>
      <sz val="11"/>
      <color rgb="FFFF0000"/>
      <name val="Times New Roman"/>
    </font>
    <font>
      <u/>
      <sz val="10"/>
      <color theme="10"/>
      <name val="Arial"/>
      <scheme val="minor"/>
    </font>
    <font>
      <u/>
      <sz val="11"/>
      <color theme="10"/>
      <name val="Calibri"/>
    </font>
  </fonts>
  <fills count="33">
    <fill>
      <patternFill patternType="none"/>
    </fill>
    <fill>
      <patternFill patternType="gray125"/>
    </fill>
    <fill>
      <patternFill patternType="solid">
        <fgColor rgb="FF1F4E78"/>
        <bgColor rgb="FF1F4E78"/>
      </patternFill>
    </fill>
    <fill>
      <patternFill patternType="solid">
        <fgColor theme="4" tint="-0.249977111117893"/>
        <bgColor indexed="64"/>
      </patternFill>
    </fill>
    <fill>
      <patternFill patternType="solid">
        <fgColor rgb="FFEBF5FB"/>
        <bgColor indexed="64"/>
      </patternFill>
    </fill>
    <fill>
      <patternFill patternType="solid">
        <fgColor rgb="FFE8F4FD"/>
        <bgColor indexed="64"/>
      </patternFill>
    </fill>
    <fill>
      <patternFill patternType="solid">
        <fgColor rgb="FFF0F3FF"/>
        <bgColor indexed="64"/>
      </patternFill>
    </fill>
    <fill>
      <patternFill patternType="solid">
        <fgColor rgb="FFFDF9E8"/>
        <bgColor indexed="64"/>
      </patternFill>
    </fill>
    <fill>
      <patternFill patternType="solid">
        <fgColor rgb="FFFEF9E7"/>
        <bgColor indexed="64"/>
      </patternFill>
    </fill>
    <fill>
      <patternFill patternType="solid">
        <fgColor rgb="FFEAFAF1"/>
        <bgColor indexed="64"/>
      </patternFill>
    </fill>
    <fill>
      <patternFill patternType="solid">
        <fgColor rgb="FFF9EBEA"/>
        <bgColor indexed="64"/>
      </patternFill>
    </fill>
    <fill>
      <patternFill patternType="solid">
        <fgColor rgb="FFE8F8F5"/>
        <bgColor indexed="64"/>
      </patternFill>
    </fill>
    <fill>
      <patternFill patternType="solid">
        <fgColor rgb="FFFFFF00"/>
        <bgColor indexed="64"/>
      </patternFill>
    </fill>
    <fill>
      <patternFill patternType="solid">
        <fgColor rgb="FFFFC000"/>
        <bgColor indexed="64"/>
      </patternFill>
    </fill>
    <fill>
      <patternFill patternType="solid">
        <fgColor rgb="FFE9F4FC"/>
        <bgColor indexed="64"/>
      </patternFill>
    </fill>
    <fill>
      <patternFill patternType="solid">
        <fgColor rgb="FF1F3864"/>
        <bgColor indexed="64"/>
      </patternFill>
    </fill>
    <fill>
      <patternFill patternType="solid">
        <fgColor rgb="FF002060"/>
        <bgColor rgb="FF005B5C"/>
      </patternFill>
    </fill>
    <fill>
      <patternFill patternType="solid">
        <fgColor rgb="FF002060"/>
        <bgColor rgb="FFFF9900"/>
      </patternFill>
    </fill>
    <fill>
      <patternFill patternType="solid">
        <fgColor rgb="FF002060"/>
        <bgColor rgb="FF1F4E78"/>
      </patternFill>
    </fill>
    <fill>
      <patternFill patternType="solid">
        <fgColor theme="6"/>
        <bgColor rgb="FF1F4E78"/>
      </patternFill>
    </fill>
    <fill>
      <patternFill patternType="solid">
        <fgColor rgb="FF006885"/>
        <bgColor rgb="FF008080"/>
      </patternFill>
    </fill>
    <fill>
      <patternFill patternType="solid">
        <fgColor rgb="FF002060"/>
        <bgColor indexed="64"/>
      </patternFill>
    </fill>
    <fill>
      <patternFill patternType="solid">
        <fgColor theme="0"/>
        <bgColor indexed="64"/>
      </patternFill>
    </fill>
    <fill>
      <patternFill patternType="solid">
        <fgColor theme="8" tint="0.39997558519241921"/>
        <bgColor indexed="64"/>
      </patternFill>
    </fill>
    <fill>
      <patternFill patternType="solid">
        <fgColor rgb="FF00B050"/>
        <bgColor indexed="64"/>
      </patternFill>
    </fill>
    <fill>
      <patternFill patternType="solid">
        <fgColor rgb="FF7030A0"/>
        <bgColor indexed="64"/>
      </patternFill>
    </fill>
    <fill>
      <patternFill patternType="solid">
        <fgColor theme="9" tint="-0.249977111117893"/>
        <bgColor indexed="64"/>
      </patternFill>
    </fill>
    <fill>
      <patternFill patternType="solid">
        <fgColor rgb="FFF2F7F9"/>
        <bgColor rgb="FFFFFFFF"/>
      </patternFill>
    </fill>
    <fill>
      <patternFill patternType="solid">
        <fgColor rgb="FFC6EFCE"/>
        <bgColor rgb="FFCCE1E7"/>
      </patternFill>
    </fill>
    <fill>
      <patternFill patternType="solid">
        <fgColor rgb="FFFFC7CE"/>
        <bgColor rgb="FFFADBD8"/>
      </patternFill>
    </fill>
    <fill>
      <patternFill patternType="solid">
        <fgColor rgb="FF006885"/>
        <bgColor rgb="FF005C76"/>
      </patternFill>
    </fill>
    <fill>
      <patternFill patternType="solid">
        <fgColor theme="4" tint="0.79998168889431442"/>
        <bgColor theme="4" tint="0.79998168889431442"/>
      </patternFill>
    </fill>
    <fill>
      <patternFill patternType="solid">
        <fgColor rgb="FF0070C0"/>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BFBFBF"/>
      </right>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right/>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bottom style="thin">
        <color rgb="FF000000"/>
      </bottom>
      <diagonal/>
    </border>
    <border>
      <left style="thin">
        <color rgb="FFCCCCCC"/>
      </left>
      <right style="thin">
        <color rgb="FF000000"/>
      </right>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bottom/>
      <diagonal/>
    </border>
    <border>
      <left style="thin">
        <color rgb="FFCCCCCC"/>
      </left>
      <right style="thin">
        <color rgb="FF000000"/>
      </right>
      <top style="thin">
        <color rgb="FFCCCCCC"/>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DCDCDC"/>
      </left>
      <right style="thin">
        <color rgb="FFDCDCDC"/>
      </right>
      <top style="thin">
        <color rgb="FFDCDCDC"/>
      </top>
      <bottom style="thin">
        <color rgb="FFDCDCDC"/>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style="thin">
        <color rgb="FFFFFFFF"/>
      </left>
      <right style="thin">
        <color rgb="FFFFFFFF"/>
      </right>
      <top style="medium">
        <color rgb="FF005C76"/>
      </top>
      <bottom style="medium">
        <color rgb="FF005C76"/>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0">
    <xf numFmtId="0" fontId="0" fillId="0" borderId="0"/>
    <xf numFmtId="0" fontId="3" fillId="0" borderId="0"/>
    <xf numFmtId="0" fontId="3" fillId="0" borderId="0"/>
    <xf numFmtId="0" fontId="2" fillId="0" borderId="0"/>
    <xf numFmtId="0" fontId="34" fillId="0" borderId="0"/>
    <xf numFmtId="0" fontId="33" fillId="0" borderId="0"/>
    <xf numFmtId="0" fontId="1" fillId="0" borderId="0"/>
    <xf numFmtId="0" fontId="1" fillId="0" borderId="0"/>
    <xf numFmtId="0" fontId="1" fillId="0" borderId="0"/>
    <xf numFmtId="0" fontId="64" fillId="0" borderId="0" applyNumberFormat="0" applyFill="0" applyBorder="0" applyAlignment="0" applyProtection="0"/>
  </cellStyleXfs>
  <cellXfs count="325">
    <xf numFmtId="0" fontId="0" fillId="0" borderId="0" xfId="0"/>
    <xf numFmtId="0" fontId="4" fillId="0" borderId="0" xfId="0" applyFont="1"/>
    <xf numFmtId="0" fontId="7" fillId="0" borderId="0" xfId="0" applyFont="1"/>
    <xf numFmtId="0" fontId="8" fillId="0" borderId="0" xfId="0" applyFont="1"/>
    <xf numFmtId="0" fontId="8" fillId="0" borderId="0" xfId="0" applyFont="1" applyAlignment="1">
      <alignment horizontal="left" wrapText="1"/>
    </xf>
    <xf numFmtId="0" fontId="8" fillId="0" borderId="0" xfId="0" applyFont="1" applyAlignment="1">
      <alignment wrapText="1"/>
    </xf>
    <xf numFmtId="0" fontId="8" fillId="0" borderId="0" xfId="0" applyFont="1" applyAlignment="1">
      <alignment vertical="center" wrapText="1"/>
    </xf>
    <xf numFmtId="0" fontId="7" fillId="0" borderId="0" xfId="0" applyFont="1" applyAlignment="1">
      <alignment wrapText="1"/>
    </xf>
    <xf numFmtId="0" fontId="7" fillId="0" borderId="0" xfId="0" applyFont="1" applyAlignment="1">
      <alignment horizontal="left" wrapText="1"/>
    </xf>
    <xf numFmtId="0" fontId="7" fillId="0" borderId="0" xfId="0" applyFont="1" applyAlignment="1">
      <alignment horizontal="left" vertical="center"/>
    </xf>
    <xf numFmtId="0" fontId="7" fillId="0" borderId="0" xfId="0" applyFont="1" applyAlignment="1">
      <alignment vertical="top"/>
    </xf>
    <xf numFmtId="0" fontId="7" fillId="0" borderId="0" xfId="0" applyFont="1" applyAlignment="1">
      <alignment horizontal="left" vertical="top"/>
    </xf>
    <xf numFmtId="0" fontId="8" fillId="0" borderId="0" xfId="0" applyFont="1" applyAlignment="1">
      <alignment horizontal="left"/>
    </xf>
    <xf numFmtId="0" fontId="8" fillId="0" borderId="0" xfId="0" applyFont="1" applyAlignment="1">
      <alignment vertical="center"/>
    </xf>
    <xf numFmtId="0" fontId="9" fillId="0" borderId="0" xfId="0" applyFont="1" applyAlignment="1">
      <alignment horizontal="left"/>
    </xf>
    <xf numFmtId="0" fontId="9" fillId="0" borderId="0" xfId="0" applyFont="1"/>
    <xf numFmtId="0" fontId="7" fillId="0" borderId="0" xfId="0" applyFont="1" applyAlignment="1">
      <alignment horizontal="left"/>
    </xf>
    <xf numFmtId="0" fontId="8" fillId="0" borderId="0" xfId="0" applyFont="1" applyAlignment="1">
      <alignment horizontal="left" vertical="center"/>
    </xf>
    <xf numFmtId="0" fontId="8" fillId="0" borderId="0" xfId="0" quotePrefix="1" applyFont="1" applyAlignment="1">
      <alignment horizontal="left"/>
    </xf>
    <xf numFmtId="0" fontId="3" fillId="0" borderId="0" xfId="1"/>
    <xf numFmtId="0" fontId="11" fillId="0" borderId="3" xfId="1" applyFont="1" applyBorder="1" applyAlignment="1">
      <alignment wrapText="1"/>
    </xf>
    <xf numFmtId="0" fontId="11" fillId="0" borderId="4" xfId="1" applyFont="1" applyBorder="1" applyAlignment="1">
      <alignment wrapText="1"/>
    </xf>
    <xf numFmtId="0" fontId="11" fillId="0" borderId="3" xfId="1" applyFont="1" applyBorder="1" applyAlignment="1">
      <alignment horizontal="left" wrapText="1"/>
    </xf>
    <xf numFmtId="0" fontId="11" fillId="0" borderId="3" xfId="1" applyFont="1" applyBorder="1"/>
    <xf numFmtId="0" fontId="11" fillId="0" borderId="5" xfId="1" applyFont="1" applyBorder="1" applyAlignment="1">
      <alignment wrapText="1"/>
    </xf>
    <xf numFmtId="0" fontId="11" fillId="0" borderId="3" xfId="1" applyFont="1" applyBorder="1" applyAlignment="1">
      <alignment vertical="center" wrapText="1"/>
    </xf>
    <xf numFmtId="0" fontId="11" fillId="0" borderId="4" xfId="1" applyFont="1" applyBorder="1" applyAlignment="1">
      <alignment vertical="center" wrapText="1"/>
    </xf>
    <xf numFmtId="0" fontId="11" fillId="0" borderId="6" xfId="1" applyFont="1" applyBorder="1" applyAlignment="1">
      <alignment wrapText="1"/>
    </xf>
    <xf numFmtId="0" fontId="11" fillId="0" borderId="1" xfId="1" applyFont="1" applyBorder="1" applyAlignment="1">
      <alignment wrapText="1"/>
    </xf>
    <xf numFmtId="0" fontId="11" fillId="0" borderId="8" xfId="1" applyFont="1" applyBorder="1" applyAlignment="1">
      <alignment wrapText="1"/>
    </xf>
    <xf numFmtId="0" fontId="11" fillId="0" borderId="9" xfId="1" applyFont="1" applyBorder="1" applyAlignment="1">
      <alignment wrapText="1"/>
    </xf>
    <xf numFmtId="0" fontId="11" fillId="0" borderId="10" xfId="1" applyFont="1" applyBorder="1" applyAlignment="1">
      <alignment wrapText="1"/>
    </xf>
    <xf numFmtId="0" fontId="12" fillId="3" borderId="7" xfId="1" applyFont="1" applyFill="1" applyBorder="1" applyAlignment="1">
      <alignment wrapText="1"/>
    </xf>
    <xf numFmtId="0" fontId="12" fillId="3" borderId="11" xfId="1" applyFont="1" applyFill="1" applyBorder="1" applyAlignment="1">
      <alignment wrapText="1"/>
    </xf>
    <xf numFmtId="49" fontId="7" fillId="0" borderId="0" xfId="0" applyNumberFormat="1" applyFont="1" applyAlignment="1">
      <alignment horizontal="center" vertical="center"/>
    </xf>
    <xf numFmtId="49" fontId="9" fillId="0" borderId="0" xfId="0" applyNumberFormat="1" applyFont="1" applyAlignment="1">
      <alignment horizontal="center"/>
    </xf>
    <xf numFmtId="49" fontId="8" fillId="0" borderId="0" xfId="0" applyNumberFormat="1" applyFont="1" applyAlignment="1">
      <alignment horizontal="left" wrapText="1"/>
    </xf>
    <xf numFmtId="49" fontId="7" fillId="0" borderId="0" xfId="0" applyNumberFormat="1" applyFont="1" applyAlignment="1">
      <alignment horizontal="left" wrapText="1"/>
    </xf>
    <xf numFmtId="0" fontId="14" fillId="0" borderId="0" xfId="0" applyFont="1" applyAlignment="1">
      <alignment horizontal="left" vertical="center"/>
    </xf>
    <xf numFmtId="0" fontId="14" fillId="0" borderId="0" xfId="0" applyFont="1" applyAlignment="1">
      <alignment horizontal="left"/>
    </xf>
    <xf numFmtId="0" fontId="14" fillId="0" borderId="0" xfId="0" applyFont="1" applyAlignment="1">
      <alignment horizontal="left" vertical="top"/>
    </xf>
    <xf numFmtId="0" fontId="15" fillId="0" borderId="0" xfId="0" applyFont="1" applyAlignment="1">
      <alignment horizontal="left"/>
    </xf>
    <xf numFmtId="0" fontId="14" fillId="0" borderId="0" xfId="0" applyFont="1"/>
    <xf numFmtId="49" fontId="16" fillId="0" borderId="0" xfId="0" applyNumberFormat="1" applyFont="1" applyAlignment="1">
      <alignment horizontal="center"/>
    </xf>
    <xf numFmtId="0" fontId="16" fillId="0" borderId="0" xfId="0" applyFont="1" applyAlignment="1">
      <alignment horizontal="left"/>
    </xf>
    <xf numFmtId="0" fontId="16" fillId="0" borderId="0" xfId="0" applyFont="1"/>
    <xf numFmtId="49" fontId="17" fillId="0" borderId="0" xfId="0" applyNumberFormat="1" applyFont="1" applyAlignment="1">
      <alignment horizontal="center" vertical="center"/>
    </xf>
    <xf numFmtId="0" fontId="17" fillId="0" borderId="0" xfId="0" applyFont="1" applyAlignment="1">
      <alignment horizontal="left" vertical="center"/>
    </xf>
    <xf numFmtId="0" fontId="17" fillId="0" borderId="0" xfId="0" applyFont="1" applyAlignment="1">
      <alignment vertical="top"/>
    </xf>
    <xf numFmtId="0" fontId="17" fillId="0" borderId="0" xfId="0" applyFont="1" applyAlignment="1">
      <alignment horizontal="left"/>
    </xf>
    <xf numFmtId="0" fontId="17" fillId="0" borderId="0" xfId="0" applyFont="1" applyAlignment="1">
      <alignment horizontal="left" vertical="top"/>
    </xf>
    <xf numFmtId="0" fontId="18" fillId="0" borderId="0" xfId="0" applyFont="1" applyAlignment="1">
      <alignment horizontal="left"/>
    </xf>
    <xf numFmtId="0" fontId="18" fillId="0" borderId="0" xfId="0" applyFont="1" applyAlignment="1">
      <alignment vertical="center"/>
    </xf>
    <xf numFmtId="0" fontId="17" fillId="0" borderId="0" xfId="0" applyFont="1"/>
    <xf numFmtId="49" fontId="19" fillId="0" borderId="0" xfId="0" applyNumberFormat="1" applyFont="1" applyAlignment="1">
      <alignment horizontal="center"/>
    </xf>
    <xf numFmtId="0" fontId="19" fillId="0" borderId="0" xfId="0" applyFont="1" applyAlignment="1">
      <alignment horizontal="left"/>
    </xf>
    <xf numFmtId="0" fontId="19" fillId="0" borderId="0" xfId="0" applyFont="1"/>
    <xf numFmtId="0" fontId="3" fillId="0" borderId="0" xfId="1" applyAlignment="1">
      <alignment vertical="center"/>
    </xf>
    <xf numFmtId="0" fontId="2" fillId="0" borderId="0" xfId="3"/>
    <xf numFmtId="0" fontId="2" fillId="0" borderId="0" xfId="3" applyAlignment="1">
      <alignment vertical="top"/>
    </xf>
    <xf numFmtId="0" fontId="20" fillId="0" borderId="12" xfId="3" applyFont="1" applyBorder="1" applyAlignment="1">
      <alignment readingOrder="1"/>
    </xf>
    <xf numFmtId="0" fontId="20" fillId="0" borderId="13" xfId="3" applyFont="1" applyBorder="1" applyAlignment="1">
      <alignment readingOrder="1"/>
    </xf>
    <xf numFmtId="0" fontId="20" fillId="0" borderId="13" xfId="3" applyFont="1" applyBorder="1" applyAlignment="1">
      <alignment vertical="top" readingOrder="1"/>
    </xf>
    <xf numFmtId="0" fontId="20" fillId="0" borderId="14" xfId="3" applyFont="1" applyBorder="1" applyAlignment="1">
      <alignment readingOrder="1"/>
    </xf>
    <xf numFmtId="0" fontId="20" fillId="0" borderId="15" xfId="3" applyFont="1" applyBorder="1" applyAlignment="1">
      <alignment readingOrder="1"/>
    </xf>
    <xf numFmtId="0" fontId="20" fillId="0" borderId="16" xfId="3" applyFont="1" applyBorder="1" applyAlignment="1">
      <alignment readingOrder="1"/>
    </xf>
    <xf numFmtId="0" fontId="20" fillId="0" borderId="16" xfId="3" applyFont="1" applyBorder="1" applyAlignment="1">
      <alignment vertical="top" readingOrder="1"/>
    </xf>
    <xf numFmtId="0" fontId="20" fillId="0" borderId="17" xfId="3" applyFont="1" applyBorder="1" applyAlignment="1">
      <alignment readingOrder="1"/>
    </xf>
    <xf numFmtId="0" fontId="20" fillId="4" borderId="12" xfId="3" applyFont="1" applyFill="1" applyBorder="1" applyAlignment="1">
      <alignment readingOrder="1"/>
    </xf>
    <xf numFmtId="0" fontId="21" fillId="4" borderId="12" xfId="3" applyFont="1" applyFill="1" applyBorder="1" applyAlignment="1">
      <alignment wrapText="1" readingOrder="1"/>
    </xf>
    <xf numFmtId="0" fontId="22" fillId="4" borderId="12" xfId="3" applyFont="1" applyFill="1" applyBorder="1" applyAlignment="1">
      <alignment wrapText="1" readingOrder="1"/>
    </xf>
    <xf numFmtId="0" fontId="20" fillId="4" borderId="12" xfId="3" applyFont="1" applyFill="1" applyBorder="1" applyAlignment="1">
      <alignment vertical="top" readingOrder="1"/>
    </xf>
    <xf numFmtId="0" fontId="22" fillId="5" borderId="20" xfId="3" applyFont="1" applyFill="1" applyBorder="1" applyAlignment="1">
      <alignment wrapText="1" readingOrder="1"/>
    </xf>
    <xf numFmtId="0" fontId="20" fillId="6" borderId="12" xfId="3" applyFont="1" applyFill="1" applyBorder="1" applyAlignment="1">
      <alignment readingOrder="1"/>
    </xf>
    <xf numFmtId="0" fontId="21" fillId="6" borderId="12" xfId="3" applyFont="1" applyFill="1" applyBorder="1" applyAlignment="1">
      <alignment wrapText="1" readingOrder="1"/>
    </xf>
    <xf numFmtId="0" fontId="22" fillId="6" borderId="12" xfId="3" applyFont="1" applyFill="1" applyBorder="1" applyAlignment="1">
      <alignment wrapText="1" readingOrder="1"/>
    </xf>
    <xf numFmtId="0" fontId="20" fillId="6" borderId="12" xfId="3" applyFont="1" applyFill="1" applyBorder="1" applyAlignment="1">
      <alignment vertical="top" readingOrder="1"/>
    </xf>
    <xf numFmtId="0" fontId="20" fillId="7" borderId="12" xfId="3" applyFont="1" applyFill="1" applyBorder="1" applyAlignment="1">
      <alignment readingOrder="1"/>
    </xf>
    <xf numFmtId="0" fontId="21" fillId="7" borderId="12" xfId="3" applyFont="1" applyFill="1" applyBorder="1" applyAlignment="1">
      <alignment wrapText="1" readingOrder="1"/>
    </xf>
    <xf numFmtId="0" fontId="22" fillId="7" borderId="12" xfId="3" applyFont="1" applyFill="1" applyBorder="1" applyAlignment="1">
      <alignment wrapText="1" readingOrder="1"/>
    </xf>
    <xf numFmtId="0" fontId="20" fillId="7" borderId="12" xfId="3" applyFont="1" applyFill="1" applyBorder="1" applyAlignment="1">
      <alignment vertical="top" readingOrder="1"/>
    </xf>
    <xf numFmtId="0" fontId="20" fillId="9" borderId="12" xfId="3" applyFont="1" applyFill="1" applyBorder="1" applyAlignment="1">
      <alignment readingOrder="1"/>
    </xf>
    <xf numFmtId="0" fontId="21" fillId="9" borderId="12" xfId="3" applyFont="1" applyFill="1" applyBorder="1" applyAlignment="1">
      <alignment wrapText="1" readingOrder="1"/>
    </xf>
    <xf numFmtId="0" fontId="22" fillId="9" borderId="12" xfId="3" applyFont="1" applyFill="1" applyBorder="1" applyAlignment="1">
      <alignment wrapText="1" readingOrder="1"/>
    </xf>
    <xf numFmtId="0" fontId="20" fillId="9" borderId="12" xfId="3" applyFont="1" applyFill="1" applyBorder="1" applyAlignment="1">
      <alignment vertical="top" readingOrder="1"/>
    </xf>
    <xf numFmtId="0" fontId="20" fillId="10" borderId="12" xfId="3" applyFont="1" applyFill="1" applyBorder="1" applyAlignment="1">
      <alignment readingOrder="1"/>
    </xf>
    <xf numFmtId="0" fontId="21" fillId="10" borderId="12" xfId="3" applyFont="1" applyFill="1" applyBorder="1" applyAlignment="1">
      <alignment wrapText="1" readingOrder="1"/>
    </xf>
    <xf numFmtId="0" fontId="22" fillId="10" borderId="12" xfId="3" applyFont="1" applyFill="1" applyBorder="1" applyAlignment="1">
      <alignment wrapText="1" readingOrder="1"/>
    </xf>
    <xf numFmtId="0" fontId="20" fillId="10" borderId="12" xfId="3" applyFont="1" applyFill="1" applyBorder="1" applyAlignment="1">
      <alignment vertical="top" readingOrder="1"/>
    </xf>
    <xf numFmtId="0" fontId="20" fillId="11" borderId="12" xfId="3" applyFont="1" applyFill="1" applyBorder="1" applyAlignment="1">
      <alignment readingOrder="1"/>
    </xf>
    <xf numFmtId="0" fontId="21" fillId="11" borderId="12" xfId="3" applyFont="1" applyFill="1" applyBorder="1" applyAlignment="1">
      <alignment wrapText="1" readingOrder="1"/>
    </xf>
    <xf numFmtId="0" fontId="22" fillId="11" borderId="12" xfId="3" applyFont="1" applyFill="1" applyBorder="1" applyAlignment="1">
      <alignment wrapText="1" readingOrder="1"/>
    </xf>
    <xf numFmtId="0" fontId="20" fillId="11" borderId="12" xfId="3" applyFont="1" applyFill="1" applyBorder="1" applyAlignment="1">
      <alignment vertical="top" readingOrder="1"/>
    </xf>
    <xf numFmtId="0" fontId="20" fillId="5" borderId="12" xfId="3" applyFont="1" applyFill="1" applyBorder="1" applyAlignment="1">
      <alignment readingOrder="1"/>
    </xf>
    <xf numFmtId="0" fontId="21" fillId="5" borderId="12" xfId="3" applyFont="1" applyFill="1" applyBorder="1" applyAlignment="1">
      <alignment wrapText="1" readingOrder="1"/>
    </xf>
    <xf numFmtId="0" fontId="22" fillId="5" borderId="12" xfId="3" applyFont="1" applyFill="1" applyBorder="1" applyAlignment="1">
      <alignment wrapText="1" readingOrder="1"/>
    </xf>
    <xf numFmtId="0" fontId="20" fillId="13" borderId="12" xfId="3" applyFont="1" applyFill="1" applyBorder="1" applyAlignment="1">
      <alignment readingOrder="1"/>
    </xf>
    <xf numFmtId="0" fontId="23" fillId="13" borderId="12" xfId="3" applyFont="1" applyFill="1" applyBorder="1" applyAlignment="1">
      <alignment readingOrder="1"/>
    </xf>
    <xf numFmtId="0" fontId="22" fillId="13" borderId="12" xfId="3" applyFont="1" applyFill="1" applyBorder="1" applyAlignment="1">
      <alignment wrapText="1" readingOrder="1"/>
    </xf>
    <xf numFmtId="0" fontId="20" fillId="13" borderId="12" xfId="3" applyFont="1" applyFill="1" applyBorder="1" applyAlignment="1">
      <alignment vertical="top" readingOrder="1"/>
    </xf>
    <xf numFmtId="0" fontId="22" fillId="14" borderId="12" xfId="3" applyFont="1" applyFill="1" applyBorder="1" applyAlignment="1">
      <alignment wrapText="1" readingOrder="1"/>
    </xf>
    <xf numFmtId="0" fontId="20" fillId="14" borderId="12" xfId="3" applyFont="1" applyFill="1" applyBorder="1" applyAlignment="1">
      <alignment vertical="top" readingOrder="1"/>
    </xf>
    <xf numFmtId="0" fontId="20" fillId="5" borderId="12" xfId="3" applyFont="1" applyFill="1" applyBorder="1" applyAlignment="1">
      <alignment vertical="top" readingOrder="1"/>
    </xf>
    <xf numFmtId="0" fontId="20" fillId="5" borderId="12" xfId="3" applyFont="1" applyFill="1" applyBorder="1" applyAlignment="1">
      <alignment wrapText="1" readingOrder="1"/>
    </xf>
    <xf numFmtId="0" fontId="2" fillId="0" borderId="0" xfId="3" applyAlignment="1">
      <alignment horizontal="center"/>
    </xf>
    <xf numFmtId="0" fontId="24" fillId="15" borderId="12" xfId="3" applyFont="1" applyFill="1" applyBorder="1" applyAlignment="1">
      <alignment horizontal="center" wrapText="1" readingOrder="1"/>
    </xf>
    <xf numFmtId="0" fontId="24" fillId="15" borderId="20" xfId="3" applyFont="1" applyFill="1" applyBorder="1" applyAlignment="1">
      <alignment horizontal="center" wrapText="1" readingOrder="1"/>
    </xf>
    <xf numFmtId="0" fontId="24" fillId="15" borderId="12" xfId="3" applyFont="1" applyFill="1" applyBorder="1" applyAlignment="1">
      <alignment horizontal="center" vertical="top" readingOrder="1"/>
    </xf>
    <xf numFmtId="0" fontId="22" fillId="11" borderId="12" xfId="3" applyFont="1" applyFill="1" applyBorder="1" applyAlignment="1">
      <alignment vertical="top" readingOrder="1"/>
    </xf>
    <xf numFmtId="0" fontId="22" fillId="5" borderId="22" xfId="3" applyFont="1" applyFill="1" applyBorder="1" applyAlignment="1">
      <alignment vertical="top" readingOrder="1"/>
    </xf>
    <xf numFmtId="0" fontId="22" fillId="5" borderId="21" xfId="3" applyFont="1" applyFill="1" applyBorder="1" applyAlignment="1">
      <alignment vertical="top" readingOrder="1"/>
    </xf>
    <xf numFmtId="0" fontId="22" fillId="5" borderId="18" xfId="3" applyFont="1" applyFill="1" applyBorder="1" applyAlignment="1">
      <alignment vertical="top" readingOrder="1"/>
    </xf>
    <xf numFmtId="0" fontId="20" fillId="5" borderId="22" xfId="3" applyFont="1" applyFill="1" applyBorder="1" applyAlignment="1">
      <alignment vertical="top" readingOrder="1"/>
    </xf>
    <xf numFmtId="0" fontId="20" fillId="5" borderId="21" xfId="3" applyFont="1" applyFill="1" applyBorder="1" applyAlignment="1">
      <alignment vertical="top" readingOrder="1"/>
    </xf>
    <xf numFmtId="0" fontId="20" fillId="5" borderId="18" xfId="3" applyFont="1" applyFill="1" applyBorder="1" applyAlignment="1">
      <alignment vertical="top" readingOrder="1"/>
    </xf>
    <xf numFmtId="0" fontId="22" fillId="8" borderId="22" xfId="3" applyFont="1" applyFill="1" applyBorder="1" applyAlignment="1">
      <alignment vertical="top" readingOrder="1"/>
    </xf>
    <xf numFmtId="0" fontId="22" fillId="8" borderId="21" xfId="3" applyFont="1" applyFill="1" applyBorder="1" applyAlignment="1">
      <alignment vertical="top" readingOrder="1"/>
    </xf>
    <xf numFmtId="0" fontId="22" fillId="8" borderId="18" xfId="3" applyFont="1" applyFill="1" applyBorder="1" applyAlignment="1">
      <alignment vertical="top" readingOrder="1"/>
    </xf>
    <xf numFmtId="0" fontId="22" fillId="11" borderId="22" xfId="3" applyFont="1" applyFill="1" applyBorder="1" applyAlignment="1">
      <alignment vertical="top" readingOrder="1"/>
    </xf>
    <xf numFmtId="0" fontId="22" fillId="11" borderId="21" xfId="3" applyFont="1" applyFill="1" applyBorder="1" applyAlignment="1">
      <alignment vertical="top" readingOrder="1"/>
    </xf>
    <xf numFmtId="0" fontId="22" fillId="11" borderId="18" xfId="3" applyFont="1" applyFill="1" applyBorder="1" applyAlignment="1">
      <alignment vertical="top" readingOrder="1"/>
    </xf>
    <xf numFmtId="0" fontId="20" fillId="11" borderId="22" xfId="3" applyFont="1" applyFill="1" applyBorder="1" applyAlignment="1">
      <alignment vertical="top" readingOrder="1"/>
    </xf>
    <xf numFmtId="0" fontId="20" fillId="11" borderId="21" xfId="3" applyFont="1" applyFill="1" applyBorder="1" applyAlignment="1">
      <alignment vertical="top" readingOrder="1"/>
    </xf>
    <xf numFmtId="0" fontId="20" fillId="11" borderId="18" xfId="3" applyFont="1" applyFill="1" applyBorder="1" applyAlignment="1">
      <alignment vertical="top" readingOrder="1"/>
    </xf>
    <xf numFmtId="0" fontId="22" fillId="4" borderId="2" xfId="3" applyFont="1" applyFill="1" applyBorder="1" applyAlignment="1">
      <alignment horizontal="center" vertical="top" readingOrder="1"/>
    </xf>
    <xf numFmtId="0" fontId="22" fillId="4" borderId="22" xfId="3" applyFont="1" applyFill="1" applyBorder="1" applyAlignment="1">
      <alignment vertical="top" readingOrder="1"/>
    </xf>
    <xf numFmtId="0" fontId="22" fillId="4" borderId="24" xfId="3" applyFont="1" applyFill="1" applyBorder="1" applyAlignment="1">
      <alignment horizontal="center" vertical="top" readingOrder="1"/>
    </xf>
    <xf numFmtId="0" fontId="22" fillId="4" borderId="21" xfId="3" applyFont="1" applyFill="1" applyBorder="1" applyAlignment="1">
      <alignment vertical="top" readingOrder="1"/>
    </xf>
    <xf numFmtId="0" fontId="22" fillId="4" borderId="18" xfId="3" applyFont="1" applyFill="1" applyBorder="1" applyAlignment="1">
      <alignment vertical="top" readingOrder="1"/>
    </xf>
    <xf numFmtId="0" fontId="20" fillId="4" borderId="22" xfId="3" applyFont="1" applyFill="1" applyBorder="1" applyAlignment="1">
      <alignment vertical="top" readingOrder="1"/>
    </xf>
    <xf numFmtId="0" fontId="20" fillId="4" borderId="18" xfId="3" applyFont="1" applyFill="1" applyBorder="1" applyAlignment="1">
      <alignment vertical="top" readingOrder="1"/>
    </xf>
    <xf numFmtId="0" fontId="20" fillId="4" borderId="21" xfId="3" applyFont="1" applyFill="1" applyBorder="1" applyAlignment="1">
      <alignment vertical="top" readingOrder="1"/>
    </xf>
    <xf numFmtId="0" fontId="22" fillId="4" borderId="23" xfId="3" applyFont="1" applyFill="1" applyBorder="1" applyAlignment="1">
      <alignment horizontal="center" vertical="top" readingOrder="1"/>
    </xf>
    <xf numFmtId="0" fontId="22" fillId="10" borderId="22" xfId="3" applyFont="1" applyFill="1" applyBorder="1" applyAlignment="1">
      <alignment vertical="top" readingOrder="1"/>
    </xf>
    <xf numFmtId="0" fontId="22" fillId="10" borderId="21" xfId="3" applyFont="1" applyFill="1" applyBorder="1" applyAlignment="1">
      <alignment vertical="top" readingOrder="1"/>
    </xf>
    <xf numFmtId="0" fontId="22" fillId="10" borderId="18" xfId="3" applyFont="1" applyFill="1" applyBorder="1" applyAlignment="1">
      <alignment vertical="top" readingOrder="1"/>
    </xf>
    <xf numFmtId="0" fontId="20" fillId="10" borderId="22" xfId="3" applyFont="1" applyFill="1" applyBorder="1" applyAlignment="1">
      <alignment vertical="top" readingOrder="1"/>
    </xf>
    <xf numFmtId="0" fontId="20" fillId="10" borderId="21" xfId="3" applyFont="1" applyFill="1" applyBorder="1" applyAlignment="1">
      <alignment vertical="top" readingOrder="1"/>
    </xf>
    <xf numFmtId="0" fontId="20" fillId="10" borderId="18" xfId="3" applyFont="1" applyFill="1" applyBorder="1" applyAlignment="1">
      <alignment vertical="top" readingOrder="1"/>
    </xf>
    <xf numFmtId="0" fontId="22" fillId="9" borderId="22" xfId="3" applyFont="1" applyFill="1" applyBorder="1" applyAlignment="1">
      <alignment vertical="top" readingOrder="1"/>
    </xf>
    <xf numFmtId="0" fontId="22" fillId="9" borderId="21" xfId="3" applyFont="1" applyFill="1" applyBorder="1" applyAlignment="1">
      <alignment vertical="top" readingOrder="1"/>
    </xf>
    <xf numFmtId="0" fontId="22" fillId="9" borderId="18" xfId="3" applyFont="1" applyFill="1" applyBorder="1" applyAlignment="1">
      <alignment vertical="top" readingOrder="1"/>
    </xf>
    <xf numFmtId="0" fontId="22" fillId="6" borderId="22" xfId="3" applyFont="1" applyFill="1" applyBorder="1" applyAlignment="1">
      <alignment vertical="top" readingOrder="1"/>
    </xf>
    <xf numFmtId="0" fontId="20" fillId="6" borderId="22" xfId="3" applyFont="1" applyFill="1" applyBorder="1" applyAlignment="1">
      <alignment vertical="top" readingOrder="1"/>
    </xf>
    <xf numFmtId="0" fontId="22" fillId="6" borderId="21" xfId="3" applyFont="1" applyFill="1" applyBorder="1" applyAlignment="1">
      <alignment vertical="top" readingOrder="1"/>
    </xf>
    <xf numFmtId="0" fontId="20" fillId="6" borderId="21" xfId="3" applyFont="1" applyFill="1" applyBorder="1" applyAlignment="1">
      <alignment vertical="top" readingOrder="1"/>
    </xf>
    <xf numFmtId="0" fontId="22" fillId="6" borderId="18" xfId="3" applyFont="1" applyFill="1" applyBorder="1" applyAlignment="1">
      <alignment vertical="top" readingOrder="1"/>
    </xf>
    <xf numFmtId="0" fontId="20" fillId="6" borderId="18" xfId="3" applyFont="1" applyFill="1" applyBorder="1" applyAlignment="1">
      <alignment vertical="top" readingOrder="1"/>
    </xf>
    <xf numFmtId="0" fontId="22" fillId="4" borderId="19" xfId="3" applyFont="1" applyFill="1" applyBorder="1" applyAlignment="1">
      <alignment vertical="top" readingOrder="1"/>
    </xf>
    <xf numFmtId="0" fontId="22" fillId="12" borderId="22" xfId="3" applyFont="1" applyFill="1" applyBorder="1" applyAlignment="1">
      <alignment vertical="top" readingOrder="1"/>
    </xf>
    <xf numFmtId="0" fontId="22" fillId="12" borderId="21" xfId="3" applyFont="1" applyFill="1" applyBorder="1" applyAlignment="1">
      <alignment vertical="top" readingOrder="1"/>
    </xf>
    <xf numFmtId="0" fontId="22" fillId="12" borderId="18" xfId="3" applyFont="1" applyFill="1" applyBorder="1" applyAlignment="1">
      <alignment vertical="top" readingOrder="1"/>
    </xf>
    <xf numFmtId="0" fontId="7" fillId="0" borderId="0" xfId="0" applyFont="1" applyAlignment="1">
      <alignment vertical="center" wrapText="1"/>
    </xf>
    <xf numFmtId="0" fontId="7" fillId="0" borderId="0" xfId="0" applyFont="1" applyAlignment="1">
      <alignment horizontal="center" vertical="top"/>
    </xf>
    <xf numFmtId="0" fontId="6" fillId="16" borderId="2" xfId="0" applyFont="1" applyFill="1" applyBorder="1" applyAlignment="1">
      <alignment horizontal="center"/>
    </xf>
    <xf numFmtId="0" fontId="6" fillId="17" borderId="2" xfId="0" applyFont="1" applyFill="1" applyBorder="1" applyAlignment="1">
      <alignment horizontal="center"/>
    </xf>
    <xf numFmtId="49" fontId="6" fillId="18" borderId="2" xfId="0" applyNumberFormat="1" applyFont="1" applyFill="1" applyBorder="1" applyAlignment="1">
      <alignment horizontal="center"/>
    </xf>
    <xf numFmtId="0" fontId="6" fillId="18" borderId="2" xfId="0" applyFont="1" applyFill="1" applyBorder="1" applyAlignment="1">
      <alignment horizontal="left"/>
    </xf>
    <xf numFmtId="0" fontId="6" fillId="18" borderId="2" xfId="0" applyFont="1" applyFill="1" applyBorder="1" applyAlignment="1">
      <alignment horizontal="center"/>
    </xf>
    <xf numFmtId="0" fontId="6" fillId="19" borderId="2" xfId="0" applyFont="1" applyFill="1" applyBorder="1" applyAlignment="1">
      <alignment horizontal="center"/>
    </xf>
    <xf numFmtId="0" fontId="6" fillId="19" borderId="2" xfId="0" applyFont="1" applyFill="1" applyBorder="1" applyAlignment="1">
      <alignment horizontal="center" vertical="center"/>
    </xf>
    <xf numFmtId="0" fontId="12" fillId="20" borderId="25" xfId="0" applyFont="1" applyFill="1" applyBorder="1" applyAlignment="1">
      <alignment horizontal="center" vertical="center" wrapText="1"/>
    </xf>
    <xf numFmtId="49" fontId="25" fillId="2" borderId="2" xfId="0" applyNumberFormat="1" applyFont="1" applyFill="1" applyBorder="1" applyAlignment="1">
      <alignment horizontal="center" vertical="center"/>
    </xf>
    <xf numFmtId="0" fontId="25" fillId="2" borderId="2" xfId="0" applyFont="1" applyFill="1" applyBorder="1" applyAlignment="1">
      <alignment horizontal="center" vertical="center"/>
    </xf>
    <xf numFmtId="0" fontId="26" fillId="0" borderId="0" xfId="0" applyFont="1" applyAlignment="1">
      <alignment horizontal="center" vertical="center"/>
    </xf>
    <xf numFmtId="0" fontId="11" fillId="21" borderId="1" xfId="0" applyFont="1" applyFill="1" applyBorder="1" applyAlignment="1">
      <alignment horizontal="left" vertical="center" readingOrder="1"/>
    </xf>
    <xf numFmtId="0" fontId="11" fillId="25" borderId="0" xfId="0" applyFont="1" applyFill="1" applyAlignment="1">
      <alignment horizontal="left" vertical="center" readingOrder="1"/>
    </xf>
    <xf numFmtId="0" fontId="29" fillId="25" borderId="0" xfId="0" applyFont="1" applyFill="1" applyAlignment="1">
      <alignment horizontal="left" vertical="center" readingOrder="1"/>
    </xf>
    <xf numFmtId="0" fontId="11" fillId="22" borderId="0" xfId="0" applyFont="1" applyFill="1"/>
    <xf numFmtId="0" fontId="27" fillId="21" borderId="1" xfId="0" applyFont="1" applyFill="1" applyBorder="1" applyAlignment="1">
      <alignment horizontal="center" vertical="center" wrapText="1" readingOrder="1"/>
    </xf>
    <xf numFmtId="0" fontId="27" fillId="21" borderId="1" xfId="0" applyFont="1" applyFill="1" applyBorder="1" applyAlignment="1">
      <alignment horizontal="center" vertical="top" wrapText="1" readingOrder="1"/>
    </xf>
    <xf numFmtId="0" fontId="27" fillId="23" borderId="1" xfId="0" applyFont="1" applyFill="1" applyBorder="1" applyAlignment="1">
      <alignment horizontal="center" vertical="center" wrapText="1" readingOrder="1"/>
    </xf>
    <xf numFmtId="0" fontId="27" fillId="25" borderId="1" xfId="0" applyFont="1" applyFill="1" applyBorder="1" applyAlignment="1">
      <alignment horizontal="center" vertical="center" wrapText="1" readingOrder="1"/>
    </xf>
    <xf numFmtId="0" fontId="11" fillId="22" borderId="0" xfId="0" applyFont="1" applyFill="1" applyAlignment="1">
      <alignment horizontal="center" vertical="center"/>
    </xf>
    <xf numFmtId="0" fontId="11" fillId="0" borderId="1" xfId="0" applyFont="1" applyBorder="1" applyAlignment="1">
      <alignment vertical="top" wrapText="1" readingOrder="1"/>
    </xf>
    <xf numFmtId="0" fontId="11" fillId="0" borderId="0" xfId="0" applyFont="1" applyAlignment="1">
      <alignment vertical="top"/>
    </xf>
    <xf numFmtId="0" fontId="11" fillId="0" borderId="1" xfId="0" quotePrefix="1" applyFont="1" applyBorder="1" applyAlignment="1">
      <alignment vertical="top" wrapText="1" readingOrder="1"/>
    </xf>
    <xf numFmtId="0" fontId="11" fillId="0" borderId="0" xfId="0" applyFont="1" applyAlignment="1">
      <alignment horizontal="left"/>
    </xf>
    <xf numFmtId="0" fontId="11" fillId="0" borderId="0" xfId="0" applyFont="1"/>
    <xf numFmtId="0" fontId="11" fillId="0" borderId="1" xfId="0" applyFont="1" applyBorder="1" applyAlignment="1">
      <alignment horizontal="left"/>
    </xf>
    <xf numFmtId="0" fontId="11" fillId="0" borderId="1" xfId="0" applyFont="1" applyBorder="1"/>
    <xf numFmtId="0" fontId="11" fillId="0" borderId="28" xfId="0" applyFont="1" applyBorder="1" applyAlignment="1">
      <alignment vertical="top" wrapText="1" readingOrder="1"/>
    </xf>
    <xf numFmtId="0" fontId="11" fillId="0" borderId="2" xfId="0" applyFont="1" applyBorder="1" applyAlignment="1">
      <alignment vertical="top" wrapText="1" readingOrder="1"/>
    </xf>
    <xf numFmtId="0" fontId="11" fillId="0" borderId="28" xfId="0" applyFont="1" applyBorder="1" applyAlignment="1">
      <alignment horizontal="left"/>
    </xf>
    <xf numFmtId="0" fontId="11" fillId="0" borderId="27" xfId="0" applyFont="1" applyBorder="1" applyAlignment="1">
      <alignment horizontal="left"/>
    </xf>
    <xf numFmtId="0" fontId="11" fillId="0" borderId="1" xfId="0" quotePrefix="1" applyFont="1" applyBorder="1" applyAlignment="1">
      <alignment horizontal="left" wrapText="1"/>
    </xf>
    <xf numFmtId="0" fontId="11" fillId="0" borderId="0" xfId="0" applyFont="1" applyAlignment="1">
      <alignment vertical="top" wrapText="1"/>
    </xf>
    <xf numFmtId="0" fontId="11" fillId="0" borderId="28" xfId="0" quotePrefix="1" applyFont="1" applyBorder="1" applyAlignment="1">
      <alignment vertical="top" wrapText="1" readingOrder="1"/>
    </xf>
    <xf numFmtId="0" fontId="11" fillId="0" borderId="27" xfId="0" applyFont="1" applyBorder="1" applyAlignment="1">
      <alignment vertical="top" wrapText="1" readingOrder="1"/>
    </xf>
    <xf numFmtId="0" fontId="11" fillId="0" borderId="23" xfId="0" applyFont="1" applyBorder="1" applyAlignment="1">
      <alignment vertical="top" wrapText="1" readingOrder="1"/>
    </xf>
    <xf numFmtId="0" fontId="11" fillId="0" borderId="24" xfId="0" applyFont="1" applyBorder="1" applyAlignment="1">
      <alignment vertical="top" wrapText="1" readingOrder="1"/>
    </xf>
    <xf numFmtId="0" fontId="11" fillId="0" borderId="27" xfId="0" quotePrefix="1" applyFont="1" applyBorder="1" applyAlignment="1">
      <alignment vertical="top" wrapText="1" readingOrder="1"/>
    </xf>
    <xf numFmtId="0" fontId="11" fillId="0" borderId="1" xfId="0" applyFont="1" applyBorder="1" applyAlignment="1">
      <alignment vertical="top"/>
    </xf>
    <xf numFmtId="0" fontId="27" fillId="25" borderId="28" xfId="0" applyFont="1" applyFill="1" applyBorder="1" applyAlignment="1">
      <alignment horizontal="center" vertical="center" wrapText="1" readingOrder="1"/>
    </xf>
    <xf numFmtId="0" fontId="11" fillId="0" borderId="29" xfId="0" applyFont="1" applyBorder="1" applyAlignment="1">
      <alignment vertical="top" wrapText="1" readingOrder="1"/>
    </xf>
    <xf numFmtId="0" fontId="11" fillId="0" borderId="28" xfId="0" applyFont="1" applyBorder="1"/>
    <xf numFmtId="0" fontId="32" fillId="0" borderId="1" xfId="0" applyFont="1" applyBorder="1"/>
    <xf numFmtId="0" fontId="33" fillId="0" borderId="0" xfId="0" applyFont="1"/>
    <xf numFmtId="0" fontId="0" fillId="0" borderId="0" xfId="4" applyFont="1"/>
    <xf numFmtId="0" fontId="0" fillId="0" borderId="0" xfId="4" applyFont="1" applyAlignment="1">
      <alignment horizontal="center"/>
    </xf>
    <xf numFmtId="0" fontId="35" fillId="27" borderId="25" xfId="4" applyFont="1" applyFill="1" applyBorder="1" applyAlignment="1">
      <alignment horizontal="center" vertical="top" wrapText="1"/>
    </xf>
    <xf numFmtId="0" fontId="35" fillId="27" borderId="25" xfId="4" applyFont="1" applyFill="1" applyBorder="1" applyAlignment="1">
      <alignment horizontal="left" vertical="top" wrapText="1"/>
    </xf>
    <xf numFmtId="0" fontId="35" fillId="27" borderId="33" xfId="4" applyFont="1" applyFill="1" applyBorder="1" applyAlignment="1">
      <alignment horizontal="left" vertical="top" wrapText="1"/>
    </xf>
    <xf numFmtId="0" fontId="36" fillId="28" borderId="0" xfId="4" applyFont="1" applyFill="1" applyAlignment="1">
      <alignment horizontal="center" vertical="center" wrapText="1"/>
    </xf>
    <xf numFmtId="0" fontId="35" fillId="27" borderId="34" xfId="4" applyFont="1" applyFill="1" applyBorder="1" applyAlignment="1">
      <alignment horizontal="left" vertical="center" wrapText="1"/>
    </xf>
    <xf numFmtId="0" fontId="35" fillId="27" borderId="25" xfId="4" applyFont="1" applyFill="1" applyBorder="1" applyAlignment="1">
      <alignment horizontal="left" vertical="center" wrapText="1"/>
    </xf>
    <xf numFmtId="0" fontId="37" fillId="27" borderId="25" xfId="4" applyFont="1" applyFill="1" applyBorder="1" applyAlignment="1">
      <alignment horizontal="center" vertical="center"/>
    </xf>
    <xf numFmtId="0" fontId="35" fillId="0" borderId="25" xfId="4" applyFont="1" applyBorder="1" applyAlignment="1">
      <alignment horizontal="center" vertical="center"/>
    </xf>
    <xf numFmtId="0" fontId="35" fillId="0" borderId="25" xfId="4" applyFont="1" applyBorder="1" applyAlignment="1">
      <alignment horizontal="center" vertical="top" wrapText="1"/>
    </xf>
    <xf numFmtId="0" fontId="35" fillId="0" borderId="25" xfId="4" applyFont="1" applyBorder="1" applyAlignment="1">
      <alignment horizontal="left" vertical="top" wrapText="1"/>
    </xf>
    <xf numFmtId="0" fontId="35" fillId="0" borderId="33" xfId="4" applyFont="1" applyBorder="1" applyAlignment="1">
      <alignment horizontal="left" vertical="top" wrapText="1"/>
    </xf>
    <xf numFmtId="0" fontId="38" fillId="28" borderId="0" xfId="4" applyFont="1" applyFill="1" applyAlignment="1">
      <alignment horizontal="center" vertical="center" wrapText="1"/>
    </xf>
    <xf numFmtId="0" fontId="35" fillId="0" borderId="34" xfId="4" applyFont="1" applyBorder="1" applyAlignment="1">
      <alignment horizontal="left" vertical="center" wrapText="1"/>
    </xf>
    <xf numFmtId="0" fontId="35" fillId="0" borderId="25" xfId="4" applyFont="1" applyBorder="1" applyAlignment="1">
      <alignment horizontal="left" vertical="center" wrapText="1"/>
    </xf>
    <xf numFmtId="0" fontId="37" fillId="0" borderId="25" xfId="4" applyFont="1" applyBorder="1" applyAlignment="1">
      <alignment horizontal="center" vertical="center"/>
    </xf>
    <xf numFmtId="0" fontId="42" fillId="29" borderId="0" xfId="4" applyFont="1" applyFill="1" applyAlignment="1">
      <alignment horizontal="center" vertical="center" wrapText="1"/>
    </xf>
    <xf numFmtId="0" fontId="43" fillId="29" borderId="0" xfId="4" applyFont="1" applyFill="1" applyAlignment="1">
      <alignment horizontal="center" vertical="center" wrapText="1"/>
    </xf>
    <xf numFmtId="0" fontId="0" fillId="0" borderId="0" xfId="4" applyFont="1" applyAlignment="1">
      <alignment vertical="center"/>
    </xf>
    <xf numFmtId="0" fontId="45" fillId="30" borderId="35" xfId="4" applyFont="1" applyFill="1" applyBorder="1" applyAlignment="1">
      <alignment horizontal="center" vertical="center" wrapText="1"/>
    </xf>
    <xf numFmtId="0" fontId="46" fillId="30" borderId="36" xfId="4" applyFont="1" applyFill="1" applyBorder="1" applyAlignment="1">
      <alignment horizontal="center" vertical="center" wrapText="1"/>
    </xf>
    <xf numFmtId="0" fontId="46" fillId="30" borderId="37" xfId="4" applyFont="1" applyFill="1" applyBorder="1" applyAlignment="1">
      <alignment horizontal="center" vertical="center" wrapText="1"/>
    </xf>
    <xf numFmtId="0" fontId="47" fillId="0" borderId="0" xfId="4" applyFont="1"/>
    <xf numFmtId="0" fontId="30" fillId="30" borderId="35" xfId="4" applyFont="1" applyFill="1" applyBorder="1" applyAlignment="1">
      <alignment horizontal="center" vertical="center" wrapText="1"/>
    </xf>
    <xf numFmtId="0" fontId="30" fillId="30" borderId="0" xfId="4" applyFont="1" applyFill="1" applyAlignment="1">
      <alignment horizontal="center" vertical="center" wrapText="1"/>
    </xf>
    <xf numFmtId="49" fontId="49" fillId="2" borderId="2" xfId="0" applyNumberFormat="1" applyFont="1" applyFill="1" applyBorder="1" applyAlignment="1">
      <alignment horizontal="center" vertical="center"/>
    </xf>
    <xf numFmtId="0" fontId="49" fillId="2" borderId="2" xfId="0" applyFont="1" applyFill="1" applyBorder="1" applyAlignment="1">
      <alignment horizontal="center" vertical="center"/>
    </xf>
    <xf numFmtId="0" fontId="49" fillId="2" borderId="2" xfId="0" applyFont="1" applyFill="1" applyBorder="1" applyAlignment="1">
      <alignment horizontal="left" vertical="center"/>
    </xf>
    <xf numFmtId="0" fontId="49" fillId="2" borderId="2" xfId="0" applyFont="1" applyFill="1" applyBorder="1" applyAlignment="1">
      <alignment horizontal="left" vertical="center" wrapText="1"/>
    </xf>
    <xf numFmtId="0" fontId="31" fillId="0" borderId="0" xfId="0" applyFont="1" applyAlignment="1">
      <alignment vertical="center"/>
    </xf>
    <xf numFmtId="0" fontId="50" fillId="0" borderId="1" xfId="0" applyFont="1" applyBorder="1" applyAlignment="1">
      <alignment horizontal="center" vertical="center"/>
    </xf>
    <xf numFmtId="0" fontId="50" fillId="0" borderId="1" xfId="0" applyFont="1" applyBorder="1" applyAlignment="1">
      <alignment vertical="center"/>
    </xf>
    <xf numFmtId="0" fontId="50" fillId="0" borderId="1" xfId="0" applyFont="1" applyBorder="1" applyAlignment="1">
      <alignment vertical="center" wrapText="1"/>
    </xf>
    <xf numFmtId="0" fontId="50" fillId="0" borderId="0" xfId="0" applyFont="1" applyAlignment="1">
      <alignment horizontal="center" vertical="center"/>
    </xf>
    <xf numFmtId="0" fontId="50" fillId="0" borderId="0" xfId="0" applyFont="1" applyAlignment="1">
      <alignment vertical="center"/>
    </xf>
    <xf numFmtId="0" fontId="50" fillId="0" borderId="0" xfId="0" applyFont="1" applyAlignment="1">
      <alignment vertical="center" wrapText="1"/>
    </xf>
    <xf numFmtId="0" fontId="31" fillId="0" borderId="0" xfId="0" applyFont="1" applyAlignment="1">
      <alignment horizontal="center" vertical="center"/>
    </xf>
    <xf numFmtId="0" fontId="31" fillId="0" borderId="0" xfId="0" applyFont="1" applyAlignment="1">
      <alignment vertical="center" wrapText="1"/>
    </xf>
    <xf numFmtId="0" fontId="31" fillId="0" borderId="0" xfId="0" applyFont="1" applyAlignment="1">
      <alignment horizontal="left" vertical="center"/>
    </xf>
    <xf numFmtId="0" fontId="55" fillId="0" borderId="0" xfId="0" applyFont="1" applyAlignment="1">
      <alignment horizontal="center" vertical="center"/>
    </xf>
    <xf numFmtId="0" fontId="55" fillId="0" borderId="0" xfId="0" applyFont="1" applyAlignment="1">
      <alignment vertical="center"/>
    </xf>
    <xf numFmtId="0" fontId="31" fillId="0" borderId="0" xfId="0" applyFont="1" applyAlignment="1">
      <alignment horizontal="left" vertical="center" wrapText="1"/>
    </xf>
    <xf numFmtId="0" fontId="11" fillId="12" borderId="1" xfId="0" applyFont="1" applyFill="1" applyBorder="1" applyAlignment="1">
      <alignment vertical="top" wrapText="1" readingOrder="1"/>
    </xf>
    <xf numFmtId="0" fontId="55" fillId="0" borderId="0" xfId="0" applyFont="1" applyAlignment="1">
      <alignment horizontal="left" vertical="center"/>
    </xf>
    <xf numFmtId="0" fontId="56" fillId="21" borderId="29" xfId="0" applyFont="1" applyFill="1" applyBorder="1" applyAlignment="1">
      <alignment vertical="center"/>
    </xf>
    <xf numFmtId="0" fontId="56" fillId="21" borderId="30" xfId="0" applyFont="1" applyFill="1" applyBorder="1" applyAlignment="1">
      <alignment vertical="center" wrapText="1"/>
    </xf>
    <xf numFmtId="0" fontId="56" fillId="24" borderId="30" xfId="0" applyFont="1" applyFill="1" applyBorder="1" applyAlignment="1">
      <alignment vertical="center" wrapText="1"/>
    </xf>
    <xf numFmtId="0" fontId="56" fillId="24" borderId="30" xfId="0" applyFont="1" applyFill="1" applyBorder="1" applyAlignment="1">
      <alignment vertical="center"/>
    </xf>
    <xf numFmtId="0" fontId="57" fillId="24" borderId="32" xfId="0" applyFont="1" applyFill="1" applyBorder="1" applyAlignment="1">
      <alignment vertical="center"/>
    </xf>
    <xf numFmtId="0" fontId="56" fillId="24" borderId="29" xfId="0" applyFont="1" applyFill="1" applyBorder="1" applyAlignment="1">
      <alignment vertical="center" wrapText="1"/>
    </xf>
    <xf numFmtId="0" fontId="56" fillId="24" borderId="2" xfId="0" applyFont="1" applyFill="1" applyBorder="1" applyAlignment="1">
      <alignment vertical="center" wrapText="1"/>
    </xf>
    <xf numFmtId="0" fontId="58" fillId="24" borderId="31" xfId="0" applyFont="1" applyFill="1" applyBorder="1" applyAlignment="1">
      <alignment vertical="center" wrapText="1"/>
    </xf>
    <xf numFmtId="0" fontId="58" fillId="24" borderId="0" xfId="0" applyFont="1" applyFill="1" applyAlignment="1">
      <alignment vertical="center" wrapText="1"/>
    </xf>
    <xf numFmtId="0" fontId="60" fillId="0" borderId="1" xfId="0" applyFont="1" applyBorder="1" applyAlignment="1">
      <alignment vertical="center" wrapText="1"/>
    </xf>
    <xf numFmtId="0" fontId="61" fillId="0" borderId="1" xfId="0" applyFont="1" applyBorder="1" applyAlignment="1">
      <alignment vertical="center" wrapText="1"/>
    </xf>
    <xf numFmtId="0" fontId="56" fillId="0" borderId="0" xfId="0" applyFont="1" applyAlignment="1">
      <alignment vertical="center"/>
    </xf>
    <xf numFmtId="0" fontId="56" fillId="0" borderId="1" xfId="0" applyFont="1" applyBorder="1" applyAlignment="1">
      <alignment vertical="center" wrapText="1"/>
    </xf>
    <xf numFmtId="0" fontId="56" fillId="0" borderId="1" xfId="0" quotePrefix="1" applyFont="1" applyBorder="1" applyAlignment="1">
      <alignment vertical="center" wrapText="1"/>
    </xf>
    <xf numFmtId="0" fontId="56" fillId="0" borderId="1" xfId="0" applyFont="1" applyBorder="1" applyAlignment="1">
      <alignment vertical="center"/>
    </xf>
    <xf numFmtId="0" fontId="56" fillId="12" borderId="1" xfId="0" applyFont="1" applyFill="1" applyBorder="1" applyAlignment="1">
      <alignment vertical="center" wrapText="1"/>
    </xf>
    <xf numFmtId="0" fontId="60" fillId="0" borderId="2" xfId="0" applyFont="1" applyBorder="1" applyAlignment="1">
      <alignment vertical="center" wrapText="1"/>
    </xf>
    <xf numFmtId="0" fontId="62" fillId="0" borderId="1" xfId="0" applyFont="1" applyBorder="1" applyAlignment="1">
      <alignment vertical="center"/>
    </xf>
    <xf numFmtId="0" fontId="60" fillId="0" borderId="28" xfId="0" applyFont="1" applyBorder="1" applyAlignment="1">
      <alignment vertical="center" wrapText="1"/>
    </xf>
    <xf numFmtId="0" fontId="60" fillId="0" borderId="27" xfId="0" applyFont="1" applyBorder="1" applyAlignment="1">
      <alignment vertical="center" wrapText="1"/>
    </xf>
    <xf numFmtId="0" fontId="60" fillId="0" borderId="23" xfId="0" applyFont="1" applyBorder="1" applyAlignment="1">
      <alignment vertical="center" wrapText="1"/>
    </xf>
    <xf numFmtId="0" fontId="61" fillId="0" borderId="1" xfId="0" applyFont="1" applyBorder="1" applyAlignment="1">
      <alignment vertical="center"/>
    </xf>
    <xf numFmtId="0" fontId="60" fillId="0" borderId="1" xfId="0" applyFont="1" applyBorder="1" applyAlignment="1">
      <alignment vertical="center"/>
    </xf>
    <xf numFmtId="0" fontId="56" fillId="12" borderId="1" xfId="0" applyFont="1" applyFill="1" applyBorder="1" applyAlignment="1">
      <alignment vertical="center"/>
    </xf>
    <xf numFmtId="0" fontId="56" fillId="12" borderId="1" xfId="0" quotePrefix="1" applyFont="1" applyFill="1" applyBorder="1" applyAlignment="1">
      <alignment vertical="center" wrapText="1"/>
    </xf>
    <xf numFmtId="0" fontId="56" fillId="0" borderId="1" xfId="0" quotePrefix="1" applyFont="1" applyBorder="1" applyAlignment="1">
      <alignment vertical="center"/>
    </xf>
    <xf numFmtId="0" fontId="63" fillId="0" borderId="1" xfId="0" applyFont="1" applyBorder="1" applyAlignment="1">
      <alignment vertical="center" wrapText="1"/>
    </xf>
    <xf numFmtId="0" fontId="63" fillId="0" borderId="23" xfId="0" applyFont="1" applyBorder="1" applyAlignment="1">
      <alignment vertical="center" wrapText="1"/>
    </xf>
    <xf numFmtId="0" fontId="56" fillId="22" borderId="1" xfId="0" applyFont="1" applyFill="1" applyBorder="1" applyAlignment="1">
      <alignment vertical="center" wrapText="1"/>
    </xf>
    <xf numFmtId="0" fontId="58" fillId="24" borderId="1" xfId="0" applyFont="1" applyFill="1" applyBorder="1" applyAlignment="1">
      <alignment vertical="center" wrapText="1" readingOrder="1"/>
    </xf>
    <xf numFmtId="0" fontId="56" fillId="0" borderId="23" xfId="0" applyFont="1" applyBorder="1" applyAlignment="1">
      <alignment vertical="center" wrapText="1"/>
    </xf>
    <xf numFmtId="0" fontId="56" fillId="21" borderId="1" xfId="0" applyFont="1" applyFill="1" applyBorder="1" applyAlignment="1">
      <alignment vertical="center"/>
    </xf>
    <xf numFmtId="0" fontId="56" fillId="21" borderId="1" xfId="0" applyFont="1" applyFill="1" applyBorder="1" applyAlignment="1">
      <alignment vertical="center" wrapText="1"/>
    </xf>
    <xf numFmtId="49" fontId="58" fillId="21" borderId="1" xfId="0" applyNumberFormat="1" applyFont="1" applyFill="1" applyBorder="1" applyAlignment="1">
      <alignment vertical="center"/>
    </xf>
    <xf numFmtId="0" fontId="58" fillId="21" borderId="1" xfId="0" applyFont="1" applyFill="1" applyBorder="1" applyAlignment="1">
      <alignment vertical="center" wrapText="1"/>
    </xf>
    <xf numFmtId="0" fontId="59" fillId="21" borderId="1" xfId="0" applyFont="1" applyFill="1" applyBorder="1" applyAlignment="1">
      <alignment vertical="center" wrapText="1"/>
    </xf>
    <xf numFmtId="0" fontId="58" fillId="24" borderId="1" xfId="0" applyFont="1" applyFill="1" applyBorder="1" applyAlignment="1">
      <alignment vertical="center" readingOrder="1"/>
    </xf>
    <xf numFmtId="0" fontId="61" fillId="0" borderId="23" xfId="0" applyFont="1" applyBorder="1" applyAlignment="1">
      <alignment vertical="center" wrapText="1"/>
    </xf>
    <xf numFmtId="0" fontId="56" fillId="0" borderId="23" xfId="0" quotePrefix="1" applyFont="1" applyBorder="1" applyAlignment="1">
      <alignment vertical="center" wrapText="1"/>
    </xf>
    <xf numFmtId="0" fontId="56" fillId="0" borderId="23" xfId="0" applyFont="1" applyBorder="1" applyAlignment="1">
      <alignment vertical="center"/>
    </xf>
    <xf numFmtId="0" fontId="64" fillId="0" borderId="23" xfId="9" applyBorder="1" applyAlignment="1">
      <alignment vertical="center" wrapText="1"/>
    </xf>
    <xf numFmtId="0" fontId="61" fillId="0" borderId="27" xfId="0" applyFont="1" applyBorder="1" applyAlignment="1">
      <alignment vertical="center" wrapText="1"/>
    </xf>
    <xf numFmtId="0" fontId="64" fillId="0" borderId="1" xfId="9" applyBorder="1" applyAlignment="1">
      <alignment vertical="center" wrapText="1"/>
    </xf>
    <xf numFmtId="0" fontId="61" fillId="0" borderId="2" xfId="0" applyFont="1" applyBorder="1" applyAlignment="1">
      <alignment vertical="center" wrapText="1"/>
    </xf>
    <xf numFmtId="0" fontId="62" fillId="0" borderId="2" xfId="0" applyFont="1" applyBorder="1" applyAlignment="1">
      <alignment vertical="center"/>
    </xf>
    <xf numFmtId="0" fontId="56" fillId="0" borderId="2" xfId="0" applyFont="1" applyBorder="1" applyAlignment="1">
      <alignment vertical="center" wrapText="1"/>
    </xf>
    <xf numFmtId="0" fontId="56" fillId="12" borderId="2" xfId="0" applyFont="1" applyFill="1" applyBorder="1" applyAlignment="1">
      <alignment vertical="center" wrapText="1"/>
    </xf>
    <xf numFmtId="0" fontId="56" fillId="0" borderId="2" xfId="0" applyFont="1" applyBorder="1" applyAlignment="1">
      <alignment vertical="center"/>
    </xf>
    <xf numFmtId="0" fontId="56" fillId="0" borderId="2" xfId="0" quotePrefix="1" applyFont="1" applyBorder="1" applyAlignment="1">
      <alignment vertical="center" wrapText="1"/>
    </xf>
    <xf numFmtId="0" fontId="61" fillId="0" borderId="38" xfId="0" applyFont="1" applyBorder="1" applyAlignment="1">
      <alignment vertical="center" wrapText="1"/>
    </xf>
    <xf numFmtId="0" fontId="62" fillId="0" borderId="23" xfId="0" applyFont="1" applyBorder="1" applyAlignment="1">
      <alignment vertical="center"/>
    </xf>
    <xf numFmtId="0" fontId="61" fillId="0" borderId="39" xfId="0" applyFont="1" applyBorder="1" applyAlignment="1">
      <alignment vertical="center" wrapText="1"/>
    </xf>
    <xf numFmtId="0" fontId="60" fillId="0" borderId="38" xfId="0" applyFont="1" applyBorder="1" applyAlignment="1">
      <alignment vertical="center" wrapText="1"/>
    </xf>
    <xf numFmtId="0" fontId="56" fillId="22" borderId="23" xfId="0" applyFont="1" applyFill="1" applyBorder="1" applyAlignment="1">
      <alignment vertical="center" wrapText="1"/>
    </xf>
    <xf numFmtId="0" fontId="65" fillId="0" borderId="1" xfId="9" applyFont="1" applyBorder="1" applyAlignment="1">
      <alignment wrapText="1"/>
    </xf>
    <xf numFmtId="0" fontId="65" fillId="31" borderId="1" xfId="9" applyFont="1" applyFill="1" applyBorder="1" applyAlignment="1">
      <alignment wrapText="1"/>
    </xf>
    <xf numFmtId="0" fontId="56" fillId="32" borderId="1" xfId="0" applyFont="1" applyFill="1" applyBorder="1" applyAlignment="1">
      <alignment vertical="center" wrapText="1"/>
    </xf>
    <xf numFmtId="0" fontId="58" fillId="32" borderId="1" xfId="0" applyFont="1" applyFill="1" applyBorder="1" applyAlignment="1">
      <alignment vertical="center" wrapText="1"/>
    </xf>
    <xf numFmtId="0" fontId="58" fillId="32" borderId="1" xfId="0" applyFont="1" applyFill="1" applyBorder="1" applyAlignment="1">
      <alignment vertical="center" wrapText="1" readingOrder="1"/>
    </xf>
    <xf numFmtId="0" fontId="57" fillId="32" borderId="1" xfId="0" applyFont="1" applyFill="1" applyBorder="1" applyAlignment="1">
      <alignment vertical="center" wrapText="1"/>
    </xf>
    <xf numFmtId="0" fontId="65" fillId="31" borderId="27" xfId="9" applyFont="1" applyFill="1" applyBorder="1" applyAlignment="1">
      <alignment wrapText="1"/>
    </xf>
    <xf numFmtId="0" fontId="56" fillId="0" borderId="27" xfId="0" applyFont="1" applyBorder="1" applyAlignment="1">
      <alignment vertical="center" wrapText="1"/>
    </xf>
    <xf numFmtId="0" fontId="65" fillId="0" borderId="27" xfId="9" applyFont="1" applyBorder="1" applyAlignment="1">
      <alignment wrapText="1"/>
    </xf>
    <xf numFmtId="0" fontId="60" fillId="0" borderId="24" xfId="0" applyFont="1" applyBorder="1" applyAlignment="1">
      <alignment vertical="center" wrapText="1"/>
    </xf>
    <xf numFmtId="0" fontId="62" fillId="0" borderId="24" xfId="0" applyFont="1" applyBorder="1" applyAlignment="1">
      <alignment vertical="center"/>
    </xf>
    <xf numFmtId="0" fontId="61" fillId="0" borderId="24" xfId="0" applyFont="1" applyBorder="1" applyAlignment="1">
      <alignment vertical="center" wrapText="1"/>
    </xf>
    <xf numFmtId="0" fontId="60" fillId="0" borderId="31" xfId="0" applyFont="1" applyBorder="1" applyAlignment="1">
      <alignment vertical="center" wrapText="1"/>
    </xf>
    <xf numFmtId="0" fontId="56" fillId="0" borderId="24" xfId="0" applyFont="1" applyBorder="1" applyAlignment="1">
      <alignment vertical="center" wrapText="1"/>
    </xf>
    <xf numFmtId="0" fontId="61" fillId="0" borderId="40" xfId="0" applyFont="1" applyBorder="1" applyAlignment="1">
      <alignment vertical="center" wrapText="1"/>
    </xf>
    <xf numFmtId="0" fontId="56" fillId="0" borderId="24" xfId="0" quotePrefix="1" applyFont="1" applyBorder="1" applyAlignment="1">
      <alignment vertical="center" wrapText="1"/>
    </xf>
    <xf numFmtId="0" fontId="56" fillId="0" borderId="39" xfId="0" applyFont="1" applyBorder="1" applyAlignment="1">
      <alignment vertical="center" wrapText="1"/>
    </xf>
    <xf numFmtId="0" fontId="65" fillId="31" borderId="1" xfId="9" applyFont="1" applyFill="1" applyBorder="1" applyAlignment="1">
      <alignment horizontal="left" vertical="top" wrapText="1"/>
    </xf>
    <xf numFmtId="0" fontId="0" fillId="0" borderId="1" xfId="0" applyBorder="1" applyAlignment="1">
      <alignment horizontal="left" vertical="center"/>
    </xf>
    <xf numFmtId="0" fontId="57" fillId="24" borderId="30" xfId="0" applyFont="1" applyFill="1" applyBorder="1" applyAlignment="1">
      <alignment vertical="center" wrapText="1"/>
    </xf>
    <xf numFmtId="0" fontId="57" fillId="24" borderId="32" xfId="0" applyFont="1" applyFill="1" applyBorder="1" applyAlignment="1">
      <alignment vertical="center" wrapText="1"/>
    </xf>
    <xf numFmtId="0" fontId="57" fillId="24" borderId="1" xfId="0" applyFont="1" applyFill="1" applyBorder="1" applyAlignment="1">
      <alignment horizontal="center" vertical="center" wrapText="1"/>
    </xf>
    <xf numFmtId="0" fontId="28" fillId="23" borderId="28" xfId="0" applyFont="1" applyFill="1" applyBorder="1" applyAlignment="1">
      <alignment horizontal="center" vertical="center" wrapText="1" readingOrder="1"/>
    </xf>
    <xf numFmtId="0" fontId="28" fillId="23" borderId="26" xfId="0" applyFont="1" applyFill="1" applyBorder="1" applyAlignment="1">
      <alignment horizontal="center" vertical="center" wrapText="1" readingOrder="1"/>
    </xf>
    <xf numFmtId="0" fontId="28" fillId="23" borderId="27" xfId="0" applyFont="1" applyFill="1" applyBorder="1" applyAlignment="1">
      <alignment horizontal="center" vertical="center" wrapText="1" readingOrder="1"/>
    </xf>
    <xf numFmtId="0" fontId="29" fillId="26" borderId="2" xfId="0" applyFont="1" applyFill="1" applyBorder="1" applyAlignment="1">
      <alignment horizontal="center" vertical="center"/>
    </xf>
    <xf numFmtId="0" fontId="29" fillId="26" borderId="23" xfId="0" applyFont="1" applyFill="1" applyBorder="1" applyAlignment="1">
      <alignment horizontal="center" vertical="center"/>
    </xf>
    <xf numFmtId="0" fontId="48" fillId="0" borderId="0" xfId="4" applyFont="1" applyAlignment="1">
      <alignment horizontal="center"/>
    </xf>
  </cellXfs>
  <cellStyles count="10">
    <cellStyle name="Hyperlink" xfId="9" builtinId="8"/>
    <cellStyle name="Normal" xfId="0" builtinId="0"/>
    <cellStyle name="Normal 2" xfId="1" xr:uid="{C1812EEB-7360-4AEA-BDB4-0A5CF0BB5D1F}"/>
    <cellStyle name="Normal 2 2" xfId="4" xr:uid="{671E78CC-7AA4-4EF4-A26F-AE92BB512CFA}"/>
    <cellStyle name="Normal 2 3" xfId="6" xr:uid="{D9D89EA9-D530-41B7-B165-D33E58C23D50}"/>
    <cellStyle name="Normal 3" xfId="2" xr:uid="{85E6C00D-BA95-423E-A1A0-4C3BD5638979}"/>
    <cellStyle name="Normal 3 2" xfId="7" xr:uid="{E20D31E6-0DF1-4751-A93D-263CF34F527D}"/>
    <cellStyle name="Normal 4" xfId="3" xr:uid="{6B70F998-402D-485F-94F3-F20F15EFF4BE}"/>
    <cellStyle name="Normal 4 2" xfId="8" xr:uid="{2E50247E-55F0-4D9B-A847-302E41C6EB12}"/>
    <cellStyle name="Normal 5" xfId="5" xr:uid="{ACA1183C-A90F-47D1-8868-264899B79B0B}"/>
  </cellStyles>
  <dxfs count="7">
    <dxf>
      <font>
        <b/>
        <sz val="10"/>
        <color rgb="FFA62C2A"/>
        <name val="Segoe UI"/>
        <charset val="1"/>
      </font>
      <fill>
        <patternFill>
          <bgColor rgb="FFFADBD8"/>
        </patternFill>
      </fill>
    </dxf>
    <dxf>
      <font>
        <b/>
        <sz val="10"/>
        <color rgb="FF005C76"/>
        <name val="Segoe UI"/>
        <charset val="1"/>
      </font>
      <fill>
        <patternFill>
          <bgColor rgb="FFCCE1E7"/>
        </patternFill>
      </fill>
    </dxf>
    <dxf>
      <font>
        <b/>
        <sz val="10"/>
        <color rgb="FFA62C2A"/>
        <name val="Segoe UI"/>
        <charset val="1"/>
      </font>
      <fill>
        <patternFill>
          <bgColor rgb="FFFADBD8"/>
        </patternFill>
      </fill>
    </dxf>
    <dxf>
      <font>
        <b/>
        <sz val="10"/>
        <color rgb="FF005C76"/>
        <name val="Segoe UI"/>
        <charset val="1"/>
      </font>
      <fill>
        <patternFill>
          <bgColor rgb="FFCCE1E7"/>
        </patternFill>
      </fill>
    </dxf>
    <dxf>
      <font>
        <color rgb="FF9C0006"/>
      </font>
      <fill>
        <patternFill>
          <bgColor rgb="FFFFC7CE"/>
        </patternFill>
      </fill>
    </dxf>
    <dxf>
      <fill>
        <patternFill patternType="solid">
          <fgColor rgb="FFD8D8D8"/>
          <bgColor rgb="FFD8D8D8"/>
        </patternFill>
      </fill>
    </dxf>
    <dxf>
      <fill>
        <patternFill patternType="solid">
          <fgColor theme="0"/>
          <bgColor theme="0"/>
        </patternFill>
      </fill>
    </dxf>
  </dxfs>
  <tableStyles count="1">
    <tableStyle name="Báo cáo động-style" pivot="0" count="2" xr9:uid="{00000000-0011-0000-FFFF-FFFF00000000}">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6086475</xdr:colOff>
      <xdr:row>8</xdr:row>
      <xdr:rowOff>238125</xdr:rowOff>
    </xdr:from>
    <xdr:ext cx="1962150" cy="1524000"/>
    <xdr:pic>
      <xdr:nvPicPr>
        <xdr:cNvPr id="2" name="image1.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15011400" y="7058025"/>
          <a:ext cx="1962150" cy="152400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AEQUIT-DTT" id="{0937CE58-2CD4-4A63-AC07-7CA6B36774B7}" userId="S::aequitas@vietnamairlines.com::da965960-c67b-4fda-8c66-b8297a153b8d"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52" dT="2026-08-11T02:59:08.77" personId="{0937CE58-2CD4-4A63-AC07-7CA6B36774B7}" id="{4C96C6AA-2B08-4269-B7EF-3708BACE631E}">
    <text>Tổng 32 chỉ tiêu động, trong đó 31 chỉ tiêu là làm trong giai đoạn này, còn 1 chỉ tiêu là GRI 305-7 pending phase sau</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D%E1%BB%8Bch%20v%E1%BB%A5%20-%20GRI%20416-1%20-%20Danh%20m%E1%BB%A5c%20VSTB.xlsx?d=w4d95befc49a24ef8afc8ee7cc45803af&amp;csf=1&amp;web=1&amp;e=KYGZxu" TargetMode="External"/><Relationship Id="rId13"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T%20-%20%20GRI%20417-3%20-%20%20form%20nh%E1%BA%ADp%20ch%E1%BB%89%20ti%C3%AAu%20c%C3%A1c%20v%E1%BB%A5%20vi%E1%BB%87c%20kh%C3%B4ng%20tu%C3%A2n%20th%E1%BB%A7%20mkt.xlsx?d=w40d32442a3ff43fa9c2d5b7de44fce8c&amp;csf=1&amp;web=1&amp;e=b3VqCw" TargetMode="External"/><Relationship Id="rId3"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CNL%20-%20Airline-D1%20-%20S%E1%BB%91%20v%E1%BB%A5%20%C4%91%C3%ACnh%20c%C3%B4ng.xlsx?d=we150173aaf464e3ab9eb02fdfa3116d8&amp;csf=1&amp;web=1&amp;e=k4swaD" TargetMode="External"/><Relationship Id="rId7"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CNL%20-%20GRI%20403-9%20-%20form%20th%E1%BB%91ng%20k%C3%AA%20th%C6%B0%C6%A1ng%20t%E1%BA%ADt.xlsx?d=wa8162f07b9674f7ead4ca1cfe9b50308&amp;csf=1&amp;web=1&amp;e=0Up0Gs" TargetMode="External"/><Relationship Id="rId12"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T%20-%20Airline-F1%20-%20%20form%20nh%E1%BA%ADp%20ch%E1%BB%89%20ti%C3%AAu%20ho%E1%BA%A1t%20%C4%91%E1%BB%99ng%20t%C3%ACnh%20nguy%E1%BB%87n.xlsx?d=w834f1f4061774e319778cd56c8543d59&amp;csf=1&amp;web=1&amp;e=XC1mLt" TargetMode="External"/><Relationship Id="rId2" Type="http://schemas.openxmlformats.org/officeDocument/2006/relationships/hyperlink" Target="https://vietnamairlines0-my.sharepoint.com/:x:/r/personal/vantt_vietnamairlines_com/_layouts/15/Doc.aspx?sourcedoc=%7B4EC32537-B55E-4647-9581-9E663FC4AB8D%7D&amp;file=Ban%20C%25u0110S%20-%20GRI%20418-1%20-%20C%25u00e1c%20s%25u1ef1%20c%25u1ed1%20li%25u00ean%20quan%20%25u0111%25u1ebfn%20d%25u1eef%20li%25u1ec7u%20c%25u00e1%20nh%25u00e2n.xlsx&amp;action=default&amp;mobileredirect=true" TargetMode="External"/><Relationship Id="rId1" Type="http://schemas.openxmlformats.org/officeDocument/2006/relationships/hyperlink" Target="https://vietnamairlines0-my.sharepoint.com/:x:/r/personal/vantt_vietnamairlines_com/_layouts/15/Doc.aspx?sourcedoc=%7B85C5BC36-5A5F-4154-890A-86BAB33BBAB1%7D&amp;file=Ban%20ATCL%20-%20Airline%20E-1%20-%20form%20ti%E1%BA%BFng%20%E1%BB%93n.xlsx&amp;action=default&amp;mobileredirect=true" TargetMode="External"/><Relationship Id="rId6" Type="http://schemas.openxmlformats.org/officeDocument/2006/relationships/hyperlink" Target="https://vietnamairlines0-my.sharepoint.com/:x:/r/personal/vantt_vietnamairlines_com/_layouts/15/Doc.aspx?sourcedoc=%7BACCA2F26-3CE5-428B-9BE1-2CFF02AF5F5F%7D&amp;file=Ban%20TCNL%20-%20GRI%20202-2%20-%20T%E1%BB%B7%20l%E1%BB%87%20l%C3%A3nh%20%C4%91%E1%BA%A1o%20c%E1%BA%A5p%20cao%20l%C3%A0%20ng%C6%B0%E1%BB%9Di%20b%E1%BA%A3n%20%C4%91%E1%BB%8Ba.xlsx&amp;action=default&amp;mobileredirect=true" TargetMode="External"/><Relationship Id="rId11"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Khai%20th%C3%A1c%20-%20GRI%20302-4%20-%20Gi%E1%BA%A3m%20ti%C3%AAu%20th%E1%BB%A5%20n%C4%83ng%20l%C6%B0%E1%BB%A3ng.xlsx?d=w1ab18a1a4d474450ac99d7e7923c6690&amp;csf=1&amp;web=1&amp;e=OP9a4m" TargetMode="External"/><Relationship Id="rId5"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CNL%20-%20GRI%20202-1%20-%20%20form%20%C4%91i%E1%BB%81n%20ch%E1%BB%89%20ti%C3%AAu%20l%C6%B0%C6%A1ng%20kh%E1%BB%9Fi%20%C4%91i%E1%BB%83m%20so%20v%E1%BB%9Bi%20t%E1%BB%91i%20thi%E1%BB%83u%20v%C3%B9ng.xlsx?d=w14a3b68bc1af4864b578a2b7ade680a0&amp;csf=1&amp;web=1&amp;e=zLBThX" TargetMode="External"/><Relationship Id="rId10"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D%E1%BB%8Bch%20v%E1%BB%A5%20-%20GRI%20417-2%20-%20C%C3%A1c%20s%E1%BB%B1%20c%E1%BB%91%20vi%20ph%E1%BA%A1m%20v%E1%BB%81%20th%C3%B4ng%20tin%20v%C3%A0%20nh%C3%A3n%20s%E1%BA%A3n%20ph%E1%BA%A9m_d%E1%BB%8Bch%20v%E1%BB%A5.xlsx?d=wbb9a1a0f2327452d974a88dde6f6763d&amp;csf=1&amp;web=1&amp;e=QMUGYg" TargetMode="External"/><Relationship Id="rId4"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CNL%20-%20Airline-F2%20-%20%20form%20%C4%91i%E1%BB%81n%20ch%E1%BB%89%20ti%C3%AAu%20m%E1%BB%A9c%20%C4%91%E1%BB%99%20h%C3%A0i%20l%C3%B2ng%20c%E1%BB%A7a%20nh%C3%A2n%20vi%C3%AAn.xlsx?d=wed35276ab246489d9cf7013db7e457b1&amp;csf=1&amp;web=1&amp;e=yvU8ot" TargetMode="External"/><Relationship Id="rId9" Type="http://schemas.openxmlformats.org/officeDocument/2006/relationships/hyperlink" Target="https://vietnamairlines0-my.sharepoint.com/:x:/r/personal/vantt_vietnamairlines_com/_layouts/15/Doc.aspx?sourcedoc=%7B70CCAD24-7A6E-4EFA-AFFC-956778CEEB0B%7D&amp;file=T%E1%BB%95%20D%E1%BB%8Bch%20v%E1%BB%A5%20-%20GRI%20416-2%20-%20C%C3%A1c%20s%E1%BB%B1%20c%E1%BB%91%20vi%20ph%E1%BA%A1m%20li%C3%AAn%20quan%20%C4%91%E1%BA%BFn%20t%C3%A1c%20%C4%91%E1%BB%99ng%20s%E1%BB%A9c%20kh%E1%BB%8Fe%20v%C3%A0%20an%20to%C3%A0n%20c%E1%BB%A7a%20s%E1%BA%A3n%20ph%E1%BA%A9m%20d%E1%BB%8Bch%20v%E1%BB%A5.xlsx&amp;action=default&amp;mobileredirect=tru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r6B4nPmvB9dTAHjuEVLwhQR10wcaHRFz/view?usp=drive_link" TargetMode="External"/><Relationship Id="rId7" Type="http://schemas.microsoft.com/office/2017/10/relationships/threadedComment" Target="../threadedComments/threadedComment1.xml"/><Relationship Id="rId2" Type="http://schemas.openxmlformats.org/officeDocument/2006/relationships/hyperlink" Target="https://vtxgroupvn.sharepoint.com/:x:/r/sites/v25gfx02639/_layouts/15/Doc.aspx?sourcedoc=%7B037CC2E8-12C6-41E4-A941-1E3E6132DE37%7D&amp;file=FIMS.xlsx&amp;action=default&amp;mobileredirect=true" TargetMode="External"/><Relationship Id="rId1" Type="http://schemas.openxmlformats.org/officeDocument/2006/relationships/hyperlink" Target="https://docs.google.com/spreadsheets/d/13BjMQC70xSnMJMuLZlcpfm0501fGtdb5/edit?gid=1875964009"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ocs.google.com/spreadsheets/d/13BjMQC70xSnMJMuLZlcpfm0501fGtdb5/edit?gid=1875964009"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CD58C-1C2C-43A5-9F80-3E25D9377917}">
  <dimension ref="A1:D17"/>
  <sheetViews>
    <sheetView workbookViewId="0">
      <selection activeCell="A18" sqref="A18"/>
    </sheetView>
  </sheetViews>
  <sheetFormatPr defaultRowHeight="12.6"/>
  <cols>
    <col min="2" max="2" width="14.7109375" bestFit="1" customWidth="1"/>
    <col min="3" max="3" width="15.85546875" hidden="1" customWidth="1"/>
    <col min="4" max="4" width="44" customWidth="1"/>
  </cols>
  <sheetData>
    <row r="1" spans="1:4" s="164" customFormat="1" ht="15.6">
      <c r="B1" s="162" t="s">
        <v>0</v>
      </c>
      <c r="C1" s="163" t="s">
        <v>1</v>
      </c>
      <c r="D1" s="161" t="s">
        <v>2</v>
      </c>
    </row>
    <row r="2" spans="1:4" ht="38.25" hidden="1" customHeight="1">
      <c r="B2" t="s">
        <v>3</v>
      </c>
      <c r="C2" t="s">
        <v>4</v>
      </c>
    </row>
    <row r="3" spans="1:4" ht="38.25" hidden="1" customHeight="1">
      <c r="B3" t="s">
        <v>5</v>
      </c>
      <c r="C3" t="s">
        <v>6</v>
      </c>
    </row>
    <row r="4" spans="1:4" ht="38.25" hidden="1" customHeight="1">
      <c r="B4" t="s">
        <v>7</v>
      </c>
      <c r="C4" t="s">
        <v>8</v>
      </c>
    </row>
    <row r="5" spans="1:4">
      <c r="A5">
        <v>1</v>
      </c>
      <c r="B5" t="str" cm="1">
        <f t="array" ref="B5:B17">_xlfn.UNIQUE('Nguồn dữ liệu'!C2:C102)</f>
        <v>Report Pro</v>
      </c>
      <c r="C5" s="197"/>
      <c r="D5" t="s">
        <v>9</v>
      </c>
    </row>
    <row r="6" spans="1:4">
      <c r="A6">
        <v>2</v>
      </c>
      <c r="B6" t="str">
        <v>CLM</v>
      </c>
      <c r="D6" t="s">
        <v>10</v>
      </c>
    </row>
    <row r="7" spans="1:4">
      <c r="A7">
        <v>3</v>
      </c>
      <c r="B7" t="str">
        <v>FIMS</v>
      </c>
      <c r="D7" s="197" t="s">
        <v>11</v>
      </c>
    </row>
    <row r="8" spans="1:4">
      <c r="A8">
        <v>4</v>
      </c>
      <c r="B8" t="str">
        <v>EU-ETS</v>
      </c>
      <c r="D8" t="s">
        <v>12</v>
      </c>
    </row>
    <row r="9" spans="1:4">
      <c r="A9">
        <v>5</v>
      </c>
      <c r="B9" t="str">
        <v>PMS</v>
      </c>
      <c r="D9" s="197" t="s">
        <v>13</v>
      </c>
    </row>
    <row r="10" spans="1:4">
      <c r="A10">
        <v>6</v>
      </c>
      <c r="B10" t="str">
        <v>CMS</v>
      </c>
      <c r="C10" s="197"/>
      <c r="D10" s="197" t="s">
        <v>14</v>
      </c>
    </row>
    <row r="11" spans="1:4">
      <c r="A11">
        <v>7</v>
      </c>
      <c r="B11" t="str">
        <v>SkyHR</v>
      </c>
      <c r="D11" s="197" t="s">
        <v>15</v>
      </c>
    </row>
    <row r="12" spans="1:4" hidden="1">
      <c r="A12">
        <v>8</v>
      </c>
      <c r="B12" t="str">
        <v>TOSS</v>
      </c>
    </row>
    <row r="13" spans="1:4">
      <c r="A13">
        <v>8</v>
      </c>
      <c r="B13" t="str">
        <v>Netlines</v>
      </c>
      <c r="D13" t="s">
        <v>16</v>
      </c>
    </row>
    <row r="14" spans="1:4">
      <c r="A14">
        <v>9</v>
      </c>
      <c r="B14" t="str">
        <v>RPS</v>
      </c>
      <c r="D14" s="197" t="s">
        <v>17</v>
      </c>
    </row>
    <row r="15" spans="1:4">
      <c r="A15">
        <v>10</v>
      </c>
      <c r="B15" t="str">
        <v>VHAT</v>
      </c>
      <c r="D15" s="197" t="s">
        <v>18</v>
      </c>
    </row>
    <row r="16" spans="1:4">
      <c r="A16">
        <v>11</v>
      </c>
      <c r="B16" t="str">
        <v>LMS</v>
      </c>
      <c r="D16" s="197" t="s">
        <v>19</v>
      </c>
    </row>
    <row r="17" spans="1:4">
      <c r="A17">
        <v>12</v>
      </c>
      <c r="B17" t="str">
        <v>ANCM</v>
      </c>
      <c r="D17" s="197"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A106"/>
  <sheetViews>
    <sheetView topLeftCell="A2" zoomScaleNormal="100" workbookViewId="0">
      <pane ySplit="2" topLeftCell="L50" activePane="bottomLeft" state="frozen"/>
      <selection pane="bottomLeft" activeCell="T77" sqref="T77"/>
      <selection activeCell="A2" sqref="A2"/>
    </sheetView>
  </sheetViews>
  <sheetFormatPr defaultColWidth="12.7109375" defaultRowHeight="15.75" customHeight="1"/>
  <cols>
    <col min="1" max="1" width="6.28515625" style="228" customWidth="1"/>
    <col min="2" max="2" width="11.42578125" style="238" customWidth="1"/>
    <col min="3" max="3" width="10.5703125" style="238" customWidth="1"/>
    <col min="4" max="4" width="8" style="238" customWidth="1"/>
    <col min="5" max="5" width="12" style="238" customWidth="1"/>
    <col min="6" max="6" width="12" style="237" customWidth="1"/>
    <col min="7" max="7" width="20.42578125" style="228" customWidth="1"/>
    <col min="8" max="8" width="26" style="228" customWidth="1"/>
    <col min="9" max="9" width="35.140625" style="228" customWidth="1"/>
    <col min="10" max="10" width="37.85546875" style="228" hidden="1" customWidth="1"/>
    <col min="11" max="11" width="8.7109375" style="228" hidden="1" customWidth="1"/>
    <col min="12" max="12" width="12.7109375" style="236" customWidth="1"/>
    <col min="13" max="13" width="14.140625" style="235" customWidth="1"/>
    <col min="14" max="14" width="14" style="228" customWidth="1"/>
    <col min="15" max="15" width="22" style="228" customWidth="1"/>
    <col min="16" max="18" width="15.85546875" style="228" customWidth="1"/>
    <col min="19" max="19" width="12.7109375" style="228"/>
    <col min="20" max="20" width="21.42578125" style="240" customWidth="1"/>
    <col min="21" max="21" width="36.7109375" style="228" customWidth="1"/>
    <col min="22" max="22" width="17.5703125" style="228" bestFit="1" customWidth="1"/>
    <col min="23" max="23" width="23.42578125" style="228" customWidth="1"/>
    <col min="24" max="24" width="14.7109375" style="228" customWidth="1"/>
    <col min="25" max="25" width="12.7109375" style="228"/>
    <col min="26" max="26" width="19.140625" style="228" customWidth="1"/>
    <col min="27" max="27" width="30.140625" style="228" customWidth="1"/>
    <col min="28" max="16384" width="12.7109375" style="228"/>
  </cols>
  <sheetData>
    <row r="1" spans="1:27" ht="15.75" customHeight="1">
      <c r="A1" s="243"/>
      <c r="B1" s="244"/>
      <c r="C1" s="244"/>
      <c r="D1" s="244"/>
      <c r="E1" s="244"/>
      <c r="F1" s="244"/>
      <c r="G1" s="244"/>
      <c r="H1" s="244"/>
      <c r="I1" s="244"/>
      <c r="J1" s="244"/>
      <c r="K1" s="244"/>
      <c r="L1" s="244"/>
      <c r="M1" s="244"/>
      <c r="N1" s="248"/>
      <c r="O1" s="248"/>
      <c r="P1" s="249"/>
      <c r="Q1" s="250" t="s">
        <v>21</v>
      </c>
      <c r="R1" s="251"/>
      <c r="S1" s="245"/>
      <c r="T1" s="245"/>
      <c r="U1" s="246"/>
      <c r="V1" s="245"/>
      <c r="W1" s="316" t="s">
        <v>22</v>
      </c>
      <c r="X1" s="316"/>
      <c r="Y1" s="316"/>
      <c r="Z1" s="317"/>
      <c r="AA1" s="247"/>
    </row>
    <row r="2" spans="1:27" ht="15.75" customHeight="1">
      <c r="A2" s="274"/>
      <c r="B2" s="275"/>
      <c r="C2" s="275"/>
      <c r="D2" s="275"/>
      <c r="E2" s="275"/>
      <c r="F2" s="275"/>
      <c r="G2" s="275"/>
      <c r="H2" s="275"/>
      <c r="I2" s="275"/>
      <c r="J2" s="275"/>
      <c r="K2" s="275"/>
      <c r="L2" s="275"/>
      <c r="M2" s="275"/>
      <c r="N2" s="299"/>
      <c r="O2" s="299"/>
      <c r="P2" s="299"/>
      <c r="Q2" s="300"/>
      <c r="R2" s="300"/>
      <c r="S2" s="318" t="s">
        <v>22</v>
      </c>
      <c r="T2" s="318"/>
      <c r="U2" s="318"/>
      <c r="V2" s="318"/>
      <c r="W2" s="318"/>
      <c r="X2" s="318"/>
      <c r="Y2" s="318"/>
      <c r="Z2" s="318"/>
      <c r="AA2" s="318"/>
    </row>
    <row r="3" spans="1:27" s="237" customFormat="1" ht="60.75">
      <c r="A3" s="276" t="s">
        <v>23</v>
      </c>
      <c r="B3" s="277" t="s">
        <v>24</v>
      </c>
      <c r="C3" s="277" t="s">
        <v>25</v>
      </c>
      <c r="D3" s="277" t="s">
        <v>26</v>
      </c>
      <c r="E3" s="277" t="s">
        <v>27</v>
      </c>
      <c r="F3" s="278" t="s">
        <v>28</v>
      </c>
      <c r="G3" s="277" t="s">
        <v>29</v>
      </c>
      <c r="H3" s="277" t="s">
        <v>30</v>
      </c>
      <c r="I3" s="277" t="s">
        <v>31</v>
      </c>
      <c r="J3" s="277" t="s">
        <v>32</v>
      </c>
      <c r="K3" s="277" t="s">
        <v>33</v>
      </c>
      <c r="L3" s="277" t="s">
        <v>34</v>
      </c>
      <c r="M3" s="277" t="s">
        <v>35</v>
      </c>
      <c r="N3" s="301" t="s">
        <v>36</v>
      </c>
      <c r="O3" s="301" t="s">
        <v>37</v>
      </c>
      <c r="P3" s="301" t="s">
        <v>38</v>
      </c>
      <c r="Q3" s="301" t="s">
        <v>39</v>
      </c>
      <c r="R3" s="302" t="s">
        <v>40</v>
      </c>
      <c r="S3" s="272" t="s">
        <v>41</v>
      </c>
      <c r="T3" s="272" t="s">
        <v>42</v>
      </c>
      <c r="U3" s="279" t="s">
        <v>43</v>
      </c>
      <c r="V3" s="272" t="s">
        <v>44</v>
      </c>
      <c r="W3" s="272" t="s">
        <v>45</v>
      </c>
      <c r="X3" s="272" t="s">
        <v>46</v>
      </c>
      <c r="Y3" s="272" t="s">
        <v>47</v>
      </c>
      <c r="Z3" s="279" t="s">
        <v>48</v>
      </c>
      <c r="AA3" s="279" t="s">
        <v>49</v>
      </c>
    </row>
    <row r="4" spans="1:27" ht="30" hidden="1">
      <c r="A4" s="263">
        <f>ROW()-2</f>
        <v>2</v>
      </c>
      <c r="B4" s="263" t="s">
        <v>50</v>
      </c>
      <c r="C4" s="263" t="s">
        <v>51</v>
      </c>
      <c r="D4" s="263" t="s">
        <v>52</v>
      </c>
      <c r="E4" s="280" t="s">
        <v>53</v>
      </c>
      <c r="F4" s="263" t="s">
        <v>54</v>
      </c>
      <c r="G4" s="263" t="s">
        <v>55</v>
      </c>
      <c r="H4" s="254" t="s">
        <v>56</v>
      </c>
      <c r="I4" s="263" t="s">
        <v>57</v>
      </c>
      <c r="J4" s="263"/>
      <c r="K4" s="263" t="s">
        <v>58</v>
      </c>
      <c r="L4" s="263"/>
      <c r="M4" s="263" t="s">
        <v>40</v>
      </c>
      <c r="N4" s="273" t="s">
        <v>59</v>
      </c>
      <c r="P4" s="273"/>
      <c r="Q4" s="273" t="s">
        <v>60</v>
      </c>
      <c r="R4" s="273">
        <v>2</v>
      </c>
      <c r="S4" s="273" t="s">
        <v>61</v>
      </c>
      <c r="T4" s="263" t="s">
        <v>62</v>
      </c>
      <c r="U4" s="273" t="s">
        <v>63</v>
      </c>
      <c r="V4" s="273" t="s">
        <v>64</v>
      </c>
      <c r="W4" s="273" t="s">
        <v>65</v>
      </c>
      <c r="X4" s="281" t="s">
        <v>66</v>
      </c>
      <c r="Y4" s="273" t="s">
        <v>61</v>
      </c>
      <c r="Z4" s="282" t="s">
        <v>67</v>
      </c>
      <c r="AA4" s="282"/>
    </row>
    <row r="5" spans="1:27" ht="30" hidden="1">
      <c r="A5" s="252">
        <f t="shared" ref="A5:A68" si="0">ROW()-2</f>
        <v>3</v>
      </c>
      <c r="B5" s="252" t="s">
        <v>68</v>
      </c>
      <c r="C5" s="263"/>
      <c r="D5" s="252" t="s">
        <v>52</v>
      </c>
      <c r="E5" s="253" t="s">
        <v>69</v>
      </c>
      <c r="F5" s="252" t="s">
        <v>54</v>
      </c>
      <c r="G5" s="252" t="s">
        <v>55</v>
      </c>
      <c r="H5" s="252"/>
      <c r="I5" s="252"/>
      <c r="J5" s="252"/>
      <c r="K5" s="252" t="s">
        <v>70</v>
      </c>
      <c r="L5" s="252"/>
      <c r="M5" s="252" t="s">
        <v>40</v>
      </c>
      <c r="N5" s="255" t="s">
        <v>71</v>
      </c>
      <c r="O5" s="255"/>
      <c r="P5" s="255"/>
      <c r="Q5" s="255" t="s">
        <v>60</v>
      </c>
      <c r="R5" s="255">
        <v>1</v>
      </c>
      <c r="S5" s="255" t="s">
        <v>72</v>
      </c>
      <c r="T5" s="252" t="s">
        <v>69</v>
      </c>
      <c r="U5" s="257" t="s">
        <v>73</v>
      </c>
      <c r="V5" s="255" t="s">
        <v>74</v>
      </c>
      <c r="W5" s="257"/>
      <c r="X5" s="256"/>
      <c r="Y5" s="255" t="s">
        <v>72</v>
      </c>
      <c r="Z5" s="258" t="s">
        <v>75</v>
      </c>
      <c r="AA5" s="257"/>
    </row>
    <row r="6" spans="1:27" ht="30.75" hidden="1">
      <c r="A6" s="252">
        <f t="shared" si="0"/>
        <v>4</v>
      </c>
      <c r="B6" s="259" t="s">
        <v>76</v>
      </c>
      <c r="C6" s="263"/>
      <c r="D6" s="259" t="s">
        <v>52</v>
      </c>
      <c r="E6" s="253" t="s">
        <v>77</v>
      </c>
      <c r="F6" s="252" t="s">
        <v>54</v>
      </c>
      <c r="G6" s="259" t="s">
        <v>78</v>
      </c>
      <c r="H6" s="259" t="s">
        <v>79</v>
      </c>
      <c r="I6" s="259" t="s">
        <v>80</v>
      </c>
      <c r="J6" s="252"/>
      <c r="K6" s="252" t="s">
        <v>81</v>
      </c>
      <c r="L6" s="252"/>
      <c r="M6" s="252" t="s">
        <v>40</v>
      </c>
      <c r="N6" s="255" t="s">
        <v>82</v>
      </c>
      <c r="O6" s="297" t="s">
        <v>83</v>
      </c>
      <c r="P6" s="255">
        <v>1</v>
      </c>
      <c r="Q6" s="255">
        <v>1</v>
      </c>
      <c r="R6" s="255">
        <v>1</v>
      </c>
      <c r="S6" s="255" t="s">
        <v>61</v>
      </c>
      <c r="T6" s="252" t="s">
        <v>77</v>
      </c>
      <c r="U6" s="257" t="s">
        <v>84</v>
      </c>
      <c r="V6" s="256" t="s">
        <v>85</v>
      </c>
      <c r="W6" s="255" t="s">
        <v>65</v>
      </c>
      <c r="X6" s="256" t="s">
        <v>66</v>
      </c>
      <c r="Y6" s="255" t="s">
        <v>72</v>
      </c>
      <c r="Z6" s="257"/>
      <c r="AA6" s="257"/>
    </row>
    <row r="7" spans="1:27" s="237" customFormat="1" ht="45.75" hidden="1">
      <c r="A7" s="261">
        <f t="shared" si="0"/>
        <v>5</v>
      </c>
      <c r="B7" s="260" t="s">
        <v>86</v>
      </c>
      <c r="C7" s="263" t="s">
        <v>87</v>
      </c>
      <c r="D7" s="252" t="s">
        <v>52</v>
      </c>
      <c r="E7" s="284" t="s">
        <v>88</v>
      </c>
      <c r="F7" s="261" t="s">
        <v>89</v>
      </c>
      <c r="G7" s="252" t="s">
        <v>90</v>
      </c>
      <c r="H7" s="257" t="s">
        <v>91</v>
      </c>
      <c r="I7" s="257" t="s">
        <v>92</v>
      </c>
      <c r="J7" s="262" t="s">
        <v>91</v>
      </c>
      <c r="K7" s="252" t="s">
        <v>93</v>
      </c>
      <c r="L7" s="252"/>
      <c r="M7" s="252" t="s">
        <v>40</v>
      </c>
      <c r="N7" s="255" t="s">
        <v>82</v>
      </c>
      <c r="O7" s="283" t="s">
        <v>94</v>
      </c>
      <c r="P7" s="255">
        <v>1</v>
      </c>
      <c r="Q7" s="255">
        <v>1</v>
      </c>
      <c r="R7" s="255">
        <v>2</v>
      </c>
      <c r="S7" s="255" t="s">
        <v>61</v>
      </c>
      <c r="T7" s="252" t="s">
        <v>95</v>
      </c>
      <c r="U7" s="255" t="s">
        <v>96</v>
      </c>
      <c r="V7" s="255"/>
      <c r="W7" s="255" t="s">
        <v>65</v>
      </c>
      <c r="X7" s="256" t="s">
        <v>66</v>
      </c>
      <c r="Y7" s="255" t="s">
        <v>72</v>
      </c>
      <c r="Z7" s="257"/>
      <c r="AA7" s="257"/>
    </row>
    <row r="8" spans="1:27" ht="137.25" hidden="1">
      <c r="A8" s="259">
        <f t="shared" si="0"/>
        <v>6</v>
      </c>
      <c r="B8" s="306" t="s">
        <v>97</v>
      </c>
      <c r="C8" s="263"/>
      <c r="D8" s="306" t="s">
        <v>52</v>
      </c>
      <c r="E8" s="286" t="s">
        <v>98</v>
      </c>
      <c r="F8" s="259" t="s">
        <v>54</v>
      </c>
      <c r="G8" s="306" t="s">
        <v>99</v>
      </c>
      <c r="H8" s="306" t="s">
        <v>100</v>
      </c>
      <c r="I8" s="306" t="s">
        <v>101</v>
      </c>
      <c r="J8" s="252"/>
      <c r="K8" s="252" t="s">
        <v>101</v>
      </c>
      <c r="L8" s="259"/>
      <c r="M8" s="252" t="s">
        <v>40</v>
      </c>
      <c r="N8" s="288" t="s">
        <v>82</v>
      </c>
      <c r="O8" s="298" t="s">
        <v>102</v>
      </c>
      <c r="P8" s="255">
        <v>1</v>
      </c>
      <c r="Q8" s="255">
        <v>1</v>
      </c>
      <c r="R8" s="255">
        <v>2</v>
      </c>
      <c r="S8" s="258" t="s">
        <v>72</v>
      </c>
      <c r="T8" s="252"/>
      <c r="U8" s="257" t="s">
        <v>103</v>
      </c>
      <c r="V8" s="255"/>
      <c r="W8" s="255"/>
      <c r="X8" s="255"/>
      <c r="Y8" s="255" t="s">
        <v>72</v>
      </c>
      <c r="Z8" s="257"/>
      <c r="AA8" s="257"/>
    </row>
    <row r="9" spans="1:27" ht="76.5" hidden="1">
      <c r="A9" s="252">
        <f t="shared" si="0"/>
        <v>7</v>
      </c>
      <c r="B9" s="252" t="s">
        <v>76</v>
      </c>
      <c r="C9" s="263"/>
      <c r="D9" s="252" t="s">
        <v>52</v>
      </c>
      <c r="E9" s="253" t="s">
        <v>104</v>
      </c>
      <c r="F9" s="252" t="s">
        <v>54</v>
      </c>
      <c r="G9" s="252" t="s">
        <v>99</v>
      </c>
      <c r="H9" s="252" t="s">
        <v>105</v>
      </c>
      <c r="I9" s="252" t="s">
        <v>106</v>
      </c>
      <c r="J9" s="262"/>
      <c r="K9" s="261" t="s">
        <v>106</v>
      </c>
      <c r="L9" s="252"/>
      <c r="M9" s="252" t="s">
        <v>40</v>
      </c>
      <c r="N9" s="255" t="s">
        <v>82</v>
      </c>
      <c r="O9" s="303" t="s">
        <v>107</v>
      </c>
      <c r="P9" s="255">
        <v>1</v>
      </c>
      <c r="Q9" s="255">
        <v>1</v>
      </c>
      <c r="R9" s="255">
        <v>1</v>
      </c>
      <c r="S9" s="255" t="s">
        <v>72</v>
      </c>
      <c r="T9" s="252" t="s">
        <v>104</v>
      </c>
      <c r="U9" s="257" t="s">
        <v>108</v>
      </c>
      <c r="V9" s="255"/>
      <c r="W9" s="255"/>
      <c r="X9" s="255"/>
      <c r="Y9" s="255" t="s">
        <v>72</v>
      </c>
      <c r="Z9" s="257"/>
      <c r="AA9" s="257"/>
    </row>
    <row r="10" spans="1:27" s="237" customFormat="1" ht="15" hidden="1">
      <c r="A10" s="306">
        <f t="shared" si="0"/>
        <v>8</v>
      </c>
      <c r="B10" s="307" t="s">
        <v>86</v>
      </c>
      <c r="C10" s="263"/>
      <c r="D10" s="306" t="s">
        <v>109</v>
      </c>
      <c r="E10" s="308" t="s">
        <v>110</v>
      </c>
      <c r="F10" s="309" t="s">
        <v>89</v>
      </c>
      <c r="G10" s="306" t="s">
        <v>111</v>
      </c>
      <c r="H10" s="306"/>
      <c r="I10" s="306"/>
      <c r="J10" s="262"/>
      <c r="K10" s="252" t="s">
        <v>112</v>
      </c>
      <c r="L10" s="306"/>
      <c r="M10" s="306"/>
      <c r="N10" s="310"/>
      <c r="O10" s="255"/>
      <c r="P10" s="255"/>
      <c r="Q10" s="255"/>
      <c r="R10" s="255"/>
      <c r="S10" s="255"/>
      <c r="T10" s="252" t="s">
        <v>110</v>
      </c>
      <c r="U10" s="257"/>
      <c r="V10" s="255"/>
      <c r="W10" s="255"/>
      <c r="X10" s="255"/>
      <c r="Y10" s="255"/>
      <c r="Z10" s="257"/>
      <c r="AA10" s="257"/>
    </row>
    <row r="11" spans="1:27" ht="30" hidden="1">
      <c r="A11" s="252">
        <f t="shared" si="0"/>
        <v>9</v>
      </c>
      <c r="B11" s="252" t="s">
        <v>76</v>
      </c>
      <c r="C11" s="263"/>
      <c r="D11" s="252" t="s">
        <v>52</v>
      </c>
      <c r="E11" s="253" t="s">
        <v>113</v>
      </c>
      <c r="F11" s="252" t="s">
        <v>54</v>
      </c>
      <c r="G11" s="252" t="s">
        <v>78</v>
      </c>
      <c r="H11" s="257"/>
      <c r="I11" s="252"/>
      <c r="J11" s="262" t="s">
        <v>114</v>
      </c>
      <c r="K11" s="261" t="s">
        <v>115</v>
      </c>
      <c r="L11" s="252"/>
      <c r="M11" s="252" t="s">
        <v>116</v>
      </c>
      <c r="N11" s="255"/>
      <c r="O11" s="304"/>
      <c r="P11" s="255"/>
      <c r="Q11" s="255"/>
      <c r="R11" s="255"/>
      <c r="S11" s="255"/>
      <c r="T11" s="252" t="s">
        <v>113</v>
      </c>
      <c r="U11" s="257"/>
      <c r="V11" s="255"/>
      <c r="W11" s="255"/>
      <c r="X11" s="255"/>
      <c r="Y11" s="255"/>
      <c r="Z11" s="257"/>
      <c r="AA11" s="257"/>
    </row>
    <row r="12" spans="1:27" ht="30" hidden="1">
      <c r="A12" s="306">
        <f t="shared" si="0"/>
        <v>10</v>
      </c>
      <c r="B12" s="306" t="s">
        <v>117</v>
      </c>
      <c r="C12" s="263"/>
      <c r="D12" s="306" t="s">
        <v>52</v>
      </c>
      <c r="E12" s="308" t="s">
        <v>118</v>
      </c>
      <c r="F12" s="306" t="s">
        <v>119</v>
      </c>
      <c r="G12" s="306" t="s">
        <v>120</v>
      </c>
      <c r="H12" s="306"/>
      <c r="I12" s="306"/>
      <c r="J12" s="252" t="s">
        <v>121</v>
      </c>
      <c r="K12" s="252" t="s">
        <v>122</v>
      </c>
      <c r="L12" s="306" t="e">
        <f>VLOOKUP(#REF!,'29 Chỉ tiêu Text'!$C$2:$F$30,4,0)</f>
        <v>#REF!</v>
      </c>
      <c r="M12" s="306" t="s">
        <v>116</v>
      </c>
      <c r="N12" s="310"/>
      <c r="O12" s="255"/>
      <c r="P12" s="255"/>
      <c r="Q12" s="255"/>
      <c r="R12" s="255"/>
      <c r="S12" s="255"/>
      <c r="T12" s="252" t="s">
        <v>118</v>
      </c>
      <c r="U12" s="257"/>
      <c r="V12" s="255"/>
      <c r="W12" s="255"/>
      <c r="X12" s="255"/>
      <c r="Y12" s="255"/>
      <c r="Z12" s="257"/>
      <c r="AA12" s="257"/>
    </row>
    <row r="13" spans="1:27" ht="51.75" hidden="1" customHeight="1">
      <c r="A13" s="252">
        <f t="shared" si="0"/>
        <v>11</v>
      </c>
      <c r="B13" s="252" t="s">
        <v>76</v>
      </c>
      <c r="C13" s="263"/>
      <c r="D13" s="252" t="s">
        <v>52</v>
      </c>
      <c r="E13" s="253" t="s">
        <v>123</v>
      </c>
      <c r="F13" s="252" t="s">
        <v>54</v>
      </c>
      <c r="G13" s="252" t="s">
        <v>78</v>
      </c>
      <c r="H13" s="252" t="s">
        <v>124</v>
      </c>
      <c r="I13" s="252" t="s">
        <v>125</v>
      </c>
      <c r="J13" s="262"/>
      <c r="K13" s="261" t="s">
        <v>125</v>
      </c>
      <c r="L13" s="252"/>
      <c r="M13" s="252" t="s">
        <v>40</v>
      </c>
      <c r="N13" s="255" t="s">
        <v>82</v>
      </c>
      <c r="O13" s="305" t="s">
        <v>126</v>
      </c>
      <c r="P13" s="255">
        <v>1</v>
      </c>
      <c r="Q13" s="255">
        <v>1</v>
      </c>
      <c r="R13" s="255">
        <v>1</v>
      </c>
      <c r="S13" s="255" t="s">
        <v>61</v>
      </c>
      <c r="T13" s="252" t="s">
        <v>127</v>
      </c>
      <c r="U13" s="255" t="s">
        <v>128</v>
      </c>
      <c r="V13" s="255" t="s">
        <v>64</v>
      </c>
      <c r="W13" s="255" t="s">
        <v>65</v>
      </c>
      <c r="X13" s="256" t="s">
        <v>66</v>
      </c>
      <c r="Y13" s="255" t="s">
        <v>72</v>
      </c>
      <c r="Z13" s="257"/>
      <c r="AA13" s="257"/>
    </row>
    <row r="14" spans="1:27" ht="45.75" hidden="1">
      <c r="A14" s="252">
        <f t="shared" si="0"/>
        <v>12</v>
      </c>
      <c r="B14" s="252" t="s">
        <v>76</v>
      </c>
      <c r="C14" s="263"/>
      <c r="D14" s="252" t="s">
        <v>52</v>
      </c>
      <c r="E14" s="253" t="s">
        <v>129</v>
      </c>
      <c r="F14" s="252" t="s">
        <v>54</v>
      </c>
      <c r="G14" s="252" t="s">
        <v>78</v>
      </c>
      <c r="H14" s="252" t="s">
        <v>130</v>
      </c>
      <c r="I14" s="252" t="s">
        <v>131</v>
      </c>
      <c r="J14" s="262"/>
      <c r="K14" s="261" t="s">
        <v>131</v>
      </c>
      <c r="L14" s="252"/>
      <c r="M14" s="252" t="s">
        <v>40</v>
      </c>
      <c r="N14" s="255" t="s">
        <v>82</v>
      </c>
      <c r="O14" s="298" t="s">
        <v>132</v>
      </c>
      <c r="P14" s="255">
        <v>1</v>
      </c>
      <c r="Q14" s="255">
        <v>1</v>
      </c>
      <c r="R14" s="255">
        <v>1</v>
      </c>
      <c r="S14" s="255" t="s">
        <v>61</v>
      </c>
      <c r="T14" s="252" t="s">
        <v>129</v>
      </c>
      <c r="U14" s="255" t="s">
        <v>133</v>
      </c>
      <c r="V14" s="256" t="s">
        <v>85</v>
      </c>
      <c r="W14" s="255" t="s">
        <v>65</v>
      </c>
      <c r="X14" s="256" t="s">
        <v>66</v>
      </c>
      <c r="Y14" s="255" t="s">
        <v>72</v>
      </c>
      <c r="Z14" s="257"/>
      <c r="AA14" s="257"/>
    </row>
    <row r="15" spans="1:27" ht="30" hidden="1">
      <c r="A15" s="263">
        <f t="shared" si="0"/>
        <v>13</v>
      </c>
      <c r="B15" s="263" t="s">
        <v>117</v>
      </c>
      <c r="C15" s="263"/>
      <c r="D15" s="263" t="s">
        <v>52</v>
      </c>
      <c r="E15" s="280" t="s">
        <v>134</v>
      </c>
      <c r="F15" s="263" t="s">
        <v>54</v>
      </c>
      <c r="G15" s="263" t="s">
        <v>135</v>
      </c>
      <c r="H15" s="263"/>
      <c r="I15" s="263"/>
      <c r="J15" s="252"/>
      <c r="K15" s="252" t="s">
        <v>136</v>
      </c>
      <c r="L15" s="263"/>
      <c r="M15" s="263"/>
      <c r="N15" s="273" t="s">
        <v>137</v>
      </c>
      <c r="O15" s="255"/>
      <c r="P15" s="255"/>
      <c r="Q15" s="255" t="s">
        <v>60</v>
      </c>
      <c r="R15" s="255">
        <v>2</v>
      </c>
      <c r="S15" s="255" t="s">
        <v>72</v>
      </c>
      <c r="T15" s="252" t="s">
        <v>134</v>
      </c>
      <c r="U15" s="257"/>
      <c r="V15" s="255"/>
      <c r="W15" s="255"/>
      <c r="X15" s="255"/>
      <c r="Y15" s="255" t="s">
        <v>72</v>
      </c>
      <c r="Z15" s="257"/>
      <c r="AA15" s="257"/>
    </row>
    <row r="16" spans="1:27" ht="30" hidden="1">
      <c r="A16" s="252">
        <f t="shared" si="0"/>
        <v>14</v>
      </c>
      <c r="B16" s="252" t="s">
        <v>117</v>
      </c>
      <c r="C16" s="263"/>
      <c r="D16" s="252" t="s">
        <v>52</v>
      </c>
      <c r="E16" s="253" t="s">
        <v>138</v>
      </c>
      <c r="F16" s="252" t="s">
        <v>119</v>
      </c>
      <c r="G16" s="252" t="s">
        <v>120</v>
      </c>
      <c r="H16" s="252"/>
      <c r="I16" s="252"/>
      <c r="J16" s="252" t="s">
        <v>139</v>
      </c>
      <c r="K16" s="252" t="s">
        <v>140</v>
      </c>
      <c r="L16" s="252" t="e">
        <f>VLOOKUP(#REF!,'29 Chỉ tiêu Text'!$C$2:$F$30,4,0)</f>
        <v>#REF!</v>
      </c>
      <c r="M16" s="252" t="s">
        <v>116</v>
      </c>
      <c r="N16" s="255"/>
      <c r="O16" s="255"/>
      <c r="P16" s="255"/>
      <c r="Q16" s="255"/>
      <c r="R16" s="255"/>
      <c r="S16" s="255"/>
      <c r="T16" s="252" t="s">
        <v>138</v>
      </c>
      <c r="U16" s="257"/>
      <c r="V16" s="255"/>
      <c r="W16" s="255"/>
      <c r="X16" s="255"/>
      <c r="Y16" s="255"/>
      <c r="Z16" s="257"/>
      <c r="AA16" s="257"/>
    </row>
    <row r="17" spans="1:27" ht="30" hidden="1">
      <c r="A17" s="252">
        <f t="shared" si="0"/>
        <v>15</v>
      </c>
      <c r="B17" s="252" t="s">
        <v>117</v>
      </c>
      <c r="C17" s="263"/>
      <c r="D17" s="252" t="s">
        <v>52</v>
      </c>
      <c r="E17" s="253" t="s">
        <v>141</v>
      </c>
      <c r="F17" s="252" t="s">
        <v>119</v>
      </c>
      <c r="G17" s="252" t="s">
        <v>120</v>
      </c>
      <c r="H17" s="252"/>
      <c r="I17" s="252"/>
      <c r="J17" s="252" t="s">
        <v>142</v>
      </c>
      <c r="K17" s="252" t="s">
        <v>143</v>
      </c>
      <c r="L17" s="252" t="e">
        <f>VLOOKUP(#REF!,'29 Chỉ tiêu Text'!$C$2:$F$30,4,0)</f>
        <v>#REF!</v>
      </c>
      <c r="M17" s="252" t="s">
        <v>116</v>
      </c>
      <c r="N17" s="255"/>
      <c r="O17" s="255"/>
      <c r="P17" s="255"/>
      <c r="Q17" s="255"/>
      <c r="R17" s="255"/>
      <c r="S17" s="255"/>
      <c r="T17" s="252" t="s">
        <v>141</v>
      </c>
      <c r="U17" s="257"/>
      <c r="V17" s="255"/>
      <c r="W17" s="255"/>
      <c r="X17" s="255"/>
      <c r="Y17" s="255"/>
      <c r="Z17" s="257"/>
      <c r="AA17" s="257"/>
    </row>
    <row r="18" spans="1:27" ht="30" hidden="1">
      <c r="A18" s="252">
        <f t="shared" si="0"/>
        <v>16</v>
      </c>
      <c r="B18" s="252" t="s">
        <v>117</v>
      </c>
      <c r="C18" s="263"/>
      <c r="D18" s="252" t="s">
        <v>52</v>
      </c>
      <c r="E18" s="253" t="s">
        <v>144</v>
      </c>
      <c r="F18" s="252" t="s">
        <v>119</v>
      </c>
      <c r="G18" s="252" t="s">
        <v>120</v>
      </c>
      <c r="H18" s="252"/>
      <c r="I18" s="252"/>
      <c r="J18" s="252" t="s">
        <v>145</v>
      </c>
      <c r="K18" s="252" t="s">
        <v>146</v>
      </c>
      <c r="L18" s="252" t="e">
        <f>VLOOKUP(#REF!,'29 Chỉ tiêu Text'!$C$2:$F$30,4,0)</f>
        <v>#REF!</v>
      </c>
      <c r="M18" s="252" t="s">
        <v>116</v>
      </c>
      <c r="N18" s="255"/>
      <c r="O18" s="255"/>
      <c r="P18" s="255"/>
      <c r="Q18" s="255"/>
      <c r="R18" s="255"/>
      <c r="S18" s="255"/>
      <c r="T18" s="252" t="s">
        <v>144</v>
      </c>
      <c r="U18" s="257"/>
      <c r="V18" s="255"/>
      <c r="W18" s="255"/>
      <c r="X18" s="255"/>
      <c r="Y18" s="255"/>
      <c r="Z18" s="257"/>
      <c r="AA18" s="257"/>
    </row>
    <row r="19" spans="1:27" ht="30" hidden="1">
      <c r="A19" s="252">
        <f t="shared" si="0"/>
        <v>17</v>
      </c>
      <c r="B19" s="252" t="s">
        <v>117</v>
      </c>
      <c r="C19" s="263"/>
      <c r="D19" s="252" t="s">
        <v>52</v>
      </c>
      <c r="E19" s="253" t="s">
        <v>147</v>
      </c>
      <c r="F19" s="252" t="s">
        <v>119</v>
      </c>
      <c r="G19" s="252" t="s">
        <v>120</v>
      </c>
      <c r="H19" s="252"/>
      <c r="I19" s="252"/>
      <c r="J19" s="252" t="s">
        <v>148</v>
      </c>
      <c r="K19" s="252" t="s">
        <v>149</v>
      </c>
      <c r="L19" s="252" t="e">
        <f>VLOOKUP(#REF!,'29 Chỉ tiêu Text'!$C$2:$F$30,4,0)</f>
        <v>#REF!</v>
      </c>
      <c r="M19" s="252" t="s">
        <v>116</v>
      </c>
      <c r="N19" s="255"/>
      <c r="O19" s="255"/>
      <c r="P19" s="255"/>
      <c r="Q19" s="255"/>
      <c r="R19" s="255"/>
      <c r="S19" s="255"/>
      <c r="T19" s="252" t="s">
        <v>147</v>
      </c>
      <c r="U19" s="257"/>
      <c r="V19" s="255"/>
      <c r="W19" s="255"/>
      <c r="X19" s="255"/>
      <c r="Y19" s="255"/>
      <c r="Z19" s="257"/>
      <c r="AA19" s="257"/>
    </row>
    <row r="20" spans="1:27" ht="30" hidden="1">
      <c r="A20" s="252">
        <f t="shared" si="0"/>
        <v>18</v>
      </c>
      <c r="B20" s="252" t="s">
        <v>117</v>
      </c>
      <c r="C20" s="263"/>
      <c r="D20" s="252" t="s">
        <v>52</v>
      </c>
      <c r="E20" s="253" t="s">
        <v>150</v>
      </c>
      <c r="F20" s="252" t="s">
        <v>119</v>
      </c>
      <c r="G20" s="252" t="s">
        <v>120</v>
      </c>
      <c r="H20" s="252"/>
      <c r="I20" s="252"/>
      <c r="J20" s="252" t="s">
        <v>151</v>
      </c>
      <c r="K20" s="252" t="s">
        <v>152</v>
      </c>
      <c r="L20" s="252" t="e">
        <f>VLOOKUP(#REF!,'29 Chỉ tiêu Text'!$C$2:$F$30,4,0)</f>
        <v>#REF!</v>
      </c>
      <c r="M20" s="252" t="s">
        <v>116</v>
      </c>
      <c r="N20" s="255"/>
      <c r="O20" s="255"/>
      <c r="P20" s="255"/>
      <c r="Q20" s="255"/>
      <c r="R20" s="255"/>
      <c r="S20" s="255"/>
      <c r="T20" s="252" t="s">
        <v>150</v>
      </c>
      <c r="U20" s="257"/>
      <c r="V20" s="255"/>
      <c r="W20" s="255"/>
      <c r="X20" s="255"/>
      <c r="Y20" s="255"/>
      <c r="Z20" s="257"/>
      <c r="AA20" s="257"/>
    </row>
    <row r="21" spans="1:27" ht="30" hidden="1">
      <c r="A21" s="252">
        <f t="shared" si="0"/>
        <v>19</v>
      </c>
      <c r="B21" s="252" t="s">
        <v>117</v>
      </c>
      <c r="C21" s="263"/>
      <c r="D21" s="252" t="s">
        <v>52</v>
      </c>
      <c r="E21" s="253" t="s">
        <v>153</v>
      </c>
      <c r="F21" s="252" t="s">
        <v>119</v>
      </c>
      <c r="G21" s="252" t="s">
        <v>120</v>
      </c>
      <c r="H21" s="252"/>
      <c r="I21" s="252"/>
      <c r="J21" s="252" t="s">
        <v>154</v>
      </c>
      <c r="K21" s="252" t="s">
        <v>155</v>
      </c>
      <c r="L21" s="252" t="e">
        <f>VLOOKUP(#REF!,'29 Chỉ tiêu Text'!$C$2:$F$30,4,0)</f>
        <v>#REF!</v>
      </c>
      <c r="M21" s="252" t="s">
        <v>116</v>
      </c>
      <c r="N21" s="255"/>
      <c r="O21" s="255"/>
      <c r="P21" s="255"/>
      <c r="Q21" s="255"/>
      <c r="R21" s="255"/>
      <c r="S21" s="255"/>
      <c r="T21" s="252" t="s">
        <v>153</v>
      </c>
      <c r="U21" s="257"/>
      <c r="V21" s="255"/>
      <c r="W21" s="255"/>
      <c r="X21" s="255"/>
      <c r="Y21" s="255"/>
      <c r="Z21" s="257"/>
      <c r="AA21" s="257"/>
    </row>
    <row r="22" spans="1:27" ht="30" hidden="1">
      <c r="A22" s="252">
        <f t="shared" si="0"/>
        <v>20</v>
      </c>
      <c r="B22" s="252" t="s">
        <v>117</v>
      </c>
      <c r="C22" s="263"/>
      <c r="D22" s="252" t="s">
        <v>52</v>
      </c>
      <c r="E22" s="253" t="s">
        <v>156</v>
      </c>
      <c r="F22" s="252" t="s">
        <v>119</v>
      </c>
      <c r="G22" s="252" t="s">
        <v>120</v>
      </c>
      <c r="H22" s="252"/>
      <c r="I22" s="252"/>
      <c r="J22" s="252" t="s">
        <v>157</v>
      </c>
      <c r="K22" s="252" t="s">
        <v>158</v>
      </c>
      <c r="L22" s="252" t="e">
        <f>VLOOKUP(#REF!,'29 Chỉ tiêu Text'!$C$2:$F$30,4,0)</f>
        <v>#REF!</v>
      </c>
      <c r="M22" s="252" t="s">
        <v>116</v>
      </c>
      <c r="N22" s="255"/>
      <c r="O22" s="255"/>
      <c r="P22" s="255"/>
      <c r="Q22" s="255"/>
      <c r="R22" s="255"/>
      <c r="S22" s="255"/>
      <c r="T22" s="252" t="s">
        <v>156</v>
      </c>
      <c r="U22" s="257"/>
      <c r="V22" s="255"/>
      <c r="W22" s="255"/>
      <c r="X22" s="255"/>
      <c r="Y22" s="255"/>
      <c r="Z22" s="257"/>
      <c r="AA22" s="257"/>
    </row>
    <row r="23" spans="1:27" ht="15" hidden="1">
      <c r="A23" s="252">
        <f t="shared" si="0"/>
        <v>21</v>
      </c>
      <c r="B23" s="253" t="s">
        <v>117</v>
      </c>
      <c r="C23" s="263"/>
      <c r="D23" s="253" t="s">
        <v>52</v>
      </c>
      <c r="E23" s="253" t="s">
        <v>159</v>
      </c>
      <c r="F23" s="253" t="s">
        <v>119</v>
      </c>
      <c r="G23" s="253"/>
      <c r="H23" s="253"/>
      <c r="I23" s="253"/>
      <c r="J23" s="253" t="s">
        <v>160</v>
      </c>
      <c r="K23" s="253"/>
      <c r="L23" s="252" t="e">
        <f>VLOOKUP(#REF!,'29 Chỉ tiêu Text'!$C$2:$F$30,4,0)</f>
        <v>#REF!</v>
      </c>
      <c r="M23" s="253"/>
      <c r="N23" s="253"/>
      <c r="O23" s="253"/>
      <c r="P23" s="253"/>
      <c r="Q23" s="253"/>
      <c r="R23" s="253"/>
      <c r="S23" s="253"/>
      <c r="T23" s="253"/>
      <c r="U23" s="264"/>
      <c r="V23" s="253"/>
      <c r="W23" s="253"/>
      <c r="X23" s="253"/>
      <c r="Y23" s="253"/>
      <c r="Z23" s="264"/>
      <c r="AA23" s="264"/>
    </row>
    <row r="24" spans="1:27" ht="30" hidden="1">
      <c r="A24" s="252">
        <f t="shared" si="0"/>
        <v>22</v>
      </c>
      <c r="B24" s="252" t="s">
        <v>117</v>
      </c>
      <c r="C24" s="263"/>
      <c r="D24" s="252" t="s">
        <v>52</v>
      </c>
      <c r="E24" s="253" t="s">
        <v>161</v>
      </c>
      <c r="F24" s="252" t="s">
        <v>119</v>
      </c>
      <c r="G24" s="252" t="s">
        <v>120</v>
      </c>
      <c r="H24" s="252"/>
      <c r="I24" s="252"/>
      <c r="J24" s="252" t="s">
        <v>162</v>
      </c>
      <c r="K24" s="252" t="s">
        <v>163</v>
      </c>
      <c r="L24" s="252" t="e">
        <f>VLOOKUP(#REF!,'29 Chỉ tiêu Text'!$C$2:$F$30,4,0)</f>
        <v>#REF!</v>
      </c>
      <c r="M24" s="252" t="s">
        <v>116</v>
      </c>
      <c r="N24" s="255"/>
      <c r="O24" s="255"/>
      <c r="P24" s="255"/>
      <c r="Q24" s="255"/>
      <c r="R24" s="255"/>
      <c r="S24" s="255"/>
      <c r="T24" s="252" t="s">
        <v>161</v>
      </c>
      <c r="U24" s="257"/>
      <c r="V24" s="255"/>
      <c r="W24" s="255"/>
      <c r="X24" s="255"/>
      <c r="Y24" s="255"/>
      <c r="Z24" s="257"/>
      <c r="AA24" s="257"/>
    </row>
    <row r="25" spans="1:27" ht="15" hidden="1">
      <c r="A25" s="252">
        <f t="shared" si="0"/>
        <v>23</v>
      </c>
      <c r="B25" s="253" t="s">
        <v>117</v>
      </c>
      <c r="C25" s="263"/>
      <c r="D25" s="253" t="s">
        <v>52</v>
      </c>
      <c r="E25" s="253" t="s">
        <v>164</v>
      </c>
      <c r="F25" s="253" t="s">
        <v>119</v>
      </c>
      <c r="G25" s="253"/>
      <c r="H25" s="253"/>
      <c r="I25" s="253"/>
      <c r="J25" s="253" t="s">
        <v>165</v>
      </c>
      <c r="K25" s="253"/>
      <c r="L25" s="252" t="e">
        <f>VLOOKUP(#REF!,'29 Chỉ tiêu Text'!$C$2:$F$30,4,0)</f>
        <v>#REF!</v>
      </c>
      <c r="M25" s="253"/>
      <c r="N25" s="253"/>
      <c r="O25" s="253"/>
      <c r="P25" s="253"/>
      <c r="Q25" s="253"/>
      <c r="R25" s="253"/>
      <c r="S25" s="253"/>
      <c r="T25" s="253"/>
      <c r="U25" s="264"/>
      <c r="V25" s="253"/>
      <c r="W25" s="253"/>
      <c r="X25" s="253"/>
      <c r="Y25" s="253"/>
      <c r="Z25" s="264"/>
      <c r="AA25" s="264"/>
    </row>
    <row r="26" spans="1:27" ht="15" hidden="1">
      <c r="A26" s="252">
        <f t="shared" si="0"/>
        <v>24</v>
      </c>
      <c r="B26" s="253" t="s">
        <v>117</v>
      </c>
      <c r="C26" s="263"/>
      <c r="D26" s="253" t="s">
        <v>52</v>
      </c>
      <c r="E26" s="253" t="s">
        <v>166</v>
      </c>
      <c r="F26" s="253" t="s">
        <v>119</v>
      </c>
      <c r="G26" s="253"/>
      <c r="H26" s="253"/>
      <c r="I26" s="253"/>
      <c r="J26" s="253" t="s">
        <v>167</v>
      </c>
      <c r="K26" s="253"/>
      <c r="L26" s="252" t="e">
        <f>VLOOKUP(#REF!,'29 Chỉ tiêu Text'!$C$2:$F$30,4,0)</f>
        <v>#REF!</v>
      </c>
      <c r="M26" s="253"/>
      <c r="N26" s="253"/>
      <c r="O26" s="253"/>
      <c r="P26" s="253"/>
      <c r="Q26" s="253"/>
      <c r="R26" s="253"/>
      <c r="S26" s="253"/>
      <c r="T26" s="253"/>
      <c r="U26" s="264"/>
      <c r="V26" s="253"/>
      <c r="W26" s="253"/>
      <c r="X26" s="253"/>
      <c r="Y26" s="253"/>
      <c r="Z26" s="264"/>
      <c r="AA26" s="264"/>
    </row>
    <row r="27" spans="1:27" ht="15" hidden="1">
      <c r="A27" s="252">
        <f t="shared" si="0"/>
        <v>25</v>
      </c>
      <c r="B27" s="253" t="s">
        <v>117</v>
      </c>
      <c r="C27" s="263"/>
      <c r="D27" s="253" t="s">
        <v>52</v>
      </c>
      <c r="E27" s="253" t="s">
        <v>168</v>
      </c>
      <c r="F27" s="253" t="s">
        <v>119</v>
      </c>
      <c r="G27" s="253"/>
      <c r="H27" s="253"/>
      <c r="I27" s="253"/>
      <c r="J27" s="253" t="s">
        <v>169</v>
      </c>
      <c r="K27" s="253"/>
      <c r="L27" s="252" t="e">
        <f>VLOOKUP(#REF!,'29 Chỉ tiêu Text'!$C$2:$F$30,4,0)</f>
        <v>#REF!</v>
      </c>
      <c r="M27" s="253"/>
      <c r="N27" s="253"/>
      <c r="O27" s="253"/>
      <c r="P27" s="253"/>
      <c r="Q27" s="253"/>
      <c r="R27" s="253"/>
      <c r="S27" s="253"/>
      <c r="T27" s="253"/>
      <c r="U27" s="264"/>
      <c r="V27" s="253"/>
      <c r="W27" s="253"/>
      <c r="X27" s="253"/>
      <c r="Y27" s="253"/>
      <c r="Z27" s="264"/>
      <c r="AA27" s="264"/>
    </row>
    <row r="28" spans="1:27" ht="15" hidden="1">
      <c r="A28" s="252">
        <f t="shared" si="0"/>
        <v>26</v>
      </c>
      <c r="B28" s="252" t="s">
        <v>76</v>
      </c>
      <c r="C28" s="263"/>
      <c r="D28" s="252" t="s">
        <v>109</v>
      </c>
      <c r="E28" s="253" t="s">
        <v>170</v>
      </c>
      <c r="F28" s="252" t="s">
        <v>54</v>
      </c>
      <c r="G28" s="252" t="s">
        <v>78</v>
      </c>
      <c r="H28" s="252"/>
      <c r="I28" s="252"/>
      <c r="J28" s="252"/>
      <c r="K28" s="252" t="s">
        <v>171</v>
      </c>
      <c r="L28" s="252"/>
      <c r="M28" s="252"/>
      <c r="N28" s="255"/>
      <c r="O28" s="255"/>
      <c r="P28" s="255"/>
      <c r="Q28" s="255"/>
      <c r="R28" s="255"/>
      <c r="S28" s="255"/>
      <c r="T28" s="252" t="s">
        <v>170</v>
      </c>
      <c r="U28" s="257"/>
      <c r="V28" s="255"/>
      <c r="W28" s="255"/>
      <c r="X28" s="255"/>
      <c r="Y28" s="255"/>
      <c r="Z28" s="257"/>
      <c r="AA28" s="257"/>
    </row>
    <row r="29" spans="1:27" ht="30" hidden="1">
      <c r="A29" s="252">
        <f t="shared" si="0"/>
        <v>27</v>
      </c>
      <c r="B29" s="252" t="s">
        <v>117</v>
      </c>
      <c r="C29" s="263"/>
      <c r="D29" s="252" t="s">
        <v>52</v>
      </c>
      <c r="E29" s="253" t="s">
        <v>172</v>
      </c>
      <c r="F29" s="252" t="s">
        <v>119</v>
      </c>
      <c r="G29" s="252" t="s">
        <v>120</v>
      </c>
      <c r="H29" s="252"/>
      <c r="I29" s="252"/>
      <c r="J29" s="252" t="s">
        <v>173</v>
      </c>
      <c r="K29" s="252" t="s">
        <v>174</v>
      </c>
      <c r="L29" s="252" t="e">
        <f>VLOOKUP(#REF!,'29 Chỉ tiêu Text'!$C$2:$F$30,4,0)</f>
        <v>#REF!</v>
      </c>
      <c r="M29" s="252" t="s">
        <v>116</v>
      </c>
      <c r="N29" s="255"/>
      <c r="O29" s="255"/>
      <c r="P29" s="255"/>
      <c r="Q29" s="255"/>
      <c r="R29" s="255"/>
      <c r="S29" s="255"/>
      <c r="T29" s="252" t="s">
        <v>172</v>
      </c>
      <c r="U29" s="257"/>
      <c r="V29" s="255"/>
      <c r="W29" s="255"/>
      <c r="X29" s="255"/>
      <c r="Y29" s="255"/>
      <c r="Z29" s="257"/>
      <c r="AA29" s="257"/>
    </row>
    <row r="30" spans="1:27" ht="15" hidden="1">
      <c r="A30" s="252">
        <f t="shared" si="0"/>
        <v>28</v>
      </c>
      <c r="B30" s="253" t="s">
        <v>117</v>
      </c>
      <c r="C30" s="263"/>
      <c r="D30" s="253" t="s">
        <v>52</v>
      </c>
      <c r="E30" s="253" t="s">
        <v>175</v>
      </c>
      <c r="F30" s="253" t="s">
        <v>119</v>
      </c>
      <c r="G30" s="253"/>
      <c r="H30" s="253"/>
      <c r="I30" s="253"/>
      <c r="J30" s="253" t="s">
        <v>176</v>
      </c>
      <c r="K30" s="253"/>
      <c r="L30" s="252" t="e">
        <f>VLOOKUP(#REF!,'29 Chỉ tiêu Text'!$C$2:$F$30,4,0)</f>
        <v>#REF!</v>
      </c>
      <c r="M30" s="253"/>
      <c r="N30" s="253"/>
      <c r="O30" s="253"/>
      <c r="P30" s="253"/>
      <c r="Q30" s="253"/>
      <c r="R30" s="253"/>
      <c r="S30" s="253"/>
      <c r="T30" s="253"/>
      <c r="U30" s="264"/>
      <c r="V30" s="253"/>
      <c r="W30" s="253"/>
      <c r="X30" s="253"/>
      <c r="Y30" s="253"/>
      <c r="Z30" s="264"/>
      <c r="AA30" s="264"/>
    </row>
    <row r="31" spans="1:27" ht="15" hidden="1">
      <c r="A31" s="252">
        <f t="shared" si="0"/>
        <v>29</v>
      </c>
      <c r="B31" s="253" t="s">
        <v>117</v>
      </c>
      <c r="C31" s="263"/>
      <c r="D31" s="253" t="s">
        <v>52</v>
      </c>
      <c r="E31" s="253" t="s">
        <v>177</v>
      </c>
      <c r="F31" s="253" t="s">
        <v>119</v>
      </c>
      <c r="G31" s="253"/>
      <c r="H31" s="253"/>
      <c r="I31" s="253"/>
      <c r="J31" s="253" t="s">
        <v>178</v>
      </c>
      <c r="K31" s="253"/>
      <c r="L31" s="252" t="e">
        <f>VLOOKUP(#REF!,'29 Chỉ tiêu Text'!$C$2:$F$30,4,0)</f>
        <v>#REF!</v>
      </c>
      <c r="M31" s="253"/>
      <c r="N31" s="253"/>
      <c r="O31" s="253"/>
      <c r="P31" s="253"/>
      <c r="Q31" s="253"/>
      <c r="R31" s="253"/>
      <c r="S31" s="253"/>
      <c r="T31" s="253"/>
      <c r="U31" s="264"/>
      <c r="V31" s="253"/>
      <c r="W31" s="253"/>
      <c r="X31" s="253"/>
      <c r="Y31" s="253"/>
      <c r="Z31" s="264"/>
      <c r="AA31" s="264"/>
    </row>
    <row r="32" spans="1:27" ht="15" hidden="1">
      <c r="A32" s="265">
        <f t="shared" si="0"/>
        <v>30</v>
      </c>
      <c r="B32" s="264" t="s">
        <v>117</v>
      </c>
      <c r="C32" s="263"/>
      <c r="D32" s="264" t="s">
        <v>52</v>
      </c>
      <c r="E32" s="264" t="s">
        <v>179</v>
      </c>
      <c r="F32" s="264" t="s">
        <v>119</v>
      </c>
      <c r="G32" s="264" t="s">
        <v>120</v>
      </c>
      <c r="H32" s="264"/>
      <c r="I32" s="264"/>
      <c r="J32" s="264" t="s">
        <v>180</v>
      </c>
      <c r="K32" s="264" t="s">
        <v>181</v>
      </c>
      <c r="L32" s="252" t="e">
        <f>VLOOKUP(#REF!,'29 Chỉ tiêu Text'!$C$2:$F$30,4,0)</f>
        <v>#REF!</v>
      </c>
      <c r="M32" s="264" t="s">
        <v>116</v>
      </c>
      <c r="N32" s="264"/>
      <c r="O32" s="264"/>
      <c r="P32" s="264"/>
      <c r="Q32" s="264"/>
      <c r="R32" s="264"/>
      <c r="S32" s="264"/>
      <c r="T32" s="264" t="s">
        <v>179</v>
      </c>
      <c r="U32" s="264"/>
      <c r="V32" s="264"/>
      <c r="W32" s="264"/>
      <c r="X32" s="264"/>
      <c r="Y32" s="264"/>
      <c r="Z32" s="264"/>
      <c r="AA32" s="264"/>
    </row>
    <row r="33" spans="1:27" ht="15" hidden="1">
      <c r="A33" s="252">
        <f t="shared" si="0"/>
        <v>31</v>
      </c>
      <c r="B33" s="253" t="s">
        <v>117</v>
      </c>
      <c r="C33" s="263"/>
      <c r="D33" s="253" t="s">
        <v>52</v>
      </c>
      <c r="E33" s="253" t="s">
        <v>182</v>
      </c>
      <c r="F33" s="253" t="s">
        <v>119</v>
      </c>
      <c r="G33" s="253"/>
      <c r="H33" s="253"/>
      <c r="I33" s="253"/>
      <c r="J33" s="253" t="s">
        <v>183</v>
      </c>
      <c r="K33" s="253"/>
      <c r="L33" s="252" t="e">
        <f>VLOOKUP(#REF!,'29 Chỉ tiêu Text'!$C$2:$F$30,4,0)</f>
        <v>#REF!</v>
      </c>
      <c r="M33" s="253"/>
      <c r="N33" s="253"/>
      <c r="O33" s="253"/>
      <c r="P33" s="253"/>
      <c r="Q33" s="253"/>
      <c r="R33" s="253"/>
      <c r="S33" s="253"/>
      <c r="T33" s="253"/>
      <c r="U33" s="264"/>
      <c r="V33" s="253"/>
      <c r="W33" s="253"/>
      <c r="X33" s="253"/>
      <c r="Y33" s="253"/>
      <c r="Z33" s="264"/>
      <c r="AA33" s="264"/>
    </row>
    <row r="34" spans="1:27" ht="30" hidden="1">
      <c r="A34" s="252">
        <f t="shared" si="0"/>
        <v>32</v>
      </c>
      <c r="B34" s="252" t="s">
        <v>117</v>
      </c>
      <c r="C34" s="263"/>
      <c r="D34" s="252" t="s">
        <v>52</v>
      </c>
      <c r="E34" s="253" t="s">
        <v>184</v>
      </c>
      <c r="F34" s="252" t="s">
        <v>119</v>
      </c>
      <c r="G34" s="252" t="s">
        <v>120</v>
      </c>
      <c r="H34" s="252"/>
      <c r="I34" s="252"/>
      <c r="J34" s="252" t="s">
        <v>185</v>
      </c>
      <c r="K34" s="252" t="s">
        <v>186</v>
      </c>
      <c r="L34" s="252" t="e">
        <f>VLOOKUP(#REF!,'29 Chỉ tiêu Text'!$C$2:$F$30,4,0)</f>
        <v>#REF!</v>
      </c>
      <c r="M34" s="252" t="s">
        <v>116</v>
      </c>
      <c r="N34" s="255"/>
      <c r="O34" s="255"/>
      <c r="P34" s="255"/>
      <c r="Q34" s="255"/>
      <c r="R34" s="255"/>
      <c r="S34" s="255"/>
      <c r="T34" s="252" t="s">
        <v>184</v>
      </c>
      <c r="U34" s="257"/>
      <c r="V34" s="255"/>
      <c r="W34" s="255"/>
      <c r="X34" s="255"/>
      <c r="Y34" s="255"/>
      <c r="Z34" s="257"/>
      <c r="AA34" s="257"/>
    </row>
    <row r="35" spans="1:27" ht="30" hidden="1">
      <c r="A35" s="252">
        <f t="shared" si="0"/>
        <v>33</v>
      </c>
      <c r="B35" s="252" t="s">
        <v>76</v>
      </c>
      <c r="C35" s="263"/>
      <c r="D35" s="252" t="s">
        <v>52</v>
      </c>
      <c r="E35" s="253" t="s">
        <v>187</v>
      </c>
      <c r="F35" s="252" t="s">
        <v>54</v>
      </c>
      <c r="G35" s="252" t="s">
        <v>78</v>
      </c>
      <c r="H35" s="252"/>
      <c r="I35" s="252"/>
      <c r="J35" s="252" t="s">
        <v>188</v>
      </c>
      <c r="K35" s="252" t="s">
        <v>189</v>
      </c>
      <c r="L35" s="252"/>
      <c r="M35" s="252" t="s">
        <v>116</v>
      </c>
      <c r="N35" s="255"/>
      <c r="O35" s="255"/>
      <c r="P35" s="255"/>
      <c r="Q35" s="255"/>
      <c r="R35" s="255"/>
      <c r="S35" s="255"/>
      <c r="T35" s="252" t="s">
        <v>187</v>
      </c>
      <c r="U35" s="257"/>
      <c r="V35" s="255"/>
      <c r="W35" s="255"/>
      <c r="X35" s="255"/>
      <c r="Y35" s="255"/>
      <c r="Z35" s="257"/>
      <c r="AA35" s="257"/>
    </row>
    <row r="36" spans="1:27" ht="15" hidden="1">
      <c r="A36" s="252">
        <f t="shared" si="0"/>
        <v>34</v>
      </c>
      <c r="B36" s="252" t="s">
        <v>76</v>
      </c>
      <c r="C36" s="263"/>
      <c r="D36" s="252" t="s">
        <v>109</v>
      </c>
      <c r="E36" s="253" t="s">
        <v>190</v>
      </c>
      <c r="F36" s="252" t="s">
        <v>54</v>
      </c>
      <c r="G36" s="252" t="s">
        <v>78</v>
      </c>
      <c r="H36" s="252"/>
      <c r="I36" s="252"/>
      <c r="J36" s="252"/>
      <c r="K36" s="252" t="s">
        <v>191</v>
      </c>
      <c r="L36" s="252"/>
      <c r="M36" s="252"/>
      <c r="N36" s="255"/>
      <c r="O36" s="255"/>
      <c r="P36" s="255"/>
      <c r="Q36" s="255"/>
      <c r="R36" s="255"/>
      <c r="S36" s="255"/>
      <c r="T36" s="252" t="s">
        <v>190</v>
      </c>
      <c r="U36" s="257"/>
      <c r="V36" s="255"/>
      <c r="W36" s="255"/>
      <c r="X36" s="255"/>
      <c r="Y36" s="255"/>
      <c r="Z36" s="257"/>
      <c r="AA36" s="257"/>
    </row>
    <row r="37" spans="1:27" ht="30" hidden="1">
      <c r="A37" s="252">
        <f t="shared" si="0"/>
        <v>35</v>
      </c>
      <c r="B37" s="252" t="s">
        <v>50</v>
      </c>
      <c r="C37" s="263"/>
      <c r="D37" s="252" t="s">
        <v>109</v>
      </c>
      <c r="E37" s="253" t="s">
        <v>190</v>
      </c>
      <c r="F37" s="252" t="s">
        <v>54</v>
      </c>
      <c r="G37" s="252" t="s">
        <v>135</v>
      </c>
      <c r="H37" s="252"/>
      <c r="I37" s="252"/>
      <c r="J37" s="252"/>
      <c r="K37" s="252" t="s">
        <v>191</v>
      </c>
      <c r="L37" s="252"/>
      <c r="M37" s="252"/>
      <c r="N37" s="255"/>
      <c r="O37" s="255"/>
      <c r="P37" s="255"/>
      <c r="Q37" s="255"/>
      <c r="R37" s="255"/>
      <c r="S37" s="255"/>
      <c r="T37" s="252" t="s">
        <v>190</v>
      </c>
      <c r="U37" s="257"/>
      <c r="V37" s="255"/>
      <c r="W37" s="255"/>
      <c r="X37" s="255"/>
      <c r="Y37" s="255"/>
      <c r="Z37" s="257"/>
      <c r="AA37" s="257"/>
    </row>
    <row r="38" spans="1:27" ht="60.75" hidden="1">
      <c r="A38" s="252">
        <f t="shared" si="0"/>
        <v>36</v>
      </c>
      <c r="B38" s="252" t="s">
        <v>76</v>
      </c>
      <c r="C38" s="263"/>
      <c r="D38" s="252" t="s">
        <v>52</v>
      </c>
      <c r="E38" s="253" t="s">
        <v>192</v>
      </c>
      <c r="F38" s="252" t="s">
        <v>54</v>
      </c>
      <c r="G38" s="252" t="s">
        <v>78</v>
      </c>
      <c r="H38" s="252" t="s">
        <v>193</v>
      </c>
      <c r="I38" s="252" t="s">
        <v>194</v>
      </c>
      <c r="J38" s="252"/>
      <c r="K38" s="252" t="s">
        <v>194</v>
      </c>
      <c r="L38" s="252"/>
      <c r="M38" s="252" t="s">
        <v>40</v>
      </c>
      <c r="N38" s="255" t="s">
        <v>195</v>
      </c>
      <c r="O38" s="255"/>
      <c r="P38" s="255"/>
      <c r="Q38" s="255" t="s">
        <v>60</v>
      </c>
      <c r="R38" s="255">
        <v>2</v>
      </c>
      <c r="S38" s="255" t="s">
        <v>61</v>
      </c>
      <c r="T38" s="252" t="s">
        <v>196</v>
      </c>
      <c r="U38" s="255" t="s">
        <v>197</v>
      </c>
      <c r="V38" s="255" t="s">
        <v>64</v>
      </c>
      <c r="W38" s="255" t="s">
        <v>65</v>
      </c>
      <c r="X38" s="256" t="s">
        <v>66</v>
      </c>
      <c r="Y38" s="255" t="s">
        <v>72</v>
      </c>
      <c r="Z38" s="257"/>
      <c r="AA38" s="257"/>
    </row>
    <row r="39" spans="1:27" ht="30" hidden="1">
      <c r="A39" s="252">
        <f t="shared" si="0"/>
        <v>37</v>
      </c>
      <c r="B39" s="252" t="s">
        <v>117</v>
      </c>
      <c r="C39" s="263"/>
      <c r="D39" s="252" t="s">
        <v>52</v>
      </c>
      <c r="E39" s="253" t="s">
        <v>198</v>
      </c>
      <c r="F39" s="252" t="s">
        <v>119</v>
      </c>
      <c r="G39" s="252" t="s">
        <v>120</v>
      </c>
      <c r="H39" s="252"/>
      <c r="I39" s="252"/>
      <c r="J39" s="252" t="s">
        <v>199</v>
      </c>
      <c r="K39" s="252" t="s">
        <v>200</v>
      </c>
      <c r="L39" s="252" t="e">
        <f>VLOOKUP(#REF!,'29 Chỉ tiêu Text'!$C$2:$F$30,4,0)</f>
        <v>#REF!</v>
      </c>
      <c r="M39" s="252" t="s">
        <v>116</v>
      </c>
      <c r="N39" s="255"/>
      <c r="O39" s="255"/>
      <c r="P39" s="255"/>
      <c r="Q39" s="255"/>
      <c r="R39" s="255"/>
      <c r="S39" s="255"/>
      <c r="T39" s="252" t="s">
        <v>198</v>
      </c>
      <c r="U39" s="257"/>
      <c r="V39" s="255"/>
      <c r="W39" s="255"/>
      <c r="X39" s="255"/>
      <c r="Y39" s="255"/>
      <c r="Z39" s="257"/>
      <c r="AA39" s="257"/>
    </row>
    <row r="40" spans="1:27" ht="15" hidden="1">
      <c r="A40" s="252">
        <f t="shared" si="0"/>
        <v>38</v>
      </c>
      <c r="B40" s="252" t="s">
        <v>50</v>
      </c>
      <c r="C40" s="263"/>
      <c r="D40" s="252" t="s">
        <v>109</v>
      </c>
      <c r="E40" s="253" t="s">
        <v>201</v>
      </c>
      <c r="F40" s="252" t="s">
        <v>89</v>
      </c>
      <c r="G40" s="252" t="s">
        <v>202</v>
      </c>
      <c r="H40" s="252"/>
      <c r="I40" s="252"/>
      <c r="J40" s="252"/>
      <c r="K40" s="252" t="s">
        <v>203</v>
      </c>
      <c r="L40" s="252"/>
      <c r="M40" s="252"/>
      <c r="N40" s="255"/>
      <c r="O40" s="255"/>
      <c r="P40" s="255"/>
      <c r="Q40" s="255"/>
      <c r="R40" s="255"/>
      <c r="S40" s="255"/>
      <c r="T40" s="252" t="s">
        <v>201</v>
      </c>
      <c r="U40" s="257"/>
      <c r="V40" s="255"/>
      <c r="W40" s="255"/>
      <c r="X40" s="255"/>
      <c r="Y40" s="255"/>
      <c r="Z40" s="257"/>
      <c r="AA40" s="257"/>
    </row>
    <row r="41" spans="1:27" ht="15" hidden="1">
      <c r="A41" s="252">
        <f t="shared" si="0"/>
        <v>39</v>
      </c>
      <c r="B41" s="252" t="s">
        <v>50</v>
      </c>
      <c r="C41" s="263"/>
      <c r="D41" s="252" t="s">
        <v>109</v>
      </c>
      <c r="E41" s="253" t="s">
        <v>204</v>
      </c>
      <c r="F41" s="252" t="s">
        <v>89</v>
      </c>
      <c r="G41" s="252" t="s">
        <v>202</v>
      </c>
      <c r="H41" s="252"/>
      <c r="I41" s="252"/>
      <c r="J41" s="252"/>
      <c r="K41" s="252" t="s">
        <v>205</v>
      </c>
      <c r="L41" s="252"/>
      <c r="M41" s="252"/>
      <c r="N41" s="255"/>
      <c r="O41" s="255"/>
      <c r="P41" s="255"/>
      <c r="Q41" s="255"/>
      <c r="R41" s="255"/>
      <c r="S41" s="255"/>
      <c r="T41" s="252" t="s">
        <v>204</v>
      </c>
      <c r="U41" s="257"/>
      <c r="V41" s="255"/>
      <c r="W41" s="255"/>
      <c r="X41" s="255"/>
      <c r="Y41" s="255"/>
      <c r="Z41" s="257"/>
      <c r="AA41" s="257"/>
    </row>
    <row r="42" spans="1:27" ht="15" hidden="1">
      <c r="A42" s="252">
        <f t="shared" si="0"/>
        <v>40</v>
      </c>
      <c r="B42" s="252" t="s">
        <v>50</v>
      </c>
      <c r="C42" s="263"/>
      <c r="D42" s="252" t="s">
        <v>109</v>
      </c>
      <c r="E42" s="253" t="s">
        <v>206</v>
      </c>
      <c r="F42" s="252" t="s">
        <v>89</v>
      </c>
      <c r="G42" s="252" t="s">
        <v>202</v>
      </c>
      <c r="H42" s="252"/>
      <c r="I42" s="252"/>
      <c r="J42" s="252"/>
      <c r="K42" s="252" t="s">
        <v>207</v>
      </c>
      <c r="L42" s="252"/>
      <c r="M42" s="252"/>
      <c r="N42" s="255"/>
      <c r="O42" s="255"/>
      <c r="P42" s="255"/>
      <c r="Q42" s="255"/>
      <c r="R42" s="255"/>
      <c r="S42" s="255"/>
      <c r="T42" s="252" t="s">
        <v>206</v>
      </c>
      <c r="U42" s="257"/>
      <c r="V42" s="255"/>
      <c r="W42" s="255"/>
      <c r="X42" s="255"/>
      <c r="Y42" s="255"/>
      <c r="Z42" s="257"/>
      <c r="AA42" s="257"/>
    </row>
    <row r="43" spans="1:27" ht="30" hidden="1">
      <c r="A43" s="252">
        <f t="shared" si="0"/>
        <v>41</v>
      </c>
      <c r="B43" s="252" t="s">
        <v>208</v>
      </c>
      <c r="C43" s="263"/>
      <c r="D43" s="252" t="s">
        <v>52</v>
      </c>
      <c r="E43" s="253" t="s">
        <v>209</v>
      </c>
      <c r="F43" s="252" t="s">
        <v>89</v>
      </c>
      <c r="G43" s="252" t="s">
        <v>111</v>
      </c>
      <c r="H43" s="252" t="s">
        <v>210</v>
      </c>
      <c r="I43" s="252" t="s">
        <v>211</v>
      </c>
      <c r="J43" s="252"/>
      <c r="K43" s="252" t="s">
        <v>212</v>
      </c>
      <c r="L43" s="252"/>
      <c r="M43" s="252" t="s">
        <v>40</v>
      </c>
      <c r="N43" s="255" t="s">
        <v>213</v>
      </c>
      <c r="O43" s="255"/>
      <c r="P43" s="255"/>
      <c r="Q43" s="255" t="s">
        <v>214</v>
      </c>
      <c r="R43" s="255" t="s">
        <v>214</v>
      </c>
      <c r="S43" s="255" t="s">
        <v>61</v>
      </c>
      <c r="T43" s="252" t="s">
        <v>209</v>
      </c>
      <c r="U43" s="266" t="s">
        <v>215</v>
      </c>
      <c r="V43" s="258" t="s">
        <v>216</v>
      </c>
      <c r="W43" s="258" t="s">
        <v>217</v>
      </c>
      <c r="X43" s="267" t="s">
        <v>66</v>
      </c>
      <c r="Y43" s="255" t="s">
        <v>61</v>
      </c>
      <c r="Z43" s="257" t="s">
        <v>218</v>
      </c>
      <c r="AA43" s="257"/>
    </row>
    <row r="44" spans="1:27" ht="30" hidden="1">
      <c r="A44" s="252">
        <f t="shared" si="0"/>
        <v>42</v>
      </c>
      <c r="B44" s="252" t="s">
        <v>219</v>
      </c>
      <c r="C44" s="263"/>
      <c r="D44" s="252" t="s">
        <v>109</v>
      </c>
      <c r="E44" s="253" t="s">
        <v>220</v>
      </c>
      <c r="F44" s="252" t="s">
        <v>89</v>
      </c>
      <c r="G44" s="252" t="s">
        <v>111</v>
      </c>
      <c r="H44" s="252"/>
      <c r="I44" s="252"/>
      <c r="J44" s="252"/>
      <c r="K44" s="252" t="s">
        <v>221</v>
      </c>
      <c r="L44" s="252"/>
      <c r="M44" s="252"/>
      <c r="N44" s="255"/>
      <c r="O44" s="255"/>
      <c r="P44" s="255"/>
      <c r="Q44" s="255"/>
      <c r="R44" s="255"/>
      <c r="S44" s="255"/>
      <c r="T44" s="252" t="s">
        <v>220</v>
      </c>
      <c r="U44" s="257"/>
      <c r="V44" s="255"/>
      <c r="W44" s="255"/>
      <c r="X44" s="255"/>
      <c r="Y44" s="255"/>
      <c r="Z44" s="257"/>
      <c r="AA44" s="257"/>
    </row>
    <row r="45" spans="1:27" ht="45.75">
      <c r="A45" s="252">
        <f t="shared" si="0"/>
        <v>43</v>
      </c>
      <c r="B45" s="252" t="s">
        <v>208</v>
      </c>
      <c r="C45" s="263"/>
      <c r="D45" s="252" t="s">
        <v>52</v>
      </c>
      <c r="E45" s="253" t="s">
        <v>222</v>
      </c>
      <c r="F45" s="252" t="s">
        <v>89</v>
      </c>
      <c r="G45" s="252" t="s">
        <v>111</v>
      </c>
      <c r="H45" s="252" t="s">
        <v>223</v>
      </c>
      <c r="I45" s="252" t="s">
        <v>224</v>
      </c>
      <c r="J45" s="252"/>
      <c r="K45" s="252" t="s">
        <v>224</v>
      </c>
      <c r="L45" s="252"/>
      <c r="M45" s="252" t="s">
        <v>40</v>
      </c>
      <c r="N45" s="255" t="s">
        <v>82</v>
      </c>
      <c r="O45" s="297" t="s">
        <v>225</v>
      </c>
      <c r="P45" s="255">
        <v>2</v>
      </c>
      <c r="Q45" s="255">
        <v>2</v>
      </c>
      <c r="R45" s="255">
        <v>2</v>
      </c>
      <c r="S45" s="255" t="s">
        <v>61</v>
      </c>
      <c r="T45" s="252" t="s">
        <v>222</v>
      </c>
      <c r="U45" s="257" t="s">
        <v>226</v>
      </c>
      <c r="V45" s="255" t="s">
        <v>64</v>
      </c>
      <c r="W45" s="255" t="s">
        <v>65</v>
      </c>
      <c r="X45" s="256" t="s">
        <v>66</v>
      </c>
      <c r="Y45" s="255" t="s">
        <v>61</v>
      </c>
      <c r="Z45" s="257" t="s">
        <v>227</v>
      </c>
      <c r="AA45" s="268" t="s">
        <v>228</v>
      </c>
    </row>
    <row r="46" spans="1:27" ht="15" hidden="1">
      <c r="A46" s="252">
        <f t="shared" si="0"/>
        <v>44</v>
      </c>
      <c r="B46" s="252" t="s">
        <v>50</v>
      </c>
      <c r="C46" s="263"/>
      <c r="D46" s="252" t="s">
        <v>109</v>
      </c>
      <c r="E46" s="253" t="s">
        <v>229</v>
      </c>
      <c r="F46" s="252" t="s">
        <v>89</v>
      </c>
      <c r="G46" s="252" t="s">
        <v>111</v>
      </c>
      <c r="H46" s="252"/>
      <c r="I46" s="252"/>
      <c r="J46" s="252"/>
      <c r="K46" s="252" t="s">
        <v>230</v>
      </c>
      <c r="L46" s="252"/>
      <c r="M46" s="252"/>
      <c r="N46" s="255"/>
      <c r="O46" s="255"/>
      <c r="P46" s="255"/>
      <c r="Q46" s="255"/>
      <c r="R46" s="255"/>
      <c r="S46" s="255"/>
      <c r="T46" s="252" t="s">
        <v>229</v>
      </c>
      <c r="U46" s="257"/>
      <c r="V46" s="255"/>
      <c r="W46" s="255"/>
      <c r="X46" s="255"/>
      <c r="Y46" s="255"/>
      <c r="Z46" s="257"/>
      <c r="AA46" s="257"/>
    </row>
    <row r="47" spans="1:27" ht="15" hidden="1">
      <c r="A47" s="252">
        <f t="shared" si="0"/>
        <v>45</v>
      </c>
      <c r="B47" s="252" t="s">
        <v>50</v>
      </c>
      <c r="C47" s="263"/>
      <c r="D47" s="252" t="s">
        <v>109</v>
      </c>
      <c r="E47" s="253" t="s">
        <v>231</v>
      </c>
      <c r="F47" s="252" t="s">
        <v>89</v>
      </c>
      <c r="G47" s="252" t="s">
        <v>111</v>
      </c>
      <c r="H47" s="252"/>
      <c r="I47" s="252"/>
      <c r="J47" s="252"/>
      <c r="K47" s="252" t="s">
        <v>232</v>
      </c>
      <c r="L47" s="252"/>
      <c r="M47" s="252"/>
      <c r="N47" s="255"/>
      <c r="O47" s="255"/>
      <c r="P47" s="255"/>
      <c r="Q47" s="255"/>
      <c r="R47" s="255"/>
      <c r="S47" s="255"/>
      <c r="T47" s="252" t="s">
        <v>231</v>
      </c>
      <c r="U47" s="257"/>
      <c r="V47" s="255"/>
      <c r="W47" s="255"/>
      <c r="X47" s="255"/>
      <c r="Y47" s="255"/>
      <c r="Z47" s="257"/>
      <c r="AA47" s="257"/>
    </row>
    <row r="48" spans="1:27" ht="30" hidden="1">
      <c r="A48" s="252">
        <f t="shared" si="0"/>
        <v>46</v>
      </c>
      <c r="B48" s="252" t="s">
        <v>50</v>
      </c>
      <c r="C48" s="263" t="s">
        <v>233</v>
      </c>
      <c r="D48" s="252" t="s">
        <v>52</v>
      </c>
      <c r="E48" s="253" t="s">
        <v>234</v>
      </c>
      <c r="F48" s="252" t="s">
        <v>89</v>
      </c>
      <c r="G48" s="252" t="s">
        <v>111</v>
      </c>
      <c r="H48" s="252" t="s">
        <v>235</v>
      </c>
      <c r="I48" s="252" t="s">
        <v>236</v>
      </c>
      <c r="J48" s="252"/>
      <c r="K48" s="252" t="s">
        <v>237</v>
      </c>
      <c r="L48" s="252"/>
      <c r="M48" s="263" t="s">
        <v>40</v>
      </c>
      <c r="N48" s="255" t="s">
        <v>238</v>
      </c>
      <c r="O48" s="255"/>
      <c r="P48" s="255">
        <v>2</v>
      </c>
      <c r="Q48" s="255">
        <v>2</v>
      </c>
      <c r="R48" s="255">
        <v>2</v>
      </c>
      <c r="S48" s="255" t="s">
        <v>61</v>
      </c>
      <c r="T48" s="252" t="s">
        <v>234</v>
      </c>
      <c r="U48" s="257" t="s">
        <v>239</v>
      </c>
      <c r="V48" s="255" t="s">
        <v>216</v>
      </c>
      <c r="W48" s="255" t="s">
        <v>65</v>
      </c>
      <c r="X48" s="256" t="s">
        <v>66</v>
      </c>
      <c r="Y48" s="255" t="s">
        <v>61</v>
      </c>
      <c r="Z48" s="257" t="s">
        <v>240</v>
      </c>
      <c r="AA48" s="257"/>
    </row>
    <row r="49" spans="1:27" ht="15" hidden="1">
      <c r="A49" s="252">
        <f t="shared" si="0"/>
        <v>47</v>
      </c>
      <c r="B49" s="252" t="s">
        <v>50</v>
      </c>
      <c r="C49" s="263" t="s">
        <v>233</v>
      </c>
      <c r="D49" s="252" t="s">
        <v>109</v>
      </c>
      <c r="E49" s="253" t="s">
        <v>241</v>
      </c>
      <c r="F49" s="252" t="s">
        <v>89</v>
      </c>
      <c r="G49" s="252" t="s">
        <v>111</v>
      </c>
      <c r="H49" s="252"/>
      <c r="I49" s="252"/>
      <c r="J49" s="252"/>
      <c r="K49" s="252" t="s">
        <v>242</v>
      </c>
      <c r="L49" s="252"/>
      <c r="M49" s="252"/>
      <c r="N49" s="255"/>
      <c r="O49" s="255"/>
      <c r="P49" s="255"/>
      <c r="Q49" s="255"/>
      <c r="R49" s="255"/>
      <c r="S49" s="255"/>
      <c r="T49" s="252" t="s">
        <v>241</v>
      </c>
      <c r="U49" s="257"/>
      <c r="V49" s="255"/>
      <c r="W49" s="255"/>
      <c r="X49" s="255"/>
      <c r="Y49" s="255"/>
      <c r="Z49" s="257"/>
      <c r="AA49" s="257"/>
    </row>
    <row r="50" spans="1:27" ht="30" hidden="1">
      <c r="A50" s="252">
        <f t="shared" si="0"/>
        <v>48</v>
      </c>
      <c r="B50" s="252" t="s">
        <v>50</v>
      </c>
      <c r="C50" s="263" t="s">
        <v>233</v>
      </c>
      <c r="D50" s="252" t="s">
        <v>52</v>
      </c>
      <c r="E50" s="253" t="s">
        <v>243</v>
      </c>
      <c r="F50" s="252" t="s">
        <v>89</v>
      </c>
      <c r="G50" s="252" t="s">
        <v>111</v>
      </c>
      <c r="H50" s="252" t="s">
        <v>244</v>
      </c>
      <c r="I50" s="252" t="s">
        <v>245</v>
      </c>
      <c r="J50" s="252"/>
      <c r="K50" s="252" t="s">
        <v>246</v>
      </c>
      <c r="L50" s="252"/>
      <c r="M50" s="263" t="s">
        <v>40</v>
      </c>
      <c r="N50" s="255" t="s">
        <v>238</v>
      </c>
      <c r="O50" s="255"/>
      <c r="P50" s="255">
        <v>2</v>
      </c>
      <c r="Q50" s="255">
        <v>2</v>
      </c>
      <c r="R50" s="255">
        <v>2</v>
      </c>
      <c r="S50" s="255" t="s">
        <v>61</v>
      </c>
      <c r="T50" s="252" t="s">
        <v>243</v>
      </c>
      <c r="U50" s="257" t="s">
        <v>247</v>
      </c>
      <c r="V50" s="255" t="s">
        <v>216</v>
      </c>
      <c r="W50" s="255" t="s">
        <v>65</v>
      </c>
      <c r="X50" s="256" t="s">
        <v>66</v>
      </c>
      <c r="Y50" s="255" t="s">
        <v>61</v>
      </c>
      <c r="Z50" s="257" t="s">
        <v>240</v>
      </c>
      <c r="AA50" s="257"/>
    </row>
    <row r="51" spans="1:27" ht="75.75">
      <c r="A51" s="252">
        <f t="shared" si="0"/>
        <v>49</v>
      </c>
      <c r="B51" s="252" t="s">
        <v>208</v>
      </c>
      <c r="C51" s="263"/>
      <c r="D51" s="252" t="s">
        <v>52</v>
      </c>
      <c r="E51" s="253" t="s">
        <v>248</v>
      </c>
      <c r="F51" s="252" t="s">
        <v>89</v>
      </c>
      <c r="G51" s="252" t="s">
        <v>111</v>
      </c>
      <c r="H51" s="252" t="s">
        <v>249</v>
      </c>
      <c r="I51" s="252" t="s">
        <v>250</v>
      </c>
      <c r="J51" s="252"/>
      <c r="K51" s="252" t="s">
        <v>250</v>
      </c>
      <c r="L51" s="252"/>
      <c r="M51" s="252" t="s">
        <v>40</v>
      </c>
      <c r="N51" s="255" t="s">
        <v>251</v>
      </c>
      <c r="P51" s="255"/>
      <c r="Q51" s="255" t="s">
        <v>214</v>
      </c>
      <c r="R51" s="255" t="s">
        <v>214</v>
      </c>
      <c r="S51" s="255" t="s">
        <v>61</v>
      </c>
      <c r="T51" s="252" t="s">
        <v>248</v>
      </c>
      <c r="U51" s="257" t="s">
        <v>252</v>
      </c>
      <c r="V51" s="255" t="s">
        <v>253</v>
      </c>
      <c r="W51" s="255" t="s">
        <v>65</v>
      </c>
      <c r="X51" s="256" t="s">
        <v>66</v>
      </c>
      <c r="Y51" s="255" t="s">
        <v>61</v>
      </c>
      <c r="Z51" s="257"/>
      <c r="AA51" s="255" t="s">
        <v>254</v>
      </c>
    </row>
    <row r="52" spans="1:27" ht="15" hidden="1">
      <c r="A52" s="252">
        <f t="shared" si="0"/>
        <v>50</v>
      </c>
      <c r="B52" s="252" t="s">
        <v>50</v>
      </c>
      <c r="C52" s="263"/>
      <c r="D52" s="252" t="s">
        <v>109</v>
      </c>
      <c r="E52" s="253" t="s">
        <v>255</v>
      </c>
      <c r="F52" s="252" t="s">
        <v>89</v>
      </c>
      <c r="G52" s="252" t="s">
        <v>111</v>
      </c>
      <c r="H52" s="252"/>
      <c r="I52" s="252"/>
      <c r="J52" s="252"/>
      <c r="K52" s="252" t="s">
        <v>256</v>
      </c>
      <c r="L52" s="252"/>
      <c r="M52" s="252"/>
      <c r="N52" s="255"/>
      <c r="O52" s="255"/>
      <c r="P52" s="255"/>
      <c r="Q52" s="255"/>
      <c r="R52" s="255"/>
      <c r="S52" s="255"/>
      <c r="T52" s="252" t="s">
        <v>255</v>
      </c>
      <c r="U52" s="257"/>
      <c r="V52" s="255"/>
      <c r="W52" s="255"/>
      <c r="X52" s="255"/>
      <c r="Y52" s="255"/>
      <c r="Z52" s="257"/>
      <c r="AA52" s="257"/>
    </row>
    <row r="53" spans="1:27" ht="15" hidden="1">
      <c r="A53" s="252">
        <f t="shared" si="0"/>
        <v>51</v>
      </c>
      <c r="B53" s="252" t="s">
        <v>208</v>
      </c>
      <c r="C53" s="263"/>
      <c r="D53" s="252" t="s">
        <v>109</v>
      </c>
      <c r="E53" s="253" t="s">
        <v>257</v>
      </c>
      <c r="F53" s="252" t="s">
        <v>89</v>
      </c>
      <c r="G53" s="259" t="s">
        <v>111</v>
      </c>
      <c r="H53" s="259"/>
      <c r="I53" s="259"/>
      <c r="J53" s="252"/>
      <c r="K53" s="252" t="s">
        <v>258</v>
      </c>
      <c r="L53" s="259"/>
      <c r="M53" s="252"/>
      <c r="N53" s="255"/>
      <c r="O53" s="255"/>
      <c r="P53" s="255"/>
      <c r="Q53" s="255"/>
      <c r="R53" s="255"/>
      <c r="S53" s="255"/>
      <c r="T53" s="252" t="s">
        <v>257</v>
      </c>
      <c r="U53" s="257"/>
      <c r="V53" s="255"/>
      <c r="W53" s="255"/>
      <c r="X53" s="255"/>
      <c r="Y53" s="255"/>
      <c r="Z53" s="257"/>
      <c r="AA53" s="257"/>
    </row>
    <row r="54" spans="1:27" ht="45.75" hidden="1">
      <c r="A54" s="252">
        <f t="shared" si="0"/>
        <v>52</v>
      </c>
      <c r="B54" s="252" t="s">
        <v>208</v>
      </c>
      <c r="C54" s="263"/>
      <c r="D54" s="252" t="s">
        <v>52</v>
      </c>
      <c r="E54" s="253" t="s">
        <v>259</v>
      </c>
      <c r="F54" s="261" t="s">
        <v>89</v>
      </c>
      <c r="G54" s="252" t="s">
        <v>111</v>
      </c>
      <c r="H54" s="252" t="s">
        <v>260</v>
      </c>
      <c r="I54" s="252" t="s">
        <v>261</v>
      </c>
      <c r="J54" s="262"/>
      <c r="K54" s="261" t="s">
        <v>262</v>
      </c>
      <c r="L54" s="252"/>
      <c r="M54" s="252" t="s">
        <v>40</v>
      </c>
      <c r="N54" s="255" t="s">
        <v>263</v>
      </c>
      <c r="O54" s="255"/>
      <c r="P54" s="255"/>
      <c r="Q54" s="255" t="s">
        <v>214</v>
      </c>
      <c r="R54" s="255" t="s">
        <v>214</v>
      </c>
      <c r="S54" s="255" t="s">
        <v>61</v>
      </c>
      <c r="T54" s="252" t="s">
        <v>259</v>
      </c>
      <c r="U54" s="257" t="s">
        <v>264</v>
      </c>
      <c r="V54" s="255" t="s">
        <v>253</v>
      </c>
      <c r="W54" s="255" t="s">
        <v>65</v>
      </c>
      <c r="X54" s="256" t="s">
        <v>66</v>
      </c>
      <c r="Y54" s="255" t="s">
        <v>61</v>
      </c>
      <c r="Z54" s="257"/>
      <c r="AA54" s="257"/>
    </row>
    <row r="55" spans="1:27" ht="15" hidden="1">
      <c r="A55" s="252">
        <f t="shared" si="0"/>
        <v>53</v>
      </c>
      <c r="B55" s="252" t="s">
        <v>208</v>
      </c>
      <c r="C55" s="263"/>
      <c r="D55" s="252" t="s">
        <v>52</v>
      </c>
      <c r="E55" s="253" t="s">
        <v>265</v>
      </c>
      <c r="F55" s="261" t="s">
        <v>89</v>
      </c>
      <c r="G55" s="252" t="s">
        <v>111</v>
      </c>
      <c r="H55" s="252" t="s">
        <v>266</v>
      </c>
      <c r="I55" s="252" t="s">
        <v>267</v>
      </c>
      <c r="J55" s="262"/>
      <c r="K55" s="261" t="s">
        <v>268</v>
      </c>
      <c r="L55" s="252"/>
      <c r="M55" s="252" t="s">
        <v>40</v>
      </c>
      <c r="N55" s="255" t="s">
        <v>269</v>
      </c>
      <c r="O55" s="255"/>
      <c r="P55" s="255">
        <v>2</v>
      </c>
      <c r="Q55" s="255">
        <v>2</v>
      </c>
      <c r="R55" s="255" t="s">
        <v>214</v>
      </c>
      <c r="S55" s="255" t="s">
        <v>61</v>
      </c>
      <c r="T55" s="252" t="s">
        <v>265</v>
      </c>
      <c r="U55" s="257" t="s">
        <v>270</v>
      </c>
      <c r="V55" s="255" t="s">
        <v>253</v>
      </c>
      <c r="W55" s="255" t="s">
        <v>65</v>
      </c>
      <c r="X55" s="256" t="s">
        <v>66</v>
      </c>
      <c r="Y55" s="255" t="s">
        <v>61</v>
      </c>
      <c r="Z55" s="257"/>
      <c r="AA55" s="257"/>
    </row>
    <row r="56" spans="1:27" s="237" customFormat="1" ht="15" hidden="1">
      <c r="A56" s="252">
        <f t="shared" si="0"/>
        <v>54</v>
      </c>
      <c r="B56" s="260" t="s">
        <v>86</v>
      </c>
      <c r="C56" s="263"/>
      <c r="D56" s="252" t="s">
        <v>109</v>
      </c>
      <c r="E56" s="253" t="s">
        <v>271</v>
      </c>
      <c r="F56" s="261" t="s">
        <v>89</v>
      </c>
      <c r="G56" s="263" t="s">
        <v>111</v>
      </c>
      <c r="H56" s="263"/>
      <c r="I56" s="263"/>
      <c r="J56" s="262"/>
      <c r="K56" s="252" t="s">
        <v>272</v>
      </c>
      <c r="L56" s="263"/>
      <c r="M56" s="252"/>
      <c r="N56" s="255"/>
      <c r="O56" s="255"/>
      <c r="P56" s="255"/>
      <c r="Q56" s="255"/>
      <c r="R56" s="255"/>
      <c r="S56" s="255"/>
      <c r="T56" s="252" t="s">
        <v>271</v>
      </c>
      <c r="U56" s="257"/>
      <c r="V56" s="255"/>
      <c r="W56" s="255"/>
      <c r="X56" s="255"/>
      <c r="Y56" s="255"/>
      <c r="Z56" s="257"/>
      <c r="AA56" s="257"/>
    </row>
    <row r="57" spans="1:27" ht="60.75" hidden="1">
      <c r="A57" s="252">
        <f t="shared" si="0"/>
        <v>55</v>
      </c>
      <c r="B57" s="269" t="s">
        <v>219</v>
      </c>
      <c r="C57" s="263"/>
      <c r="D57" s="269" t="s">
        <v>109</v>
      </c>
      <c r="E57" s="253" t="s">
        <v>273</v>
      </c>
      <c r="F57" s="269" t="s">
        <v>89</v>
      </c>
      <c r="G57" s="270" t="s">
        <v>111</v>
      </c>
      <c r="H57" s="270"/>
      <c r="I57" s="270"/>
      <c r="J57" s="252"/>
      <c r="K57" s="269" t="s">
        <v>274</v>
      </c>
      <c r="L57" s="252"/>
      <c r="M57" s="269" t="s">
        <v>275</v>
      </c>
      <c r="N57" s="255"/>
      <c r="O57" s="255"/>
      <c r="P57" s="255"/>
      <c r="Q57" s="255" t="s">
        <v>214</v>
      </c>
      <c r="R57" s="255" t="s">
        <v>214</v>
      </c>
      <c r="S57" s="255"/>
      <c r="T57" s="269" t="s">
        <v>273</v>
      </c>
      <c r="U57" s="257"/>
      <c r="V57" s="255"/>
      <c r="W57" s="255"/>
      <c r="X57" s="255"/>
      <c r="Y57" s="255"/>
      <c r="Z57" s="257"/>
      <c r="AA57" s="257"/>
    </row>
    <row r="58" spans="1:27" ht="15" hidden="1">
      <c r="A58" s="252">
        <f t="shared" si="0"/>
        <v>56</v>
      </c>
      <c r="B58" s="252" t="s">
        <v>50</v>
      </c>
      <c r="C58" s="263"/>
      <c r="D58" s="252" t="s">
        <v>109</v>
      </c>
      <c r="E58" s="253" t="s">
        <v>276</v>
      </c>
      <c r="F58" s="252" t="s">
        <v>89</v>
      </c>
      <c r="G58" s="252" t="s">
        <v>202</v>
      </c>
      <c r="H58" s="252"/>
      <c r="I58" s="252"/>
      <c r="J58" s="252"/>
      <c r="K58" s="252" t="s">
        <v>277</v>
      </c>
      <c r="L58" s="252"/>
      <c r="M58" s="252"/>
      <c r="N58" s="255"/>
      <c r="O58" s="255"/>
      <c r="P58" s="255"/>
      <c r="Q58" s="255"/>
      <c r="R58" s="255"/>
      <c r="S58" s="255"/>
      <c r="T58" s="252" t="s">
        <v>276</v>
      </c>
      <c r="U58" s="257"/>
      <c r="V58" s="255"/>
      <c r="W58" s="255"/>
      <c r="X58" s="255"/>
      <c r="Y58" s="255"/>
      <c r="Z58" s="257"/>
      <c r="AA58" s="257"/>
    </row>
    <row r="59" spans="1:27" ht="15" hidden="1">
      <c r="A59" s="252">
        <f t="shared" si="0"/>
        <v>57</v>
      </c>
      <c r="B59" s="252" t="s">
        <v>50</v>
      </c>
      <c r="C59" s="263"/>
      <c r="D59" s="252" t="s">
        <v>109</v>
      </c>
      <c r="E59" s="253" t="s">
        <v>278</v>
      </c>
      <c r="F59" s="252" t="s">
        <v>89</v>
      </c>
      <c r="G59" s="252" t="s">
        <v>202</v>
      </c>
      <c r="H59" s="252"/>
      <c r="I59" s="252"/>
      <c r="J59" s="252"/>
      <c r="K59" s="252" t="s">
        <v>279</v>
      </c>
      <c r="L59" s="252"/>
      <c r="M59" s="252"/>
      <c r="N59" s="255"/>
      <c r="O59" s="255"/>
      <c r="P59" s="255"/>
      <c r="Q59" s="255"/>
      <c r="R59" s="255"/>
      <c r="S59" s="255"/>
      <c r="T59" s="252" t="s">
        <v>278</v>
      </c>
      <c r="U59" s="257"/>
      <c r="V59" s="255"/>
      <c r="W59" s="255"/>
      <c r="X59" s="255"/>
      <c r="Y59" s="255"/>
      <c r="Z59" s="257"/>
      <c r="AA59" s="257"/>
    </row>
    <row r="60" spans="1:27" ht="15" hidden="1">
      <c r="A60" s="252">
        <f t="shared" si="0"/>
        <v>58</v>
      </c>
      <c r="B60" s="252" t="s">
        <v>50</v>
      </c>
      <c r="C60" s="263"/>
      <c r="D60" s="252" t="s">
        <v>109</v>
      </c>
      <c r="E60" s="253" t="s">
        <v>280</v>
      </c>
      <c r="F60" s="252" t="s">
        <v>89</v>
      </c>
      <c r="G60" s="252" t="s">
        <v>202</v>
      </c>
      <c r="H60" s="252"/>
      <c r="I60" s="252"/>
      <c r="J60" s="252"/>
      <c r="K60" s="252" t="s">
        <v>281</v>
      </c>
      <c r="L60" s="252"/>
      <c r="M60" s="252"/>
      <c r="N60" s="255"/>
      <c r="O60" s="255"/>
      <c r="P60" s="255"/>
      <c r="Q60" s="255"/>
      <c r="R60" s="255"/>
      <c r="S60" s="255"/>
      <c r="T60" s="252" t="s">
        <v>280</v>
      </c>
      <c r="U60" s="257"/>
      <c r="V60" s="255"/>
      <c r="W60" s="255"/>
      <c r="X60" s="255"/>
      <c r="Y60" s="255"/>
      <c r="Z60" s="257"/>
      <c r="AA60" s="257"/>
    </row>
    <row r="61" spans="1:27" ht="15" hidden="1">
      <c r="A61" s="252">
        <f t="shared" si="0"/>
        <v>59</v>
      </c>
      <c r="B61" s="252" t="s">
        <v>50</v>
      </c>
      <c r="C61" s="263"/>
      <c r="D61" s="252" t="s">
        <v>109</v>
      </c>
      <c r="E61" s="253" t="s">
        <v>282</v>
      </c>
      <c r="F61" s="252" t="s">
        <v>89</v>
      </c>
      <c r="G61" s="252" t="s">
        <v>202</v>
      </c>
      <c r="H61" s="252"/>
      <c r="I61" s="252"/>
      <c r="J61" s="252"/>
      <c r="K61" s="252" t="s">
        <v>283</v>
      </c>
      <c r="L61" s="252"/>
      <c r="M61" s="252"/>
      <c r="N61" s="255"/>
      <c r="O61" s="255"/>
      <c r="P61" s="255"/>
      <c r="Q61" s="255"/>
      <c r="R61" s="255"/>
      <c r="S61" s="255"/>
      <c r="T61" s="252" t="s">
        <v>282</v>
      </c>
      <c r="U61" s="257"/>
      <c r="V61" s="255"/>
      <c r="W61" s="255"/>
      <c r="X61" s="255"/>
      <c r="Y61" s="255"/>
      <c r="Z61" s="257"/>
      <c r="AA61" s="257"/>
    </row>
    <row r="62" spans="1:27" ht="30" hidden="1">
      <c r="A62" s="252">
        <f t="shared" si="0"/>
        <v>60</v>
      </c>
      <c r="B62" s="252" t="s">
        <v>50</v>
      </c>
      <c r="C62" s="263"/>
      <c r="D62" s="252" t="s">
        <v>109</v>
      </c>
      <c r="E62" s="253" t="s">
        <v>284</v>
      </c>
      <c r="F62" s="252" t="s">
        <v>54</v>
      </c>
      <c r="G62" s="252" t="s">
        <v>135</v>
      </c>
      <c r="H62" s="252"/>
      <c r="I62" s="252"/>
      <c r="J62" s="252"/>
      <c r="K62" s="252" t="s">
        <v>285</v>
      </c>
      <c r="L62" s="252"/>
      <c r="M62" s="252"/>
      <c r="N62" s="255"/>
      <c r="O62" s="255"/>
      <c r="P62" s="255"/>
      <c r="Q62" s="255"/>
      <c r="R62" s="255"/>
      <c r="S62" s="255"/>
      <c r="T62" s="252" t="s">
        <v>284</v>
      </c>
      <c r="U62" s="257"/>
      <c r="V62" s="255"/>
      <c r="W62" s="255"/>
      <c r="X62" s="255"/>
      <c r="Y62" s="255"/>
      <c r="Z62" s="257"/>
      <c r="AA62" s="257"/>
    </row>
    <row r="63" spans="1:27" ht="15" hidden="1">
      <c r="A63" s="252">
        <f t="shared" si="0"/>
        <v>61</v>
      </c>
      <c r="B63" s="252" t="s">
        <v>50</v>
      </c>
      <c r="C63" s="263"/>
      <c r="D63" s="252" t="s">
        <v>109</v>
      </c>
      <c r="E63" s="253" t="s">
        <v>284</v>
      </c>
      <c r="F63" s="252" t="s">
        <v>89</v>
      </c>
      <c r="G63" s="252" t="s">
        <v>202</v>
      </c>
      <c r="H63" s="252"/>
      <c r="I63" s="252"/>
      <c r="J63" s="252"/>
      <c r="K63" s="252" t="s">
        <v>286</v>
      </c>
      <c r="L63" s="252"/>
      <c r="M63" s="252"/>
      <c r="N63" s="255"/>
      <c r="O63" s="255"/>
      <c r="P63" s="255"/>
      <c r="Q63" s="255"/>
      <c r="R63" s="255"/>
      <c r="S63" s="255"/>
      <c r="T63" s="252" t="s">
        <v>284</v>
      </c>
      <c r="U63" s="257"/>
      <c r="V63" s="255"/>
      <c r="W63" s="255"/>
      <c r="X63" s="255"/>
      <c r="Y63" s="255"/>
      <c r="Z63" s="257"/>
      <c r="AA63" s="257"/>
    </row>
    <row r="64" spans="1:27" ht="30" hidden="1">
      <c r="A64" s="252">
        <f t="shared" si="0"/>
        <v>62</v>
      </c>
      <c r="B64" s="252" t="s">
        <v>117</v>
      </c>
      <c r="C64" s="263"/>
      <c r="D64" s="252" t="s">
        <v>52</v>
      </c>
      <c r="E64" s="253" t="s">
        <v>287</v>
      </c>
      <c r="F64" s="252" t="s">
        <v>119</v>
      </c>
      <c r="G64" s="259" t="s">
        <v>120</v>
      </c>
      <c r="H64" s="259"/>
      <c r="I64" s="259"/>
      <c r="J64" s="252" t="s">
        <v>288</v>
      </c>
      <c r="K64" s="252" t="s">
        <v>289</v>
      </c>
      <c r="L64" s="252" t="e">
        <f>VLOOKUP(#REF!,'29 Chỉ tiêu Text'!$C$2:$F$30,4,0)</f>
        <v>#REF!</v>
      </c>
      <c r="M64" s="252" t="s">
        <v>116</v>
      </c>
      <c r="N64" s="255"/>
      <c r="O64" s="255"/>
      <c r="P64" s="255"/>
      <c r="Q64" s="255"/>
      <c r="R64" s="255"/>
      <c r="S64" s="255"/>
      <c r="T64" s="252" t="s">
        <v>287</v>
      </c>
      <c r="U64" s="257"/>
      <c r="V64" s="255"/>
      <c r="W64" s="255"/>
      <c r="X64" s="255"/>
      <c r="Y64" s="255"/>
      <c r="Z64" s="257"/>
      <c r="AA64" s="257"/>
    </row>
    <row r="65" spans="1:27" s="237" customFormat="1" ht="15" hidden="1">
      <c r="A65" s="252">
        <f t="shared" si="0"/>
        <v>63</v>
      </c>
      <c r="B65" s="260" t="s">
        <v>86</v>
      </c>
      <c r="C65" s="263"/>
      <c r="D65" s="252" t="s">
        <v>109</v>
      </c>
      <c r="E65" s="253" t="s">
        <v>287</v>
      </c>
      <c r="F65" s="261" t="s">
        <v>89</v>
      </c>
      <c r="G65" s="252" t="s">
        <v>90</v>
      </c>
      <c r="H65" s="252"/>
      <c r="I65" s="252"/>
      <c r="J65" s="262" t="s">
        <v>288</v>
      </c>
      <c r="K65" s="252" t="s">
        <v>289</v>
      </c>
      <c r="L65" s="252"/>
      <c r="M65" s="252"/>
      <c r="N65" s="255"/>
      <c r="O65" s="255"/>
      <c r="P65" s="255"/>
      <c r="Q65" s="255"/>
      <c r="R65" s="255"/>
      <c r="S65" s="255"/>
      <c r="T65" s="252" t="s">
        <v>287</v>
      </c>
      <c r="U65" s="257"/>
      <c r="V65" s="255"/>
      <c r="W65" s="255"/>
      <c r="X65" s="255"/>
      <c r="Y65" s="255"/>
      <c r="Z65" s="257"/>
      <c r="AA65" s="257"/>
    </row>
    <row r="66" spans="1:27" ht="15" hidden="1">
      <c r="A66" s="252">
        <f t="shared" si="0"/>
        <v>64</v>
      </c>
      <c r="B66" s="252" t="s">
        <v>76</v>
      </c>
      <c r="C66" s="263"/>
      <c r="D66" s="252" t="s">
        <v>109</v>
      </c>
      <c r="E66" s="253" t="s">
        <v>287</v>
      </c>
      <c r="F66" s="252" t="s">
        <v>54</v>
      </c>
      <c r="G66" s="263" t="s">
        <v>78</v>
      </c>
      <c r="H66" s="263"/>
      <c r="I66" s="263"/>
      <c r="J66" s="252" t="s">
        <v>288</v>
      </c>
      <c r="K66" s="252" t="s">
        <v>289</v>
      </c>
      <c r="L66" s="252"/>
      <c r="M66" s="252"/>
      <c r="N66" s="255"/>
      <c r="O66" s="255"/>
      <c r="P66" s="255"/>
      <c r="Q66" s="255"/>
      <c r="R66" s="255"/>
      <c r="S66" s="255"/>
      <c r="T66" s="252" t="s">
        <v>287</v>
      </c>
      <c r="U66" s="257"/>
      <c r="V66" s="255"/>
      <c r="W66" s="255"/>
      <c r="X66" s="255"/>
      <c r="Y66" s="255"/>
      <c r="Z66" s="257"/>
      <c r="AA66" s="257"/>
    </row>
    <row r="67" spans="1:27" ht="30" hidden="1">
      <c r="A67" s="252">
        <f t="shared" si="0"/>
        <v>65</v>
      </c>
      <c r="B67" s="252" t="s">
        <v>76</v>
      </c>
      <c r="C67" s="263"/>
      <c r="D67" s="252" t="s">
        <v>109</v>
      </c>
      <c r="E67" s="253" t="s">
        <v>287</v>
      </c>
      <c r="F67" s="252" t="s">
        <v>54</v>
      </c>
      <c r="G67" s="252" t="s">
        <v>99</v>
      </c>
      <c r="H67" s="252"/>
      <c r="I67" s="252"/>
      <c r="J67" s="252" t="s">
        <v>288</v>
      </c>
      <c r="K67" s="252" t="s">
        <v>289</v>
      </c>
      <c r="L67" s="252"/>
      <c r="M67" s="252"/>
      <c r="N67" s="255"/>
      <c r="O67" s="255"/>
      <c r="P67" s="255"/>
      <c r="Q67" s="255"/>
      <c r="R67" s="255"/>
      <c r="S67" s="255"/>
      <c r="T67" s="252" t="s">
        <v>287</v>
      </c>
      <c r="U67" s="257"/>
      <c r="V67" s="255"/>
      <c r="W67" s="255"/>
      <c r="X67" s="255"/>
      <c r="Y67" s="255"/>
      <c r="Z67" s="257"/>
      <c r="AA67" s="257"/>
    </row>
    <row r="68" spans="1:27" ht="15" hidden="1">
      <c r="A68" s="252">
        <f t="shared" si="0"/>
        <v>66</v>
      </c>
      <c r="B68" s="252" t="s">
        <v>50</v>
      </c>
      <c r="C68" s="263"/>
      <c r="D68" s="252" t="s">
        <v>109</v>
      </c>
      <c r="E68" s="253" t="s">
        <v>287</v>
      </c>
      <c r="F68" s="252" t="s">
        <v>54</v>
      </c>
      <c r="G68" s="252" t="s">
        <v>55</v>
      </c>
      <c r="H68" s="252"/>
      <c r="I68" s="252"/>
      <c r="J68" s="252" t="s">
        <v>288</v>
      </c>
      <c r="K68" s="252" t="s">
        <v>289</v>
      </c>
      <c r="L68" s="252"/>
      <c r="M68" s="252"/>
      <c r="N68" s="255"/>
      <c r="O68" s="255"/>
      <c r="P68" s="255"/>
      <c r="Q68" s="255"/>
      <c r="R68" s="255"/>
      <c r="S68" s="255"/>
      <c r="T68" s="252" t="s">
        <v>287</v>
      </c>
      <c r="U68" s="257"/>
      <c r="V68" s="255"/>
      <c r="W68" s="255"/>
      <c r="X68" s="255"/>
      <c r="Y68" s="255"/>
      <c r="Z68" s="257"/>
      <c r="AA68" s="257"/>
    </row>
    <row r="69" spans="1:27" ht="30" hidden="1">
      <c r="A69" s="252">
        <f t="shared" ref="A69:A105" si="1">ROW()-2</f>
        <v>67</v>
      </c>
      <c r="B69" s="252" t="s">
        <v>50</v>
      </c>
      <c r="C69" s="263"/>
      <c r="D69" s="252" t="s">
        <v>109</v>
      </c>
      <c r="E69" s="253" t="s">
        <v>287</v>
      </c>
      <c r="F69" s="252" t="s">
        <v>54</v>
      </c>
      <c r="G69" s="252" t="s">
        <v>135</v>
      </c>
      <c r="H69" s="252"/>
      <c r="I69" s="252"/>
      <c r="J69" s="252" t="s">
        <v>288</v>
      </c>
      <c r="K69" s="252" t="s">
        <v>289</v>
      </c>
      <c r="L69" s="252"/>
      <c r="M69" s="252"/>
      <c r="N69" s="255"/>
      <c r="O69" s="255"/>
      <c r="P69" s="255"/>
      <c r="Q69" s="255"/>
      <c r="R69" s="255"/>
      <c r="S69" s="255"/>
      <c r="T69" s="252" t="s">
        <v>287</v>
      </c>
      <c r="U69" s="257"/>
      <c r="V69" s="255"/>
      <c r="W69" s="255"/>
      <c r="X69" s="255"/>
      <c r="Y69" s="255"/>
      <c r="Z69" s="257"/>
      <c r="AA69" s="257"/>
    </row>
    <row r="70" spans="1:27" ht="15" hidden="1">
      <c r="A70" s="252">
        <f t="shared" si="1"/>
        <v>68</v>
      </c>
      <c r="B70" s="252" t="s">
        <v>50</v>
      </c>
      <c r="C70" s="263"/>
      <c r="D70" s="252" t="s">
        <v>109</v>
      </c>
      <c r="E70" s="253" t="s">
        <v>287</v>
      </c>
      <c r="F70" s="252" t="s">
        <v>89</v>
      </c>
      <c r="G70" s="252" t="s">
        <v>202</v>
      </c>
      <c r="H70" s="252"/>
      <c r="I70" s="252"/>
      <c r="J70" s="252" t="s">
        <v>288</v>
      </c>
      <c r="K70" s="252" t="s">
        <v>289</v>
      </c>
      <c r="L70" s="252"/>
      <c r="M70" s="252"/>
      <c r="N70" s="255"/>
      <c r="O70" s="255"/>
      <c r="P70" s="255"/>
      <c r="Q70" s="255"/>
      <c r="R70" s="255"/>
      <c r="S70" s="255"/>
      <c r="T70" s="252" t="s">
        <v>287</v>
      </c>
      <c r="U70" s="257"/>
      <c r="V70" s="255"/>
      <c r="W70" s="255"/>
      <c r="X70" s="255"/>
      <c r="Y70" s="255"/>
      <c r="Z70" s="257"/>
      <c r="AA70" s="257"/>
    </row>
    <row r="71" spans="1:27" ht="15" hidden="1">
      <c r="A71" s="252">
        <f t="shared" si="1"/>
        <v>69</v>
      </c>
      <c r="B71" s="252" t="s">
        <v>208</v>
      </c>
      <c r="C71" s="263"/>
      <c r="D71" s="252" t="s">
        <v>109</v>
      </c>
      <c r="E71" s="253" t="s">
        <v>287</v>
      </c>
      <c r="F71" s="252" t="s">
        <v>89</v>
      </c>
      <c r="G71" s="252" t="s">
        <v>111</v>
      </c>
      <c r="H71" s="252"/>
      <c r="I71" s="252"/>
      <c r="J71" s="252" t="s">
        <v>288</v>
      </c>
      <c r="K71" s="252" t="s">
        <v>289</v>
      </c>
      <c r="L71" s="252"/>
      <c r="M71" s="252"/>
      <c r="N71" s="255"/>
      <c r="O71" s="255"/>
      <c r="P71" s="255"/>
      <c r="Q71" s="255"/>
      <c r="R71" s="255"/>
      <c r="S71" s="255"/>
      <c r="T71" s="252" t="s">
        <v>287</v>
      </c>
      <c r="U71" s="257"/>
      <c r="V71" s="255"/>
      <c r="W71" s="255"/>
      <c r="X71" s="255"/>
      <c r="Y71" s="255"/>
      <c r="Z71" s="257"/>
      <c r="AA71" s="257"/>
    </row>
    <row r="72" spans="1:27" ht="45.75" hidden="1">
      <c r="A72" s="259">
        <f t="shared" si="1"/>
        <v>70</v>
      </c>
      <c r="B72" s="259" t="s">
        <v>76</v>
      </c>
      <c r="C72" s="263"/>
      <c r="D72" s="259" t="s">
        <v>52</v>
      </c>
      <c r="E72" s="286" t="s">
        <v>290</v>
      </c>
      <c r="F72" s="259" t="s">
        <v>54</v>
      </c>
      <c r="G72" s="259" t="s">
        <v>78</v>
      </c>
      <c r="H72" s="259" t="s">
        <v>291</v>
      </c>
      <c r="I72" s="259" t="s">
        <v>292</v>
      </c>
      <c r="J72" s="252"/>
      <c r="K72" s="252" t="s">
        <v>292</v>
      </c>
      <c r="L72" s="259"/>
      <c r="M72" s="259" t="s">
        <v>40</v>
      </c>
      <c r="N72" s="288" t="s">
        <v>195</v>
      </c>
      <c r="O72" s="288"/>
      <c r="P72" s="255"/>
      <c r="Q72" s="255" t="s">
        <v>60</v>
      </c>
      <c r="R72" s="255">
        <v>1</v>
      </c>
      <c r="S72" s="255" t="s">
        <v>61</v>
      </c>
      <c r="T72" s="252" t="s">
        <v>293</v>
      </c>
      <c r="U72" s="255" t="s">
        <v>294</v>
      </c>
      <c r="V72" s="255" t="s">
        <v>295</v>
      </c>
      <c r="W72" s="255" t="s">
        <v>65</v>
      </c>
      <c r="X72" s="256" t="s">
        <v>66</v>
      </c>
      <c r="Y72" s="255" t="s">
        <v>72</v>
      </c>
      <c r="Z72" s="257"/>
      <c r="AA72" s="257"/>
    </row>
    <row r="73" spans="1:27" ht="30" hidden="1">
      <c r="A73" s="252">
        <f t="shared" si="1"/>
        <v>71</v>
      </c>
      <c r="B73" s="252" t="s">
        <v>76</v>
      </c>
      <c r="C73" s="263"/>
      <c r="D73" s="252" t="s">
        <v>52</v>
      </c>
      <c r="E73" s="253" t="s">
        <v>296</v>
      </c>
      <c r="F73" s="252" t="s">
        <v>54</v>
      </c>
      <c r="G73" s="252" t="s">
        <v>78</v>
      </c>
      <c r="H73" s="252"/>
      <c r="I73" s="252"/>
      <c r="J73" s="262" t="s">
        <v>297</v>
      </c>
      <c r="K73" s="261" t="s">
        <v>298</v>
      </c>
      <c r="L73" s="252"/>
      <c r="M73" s="252" t="s">
        <v>116</v>
      </c>
      <c r="N73" s="255"/>
      <c r="O73" s="255"/>
      <c r="P73" s="304"/>
      <c r="Q73" s="255"/>
      <c r="R73" s="255"/>
      <c r="S73" s="255"/>
      <c r="T73" s="252" t="s">
        <v>296</v>
      </c>
      <c r="U73" s="257"/>
      <c r="V73" s="255"/>
      <c r="W73" s="255"/>
      <c r="X73" s="255"/>
      <c r="Y73" s="255"/>
      <c r="Z73" s="257"/>
      <c r="AA73" s="257"/>
    </row>
    <row r="74" spans="1:27" ht="15" hidden="1">
      <c r="A74" s="263">
        <f t="shared" si="1"/>
        <v>72</v>
      </c>
      <c r="B74" s="263" t="s">
        <v>76</v>
      </c>
      <c r="C74" s="263"/>
      <c r="D74" s="263" t="s">
        <v>109</v>
      </c>
      <c r="E74" s="280" t="s">
        <v>299</v>
      </c>
      <c r="F74" s="263" t="s">
        <v>54</v>
      </c>
      <c r="G74" s="263" t="s">
        <v>78</v>
      </c>
      <c r="H74" s="263"/>
      <c r="I74" s="263"/>
      <c r="J74" s="252"/>
      <c r="K74" s="252" t="s">
        <v>300</v>
      </c>
      <c r="L74" s="263"/>
      <c r="M74" s="263"/>
      <c r="N74" s="273"/>
      <c r="O74" s="273"/>
      <c r="P74" s="255"/>
      <c r="Q74" s="255"/>
      <c r="R74" s="255"/>
      <c r="S74" s="255"/>
      <c r="T74" s="252" t="s">
        <v>299</v>
      </c>
      <c r="U74" s="257"/>
      <c r="V74" s="255"/>
      <c r="W74" s="255"/>
      <c r="X74" s="255"/>
      <c r="Y74" s="255"/>
      <c r="Z74" s="257"/>
      <c r="AA74" s="257"/>
    </row>
    <row r="75" spans="1:27" ht="15" hidden="1">
      <c r="A75" s="252">
        <f t="shared" si="1"/>
        <v>73</v>
      </c>
      <c r="B75" s="252" t="s">
        <v>76</v>
      </c>
      <c r="C75" s="263"/>
      <c r="D75" s="252" t="s">
        <v>109</v>
      </c>
      <c r="E75" s="253" t="s">
        <v>301</v>
      </c>
      <c r="F75" s="252" t="s">
        <v>54</v>
      </c>
      <c r="G75" s="252" t="s">
        <v>78</v>
      </c>
      <c r="H75" s="252"/>
      <c r="I75" s="252"/>
      <c r="J75" s="252"/>
      <c r="K75" s="252" t="s">
        <v>302</v>
      </c>
      <c r="L75" s="252"/>
      <c r="M75" s="252"/>
      <c r="N75" s="255"/>
      <c r="O75" s="255"/>
      <c r="P75" s="255"/>
      <c r="Q75" s="255"/>
      <c r="R75" s="255"/>
      <c r="S75" s="255"/>
      <c r="T75" s="252" t="s">
        <v>301</v>
      </c>
      <c r="U75" s="257"/>
      <c r="V75" s="255"/>
      <c r="W75" s="255"/>
      <c r="X75" s="255"/>
      <c r="Y75" s="255"/>
      <c r="Z75" s="257"/>
      <c r="AA75" s="257"/>
    </row>
    <row r="76" spans="1:27" ht="30" hidden="1">
      <c r="A76" s="259">
        <f t="shared" si="1"/>
        <v>74</v>
      </c>
      <c r="B76" s="259" t="s">
        <v>76</v>
      </c>
      <c r="C76" s="263"/>
      <c r="D76" s="259" t="s">
        <v>109</v>
      </c>
      <c r="E76" s="286" t="s">
        <v>303</v>
      </c>
      <c r="F76" s="259" t="s">
        <v>54</v>
      </c>
      <c r="G76" s="259" t="s">
        <v>99</v>
      </c>
      <c r="H76" s="259"/>
      <c r="I76" s="259"/>
      <c r="J76" s="252"/>
      <c r="K76" s="252" t="s">
        <v>304</v>
      </c>
      <c r="L76" s="259"/>
      <c r="M76" s="259"/>
      <c r="N76" s="288"/>
      <c r="O76" s="288"/>
      <c r="P76" s="255"/>
      <c r="Q76" s="255"/>
      <c r="R76" s="255"/>
      <c r="S76" s="255"/>
      <c r="T76" s="252" t="s">
        <v>305</v>
      </c>
      <c r="U76" s="257"/>
      <c r="V76" s="255"/>
      <c r="W76" s="255"/>
      <c r="X76" s="255"/>
      <c r="Y76" s="255"/>
      <c r="Z76" s="257"/>
      <c r="AA76" s="257"/>
    </row>
    <row r="77" spans="1:27" ht="30" hidden="1">
      <c r="A77" s="252">
        <f t="shared" si="1"/>
        <v>75</v>
      </c>
      <c r="B77" s="252" t="s">
        <v>76</v>
      </c>
      <c r="C77" s="263"/>
      <c r="D77" s="252" t="s">
        <v>52</v>
      </c>
      <c r="E77" s="253" t="s">
        <v>306</v>
      </c>
      <c r="F77" s="252" t="s">
        <v>54</v>
      </c>
      <c r="G77" s="252" t="s">
        <v>78</v>
      </c>
      <c r="H77" s="252"/>
      <c r="I77" s="252"/>
      <c r="J77" s="262" t="s">
        <v>307</v>
      </c>
      <c r="K77" s="261" t="s">
        <v>308</v>
      </c>
      <c r="L77" s="252"/>
      <c r="M77" s="252" t="s">
        <v>116</v>
      </c>
      <c r="N77" s="255"/>
      <c r="O77" s="255"/>
      <c r="P77" s="304"/>
      <c r="Q77" s="255"/>
      <c r="R77" s="255"/>
      <c r="S77" s="255"/>
      <c r="T77" s="252" t="s">
        <v>306</v>
      </c>
      <c r="U77" s="257"/>
      <c r="V77" s="255"/>
      <c r="W77" s="255"/>
      <c r="X77" s="255"/>
      <c r="Y77" s="255"/>
      <c r="Z77" s="257"/>
      <c r="AA77" s="257"/>
    </row>
    <row r="78" spans="1:27" s="237" customFormat="1" ht="45.75" hidden="1">
      <c r="A78" s="309">
        <f t="shared" si="1"/>
        <v>76</v>
      </c>
      <c r="B78" s="307" t="s">
        <v>86</v>
      </c>
      <c r="C78" s="263" t="s">
        <v>87</v>
      </c>
      <c r="D78" s="306" t="s">
        <v>52</v>
      </c>
      <c r="E78" s="311" t="s">
        <v>309</v>
      </c>
      <c r="F78" s="309" t="s">
        <v>54</v>
      </c>
      <c r="G78" s="306" t="s">
        <v>78</v>
      </c>
      <c r="H78" s="306" t="s">
        <v>310</v>
      </c>
      <c r="I78" s="306" t="s">
        <v>311</v>
      </c>
      <c r="J78" s="262"/>
      <c r="K78" s="252" t="s">
        <v>311</v>
      </c>
      <c r="L78" s="306"/>
      <c r="M78" s="252" t="s">
        <v>40</v>
      </c>
      <c r="N78" s="312" t="s">
        <v>312</v>
      </c>
      <c r="O78" s="312"/>
      <c r="P78" s="255"/>
      <c r="Q78" s="255" t="s">
        <v>60</v>
      </c>
      <c r="R78" s="255">
        <v>1</v>
      </c>
      <c r="S78" s="255" t="s">
        <v>72</v>
      </c>
      <c r="T78" s="252" t="s">
        <v>309</v>
      </c>
      <c r="U78" s="257"/>
      <c r="V78" s="255"/>
      <c r="W78" s="255"/>
      <c r="X78" s="255"/>
      <c r="Y78" s="255"/>
      <c r="Z78" s="257"/>
      <c r="AA78" s="257"/>
    </row>
    <row r="79" spans="1:27" ht="30" hidden="1">
      <c r="A79" s="252">
        <f t="shared" si="1"/>
        <v>77</v>
      </c>
      <c r="B79" s="252" t="s">
        <v>76</v>
      </c>
      <c r="C79" s="263"/>
      <c r="D79" s="252" t="s">
        <v>52</v>
      </c>
      <c r="E79" s="253" t="s">
        <v>313</v>
      </c>
      <c r="F79" s="252" t="s">
        <v>54</v>
      </c>
      <c r="G79" s="252" t="s">
        <v>78</v>
      </c>
      <c r="H79" s="252"/>
      <c r="I79" s="252"/>
      <c r="J79" s="262" t="s">
        <v>314</v>
      </c>
      <c r="K79" s="261" t="s">
        <v>315</v>
      </c>
      <c r="L79" s="252"/>
      <c r="M79" s="252" t="s">
        <v>116</v>
      </c>
      <c r="N79" s="255"/>
      <c r="O79" s="255"/>
      <c r="P79" s="304"/>
      <c r="Q79" s="255"/>
      <c r="R79" s="255"/>
      <c r="S79" s="255"/>
      <c r="T79" s="252" t="s">
        <v>313</v>
      </c>
      <c r="U79" s="257"/>
      <c r="V79" s="255"/>
      <c r="W79" s="255"/>
      <c r="X79" s="255"/>
      <c r="Y79" s="255"/>
      <c r="Z79" s="257"/>
      <c r="AA79" s="257"/>
    </row>
    <row r="80" spans="1:27" ht="45.75" hidden="1">
      <c r="A80" s="252">
        <f t="shared" si="1"/>
        <v>78</v>
      </c>
      <c r="B80" s="252" t="s">
        <v>76</v>
      </c>
      <c r="C80" s="263"/>
      <c r="D80" s="252" t="s">
        <v>52</v>
      </c>
      <c r="E80" s="253" t="s">
        <v>316</v>
      </c>
      <c r="F80" s="252" t="s">
        <v>54</v>
      </c>
      <c r="G80" s="252" t="s">
        <v>78</v>
      </c>
      <c r="H80" s="252" t="s">
        <v>317</v>
      </c>
      <c r="I80" s="252" t="s">
        <v>318</v>
      </c>
      <c r="J80" s="262"/>
      <c r="K80" s="261" t="s">
        <v>319</v>
      </c>
      <c r="L80" s="259"/>
      <c r="M80" s="259" t="s">
        <v>40</v>
      </c>
      <c r="N80" s="255" t="s">
        <v>82</v>
      </c>
      <c r="O80" s="297" t="s">
        <v>320</v>
      </c>
      <c r="P80" s="304">
        <v>2</v>
      </c>
      <c r="Q80" s="255">
        <v>2</v>
      </c>
      <c r="R80" s="255">
        <v>2</v>
      </c>
      <c r="S80" s="255" t="s">
        <v>72</v>
      </c>
      <c r="T80" s="252" t="s">
        <v>316</v>
      </c>
      <c r="U80" s="257"/>
      <c r="V80" s="255"/>
      <c r="W80" s="255"/>
      <c r="X80" s="255"/>
      <c r="Y80" s="255"/>
      <c r="Z80" s="257"/>
      <c r="AA80" s="257"/>
    </row>
    <row r="81" spans="1:27" ht="45.75" hidden="1">
      <c r="A81" s="252">
        <f t="shared" si="1"/>
        <v>79</v>
      </c>
      <c r="B81" s="252" t="s">
        <v>76</v>
      </c>
      <c r="C81" s="263"/>
      <c r="D81" s="252" t="s">
        <v>52</v>
      </c>
      <c r="E81" s="253" t="s">
        <v>321</v>
      </c>
      <c r="F81" s="252" t="s">
        <v>54</v>
      </c>
      <c r="G81" s="252" t="s">
        <v>99</v>
      </c>
      <c r="H81" s="252" t="s">
        <v>322</v>
      </c>
      <c r="I81" s="252" t="s">
        <v>323</v>
      </c>
      <c r="J81" s="262"/>
      <c r="K81" s="261" t="s">
        <v>323</v>
      </c>
      <c r="L81" s="252"/>
      <c r="M81" s="252" t="s">
        <v>40</v>
      </c>
      <c r="N81" s="304" t="s">
        <v>195</v>
      </c>
      <c r="O81" s="255"/>
      <c r="P81" s="304"/>
      <c r="Q81" s="255" t="s">
        <v>60</v>
      </c>
      <c r="R81" s="255">
        <v>2</v>
      </c>
      <c r="S81" s="255" t="s">
        <v>72</v>
      </c>
      <c r="T81" s="252" t="s">
        <v>321</v>
      </c>
      <c r="U81" s="257"/>
      <c r="V81" s="255"/>
      <c r="W81" s="255"/>
      <c r="X81" s="255"/>
      <c r="Y81" s="255"/>
      <c r="Z81" s="257"/>
      <c r="AA81" s="257"/>
    </row>
    <row r="82" spans="1:27" ht="30" hidden="1">
      <c r="A82" s="252">
        <f t="shared" si="1"/>
        <v>80</v>
      </c>
      <c r="B82" s="252" t="s">
        <v>76</v>
      </c>
      <c r="C82" s="263"/>
      <c r="D82" s="252" t="s">
        <v>52</v>
      </c>
      <c r="E82" s="253" t="s">
        <v>324</v>
      </c>
      <c r="F82" s="252" t="s">
        <v>54</v>
      </c>
      <c r="G82" s="252" t="s">
        <v>99</v>
      </c>
      <c r="H82" s="252"/>
      <c r="I82" s="252"/>
      <c r="J82" s="262" t="s">
        <v>325</v>
      </c>
      <c r="K82" s="261" t="s">
        <v>326</v>
      </c>
      <c r="L82" s="306"/>
      <c r="M82" s="306" t="s">
        <v>116</v>
      </c>
      <c r="N82" s="255"/>
      <c r="O82" s="255"/>
      <c r="P82" s="304"/>
      <c r="Q82" s="255"/>
      <c r="R82" s="255"/>
      <c r="S82" s="255"/>
      <c r="T82" s="252" t="s">
        <v>324</v>
      </c>
      <c r="U82" s="257"/>
      <c r="V82" s="255"/>
      <c r="W82" s="255"/>
      <c r="X82" s="255"/>
      <c r="Y82" s="255"/>
      <c r="Z82" s="257"/>
      <c r="AA82" s="257"/>
    </row>
    <row r="83" spans="1:27" ht="30" hidden="1">
      <c r="A83" s="263">
        <f t="shared" si="1"/>
        <v>81</v>
      </c>
      <c r="B83" s="263" t="s">
        <v>76</v>
      </c>
      <c r="C83" s="263"/>
      <c r="D83" s="263" t="s">
        <v>52</v>
      </c>
      <c r="E83" s="280" t="s">
        <v>327</v>
      </c>
      <c r="F83" s="263" t="s">
        <v>54</v>
      </c>
      <c r="G83" s="263" t="s">
        <v>78</v>
      </c>
      <c r="H83" s="263" t="s">
        <v>328</v>
      </c>
      <c r="I83" s="263" t="s">
        <v>329</v>
      </c>
      <c r="J83" s="252"/>
      <c r="K83" s="261" t="s">
        <v>329</v>
      </c>
      <c r="L83" s="252"/>
      <c r="M83" s="252" t="s">
        <v>40</v>
      </c>
      <c r="N83" s="313" t="s">
        <v>195</v>
      </c>
      <c r="O83" s="273"/>
      <c r="P83" s="255"/>
      <c r="Q83" s="255" t="s">
        <v>60</v>
      </c>
      <c r="R83" s="255">
        <v>1</v>
      </c>
      <c r="S83" s="255" t="s">
        <v>72</v>
      </c>
      <c r="T83" s="252" t="s">
        <v>327</v>
      </c>
      <c r="U83" s="257" t="s">
        <v>330</v>
      </c>
      <c r="V83" s="255" t="s">
        <v>64</v>
      </c>
      <c r="W83" s="255" t="s">
        <v>65</v>
      </c>
      <c r="X83" s="255"/>
      <c r="Y83" s="255" t="s">
        <v>72</v>
      </c>
      <c r="Z83" s="257"/>
      <c r="AA83" s="257"/>
    </row>
    <row r="84" spans="1:27" ht="15" hidden="1">
      <c r="A84" s="252">
        <f t="shared" si="1"/>
        <v>82</v>
      </c>
      <c r="B84" s="252" t="s">
        <v>76</v>
      </c>
      <c r="C84" s="263"/>
      <c r="D84" s="252" t="s">
        <v>109</v>
      </c>
      <c r="E84" s="253" t="s">
        <v>331</v>
      </c>
      <c r="F84" s="252" t="s">
        <v>54</v>
      </c>
      <c r="G84" s="252" t="s">
        <v>78</v>
      </c>
      <c r="H84" s="252"/>
      <c r="I84" s="252"/>
      <c r="J84" s="252"/>
      <c r="K84" s="252" t="s">
        <v>332</v>
      </c>
      <c r="L84" s="263"/>
      <c r="M84" s="263"/>
      <c r="N84" s="255"/>
      <c r="O84" s="255"/>
      <c r="P84" s="255"/>
      <c r="Q84" s="255"/>
      <c r="R84" s="255"/>
      <c r="S84" s="255"/>
      <c r="T84" s="252" t="s">
        <v>331</v>
      </c>
      <c r="U84" s="257"/>
      <c r="V84" s="255"/>
      <c r="W84" s="255"/>
      <c r="X84" s="255"/>
      <c r="Y84" s="255"/>
      <c r="Z84" s="257"/>
      <c r="AA84" s="257"/>
    </row>
    <row r="85" spans="1:27" ht="30" hidden="1">
      <c r="A85" s="252">
        <f t="shared" si="1"/>
        <v>83</v>
      </c>
      <c r="B85" s="252" t="s">
        <v>76</v>
      </c>
      <c r="C85" s="263"/>
      <c r="D85" s="252" t="s">
        <v>52</v>
      </c>
      <c r="E85" s="253" t="s">
        <v>333</v>
      </c>
      <c r="F85" s="252" t="s">
        <v>54</v>
      </c>
      <c r="G85" s="252" t="s">
        <v>78</v>
      </c>
      <c r="H85" s="252"/>
      <c r="I85" s="252"/>
      <c r="J85" s="252" t="s">
        <v>307</v>
      </c>
      <c r="K85" s="252" t="s">
        <v>334</v>
      </c>
      <c r="L85" s="252"/>
      <c r="M85" s="252" t="s">
        <v>116</v>
      </c>
      <c r="N85" s="255"/>
      <c r="O85" s="255"/>
      <c r="P85" s="255"/>
      <c r="Q85" s="255"/>
      <c r="R85" s="255"/>
      <c r="S85" s="255"/>
      <c r="T85" s="252" t="s">
        <v>333</v>
      </c>
      <c r="U85" s="257"/>
      <c r="V85" s="255"/>
      <c r="W85" s="255"/>
      <c r="X85" s="255"/>
      <c r="Y85" s="255"/>
      <c r="Z85" s="257"/>
      <c r="AA85" s="257"/>
    </row>
    <row r="86" spans="1:27" ht="45.75" hidden="1">
      <c r="A86" s="252">
        <f t="shared" si="1"/>
        <v>84</v>
      </c>
      <c r="B86" s="252" t="s">
        <v>50</v>
      </c>
      <c r="C86" s="263" t="s">
        <v>335</v>
      </c>
      <c r="D86" s="252" t="s">
        <v>52</v>
      </c>
      <c r="E86" s="253" t="s">
        <v>333</v>
      </c>
      <c r="F86" s="252" t="s">
        <v>54</v>
      </c>
      <c r="G86" s="252" t="s">
        <v>55</v>
      </c>
      <c r="H86" s="252" t="s">
        <v>336</v>
      </c>
      <c r="I86" s="252" t="s">
        <v>337</v>
      </c>
      <c r="J86" s="252" t="s">
        <v>307</v>
      </c>
      <c r="K86" s="252" t="s">
        <v>338</v>
      </c>
      <c r="L86" s="252"/>
      <c r="M86" s="263" t="s">
        <v>40</v>
      </c>
      <c r="N86" s="255" t="s">
        <v>59</v>
      </c>
      <c r="O86" s="255"/>
      <c r="P86" s="255"/>
      <c r="Q86" s="255" t="s">
        <v>60</v>
      </c>
      <c r="R86" s="255">
        <v>2</v>
      </c>
      <c r="S86" s="255" t="s">
        <v>61</v>
      </c>
      <c r="T86" s="252" t="s">
        <v>333</v>
      </c>
      <c r="U86" s="257" t="s">
        <v>339</v>
      </c>
      <c r="V86" s="255" t="s">
        <v>253</v>
      </c>
      <c r="W86" s="255" t="s">
        <v>65</v>
      </c>
      <c r="X86" s="256" t="s">
        <v>66</v>
      </c>
      <c r="Y86" s="255" t="s">
        <v>61</v>
      </c>
      <c r="Z86" s="257" t="s">
        <v>340</v>
      </c>
      <c r="AA86" s="257"/>
    </row>
    <row r="87" spans="1:27" ht="15" hidden="1">
      <c r="A87" s="252">
        <f t="shared" si="1"/>
        <v>85</v>
      </c>
      <c r="B87" s="252" t="s">
        <v>76</v>
      </c>
      <c r="C87" s="263"/>
      <c r="D87" s="252" t="s">
        <v>109</v>
      </c>
      <c r="E87" s="253" t="s">
        <v>341</v>
      </c>
      <c r="F87" s="252" t="s">
        <v>54</v>
      </c>
      <c r="G87" s="252" t="s">
        <v>78</v>
      </c>
      <c r="H87" s="252"/>
      <c r="I87" s="252"/>
      <c r="J87" s="252"/>
      <c r="K87" s="252" t="s">
        <v>342</v>
      </c>
      <c r="L87" s="252"/>
      <c r="M87" s="252"/>
      <c r="N87" s="255"/>
      <c r="O87" s="255"/>
      <c r="P87" s="255"/>
      <c r="Q87" s="255"/>
      <c r="R87" s="255"/>
      <c r="S87" s="255"/>
      <c r="T87" s="252" t="s">
        <v>341</v>
      </c>
      <c r="U87" s="257"/>
      <c r="V87" s="255"/>
      <c r="W87" s="255"/>
      <c r="X87" s="255"/>
      <c r="Y87" s="255"/>
      <c r="Z87" s="257"/>
      <c r="AA87" s="257"/>
    </row>
    <row r="88" spans="1:27" ht="15" hidden="1">
      <c r="A88" s="252">
        <f t="shared" si="1"/>
        <v>86</v>
      </c>
      <c r="B88" s="252" t="s">
        <v>76</v>
      </c>
      <c r="C88" s="263"/>
      <c r="D88" s="252" t="s">
        <v>109</v>
      </c>
      <c r="E88" s="253" t="s">
        <v>343</v>
      </c>
      <c r="F88" s="252" t="s">
        <v>54</v>
      </c>
      <c r="G88" s="252" t="s">
        <v>78</v>
      </c>
      <c r="H88" s="252"/>
      <c r="I88" s="252"/>
      <c r="J88" s="252"/>
      <c r="K88" s="252" t="s">
        <v>344</v>
      </c>
      <c r="L88" s="252"/>
      <c r="M88" s="252"/>
      <c r="N88" s="255"/>
      <c r="O88" s="255"/>
      <c r="P88" s="255"/>
      <c r="Q88" s="255"/>
      <c r="R88" s="255"/>
      <c r="S88" s="255"/>
      <c r="T88" s="252" t="s">
        <v>343</v>
      </c>
      <c r="U88" s="257"/>
      <c r="V88" s="255"/>
      <c r="W88" s="255"/>
      <c r="X88" s="255"/>
      <c r="Y88" s="255"/>
      <c r="Z88" s="257"/>
      <c r="AA88" s="257"/>
    </row>
    <row r="89" spans="1:27" ht="15" hidden="1">
      <c r="A89" s="252">
        <f t="shared" si="1"/>
        <v>87</v>
      </c>
      <c r="B89" s="252" t="s">
        <v>76</v>
      </c>
      <c r="C89" s="263"/>
      <c r="D89" s="252" t="s">
        <v>109</v>
      </c>
      <c r="E89" s="253" t="s">
        <v>345</v>
      </c>
      <c r="F89" s="252" t="s">
        <v>54</v>
      </c>
      <c r="G89" s="252" t="s">
        <v>78</v>
      </c>
      <c r="H89" s="252"/>
      <c r="I89" s="252"/>
      <c r="J89" s="252"/>
      <c r="K89" s="252" t="s">
        <v>346</v>
      </c>
      <c r="L89" s="252"/>
      <c r="M89" s="252"/>
      <c r="N89" s="255"/>
      <c r="O89" s="255"/>
      <c r="P89" s="255"/>
      <c r="Q89" s="255"/>
      <c r="R89" s="255"/>
      <c r="S89" s="255"/>
      <c r="T89" s="252" t="s">
        <v>345</v>
      </c>
      <c r="U89" s="257"/>
      <c r="V89" s="255"/>
      <c r="W89" s="255"/>
      <c r="X89" s="255"/>
      <c r="Y89" s="255"/>
      <c r="Z89" s="257"/>
      <c r="AA89" s="257"/>
    </row>
    <row r="90" spans="1:27" ht="15" hidden="1">
      <c r="A90" s="252">
        <f t="shared" si="1"/>
        <v>88</v>
      </c>
      <c r="B90" s="252" t="s">
        <v>76</v>
      </c>
      <c r="C90" s="263"/>
      <c r="D90" s="252" t="s">
        <v>109</v>
      </c>
      <c r="E90" s="253" t="s">
        <v>347</v>
      </c>
      <c r="F90" s="252" t="s">
        <v>54</v>
      </c>
      <c r="G90" s="259" t="s">
        <v>78</v>
      </c>
      <c r="H90" s="259"/>
      <c r="I90" s="259"/>
      <c r="J90" s="252"/>
      <c r="K90" s="252" t="s">
        <v>348</v>
      </c>
      <c r="L90" s="252"/>
      <c r="M90" s="252"/>
      <c r="N90" s="255"/>
      <c r="O90" s="255"/>
      <c r="P90" s="255"/>
      <c r="Q90" s="255"/>
      <c r="R90" s="255"/>
      <c r="S90" s="255"/>
      <c r="T90" s="252" t="s">
        <v>347</v>
      </c>
      <c r="U90" s="257"/>
      <c r="V90" s="255"/>
      <c r="W90" s="255"/>
      <c r="X90" s="255"/>
      <c r="Y90" s="255"/>
      <c r="Z90" s="257"/>
      <c r="AA90" s="257"/>
    </row>
    <row r="91" spans="1:27" s="237" customFormat="1" ht="15" hidden="1">
      <c r="A91" s="252">
        <f t="shared" si="1"/>
        <v>89</v>
      </c>
      <c r="B91" s="260" t="s">
        <v>86</v>
      </c>
      <c r="C91" s="263"/>
      <c r="D91" s="252" t="s">
        <v>109</v>
      </c>
      <c r="E91" s="253" t="s">
        <v>349</v>
      </c>
      <c r="F91" s="261" t="s">
        <v>89</v>
      </c>
      <c r="G91" s="252" t="s">
        <v>90</v>
      </c>
      <c r="H91" s="252"/>
      <c r="I91" s="252"/>
      <c r="J91" s="262"/>
      <c r="K91" s="252" t="s">
        <v>350</v>
      </c>
      <c r="L91" s="252"/>
      <c r="M91" s="252"/>
      <c r="N91" s="255"/>
      <c r="O91" s="255"/>
      <c r="P91" s="255"/>
      <c r="Q91" s="255"/>
      <c r="R91" s="255"/>
      <c r="S91" s="255"/>
      <c r="T91" s="252" t="s">
        <v>349</v>
      </c>
      <c r="U91" s="257"/>
      <c r="V91" s="255"/>
      <c r="W91" s="255"/>
      <c r="X91" s="255"/>
      <c r="Y91" s="255"/>
      <c r="Z91" s="257"/>
      <c r="AA91" s="257"/>
    </row>
    <row r="92" spans="1:27" ht="15" hidden="1">
      <c r="A92" s="252">
        <f t="shared" si="1"/>
        <v>90</v>
      </c>
      <c r="B92" s="252" t="s">
        <v>76</v>
      </c>
      <c r="C92" s="263"/>
      <c r="D92" s="252" t="s">
        <v>109</v>
      </c>
      <c r="E92" s="253" t="s">
        <v>351</v>
      </c>
      <c r="F92" s="252" t="s">
        <v>54</v>
      </c>
      <c r="G92" s="263" t="s">
        <v>78</v>
      </c>
      <c r="H92" s="263"/>
      <c r="I92" s="263"/>
      <c r="J92" s="252"/>
      <c r="K92" s="252" t="s">
        <v>352</v>
      </c>
      <c r="L92" s="252"/>
      <c r="M92" s="252"/>
      <c r="N92" s="255"/>
      <c r="O92" s="255"/>
      <c r="P92" s="255"/>
      <c r="Q92" s="255"/>
      <c r="R92" s="255"/>
      <c r="S92" s="255"/>
      <c r="T92" s="252" t="s">
        <v>351</v>
      </c>
      <c r="U92" s="257"/>
      <c r="V92" s="255"/>
      <c r="W92" s="255"/>
      <c r="X92" s="255"/>
      <c r="Y92" s="255"/>
      <c r="Z92" s="257"/>
      <c r="AA92" s="257"/>
    </row>
    <row r="93" spans="1:27" ht="15" hidden="1">
      <c r="A93" s="252">
        <f t="shared" si="1"/>
        <v>91</v>
      </c>
      <c r="B93" s="252" t="s">
        <v>76</v>
      </c>
      <c r="C93" s="263"/>
      <c r="D93" s="252" t="s">
        <v>109</v>
      </c>
      <c r="E93" s="253" t="s">
        <v>353</v>
      </c>
      <c r="F93" s="252" t="s">
        <v>54</v>
      </c>
      <c r="G93" s="252" t="s">
        <v>78</v>
      </c>
      <c r="H93" s="252"/>
      <c r="I93" s="252"/>
      <c r="J93" s="252"/>
      <c r="K93" s="252" t="s">
        <v>354</v>
      </c>
      <c r="L93" s="252"/>
      <c r="M93" s="252"/>
      <c r="N93" s="255"/>
      <c r="O93" s="255"/>
      <c r="P93" s="255"/>
      <c r="Q93" s="255"/>
      <c r="R93" s="255"/>
      <c r="S93" s="255"/>
      <c r="T93" s="252" t="s">
        <v>353</v>
      </c>
      <c r="U93" s="257"/>
      <c r="V93" s="255"/>
      <c r="W93" s="255"/>
      <c r="X93" s="255"/>
      <c r="Y93" s="255"/>
      <c r="Z93" s="257"/>
      <c r="AA93" s="257"/>
    </row>
    <row r="94" spans="1:27" ht="30" hidden="1">
      <c r="A94" s="252">
        <f t="shared" si="1"/>
        <v>92</v>
      </c>
      <c r="B94" s="252" t="s">
        <v>50</v>
      </c>
      <c r="C94" s="263"/>
      <c r="D94" s="252" t="s">
        <v>109</v>
      </c>
      <c r="E94" s="253" t="s">
        <v>353</v>
      </c>
      <c r="F94" s="252" t="s">
        <v>54</v>
      </c>
      <c r="G94" s="252" t="s">
        <v>135</v>
      </c>
      <c r="H94" s="252"/>
      <c r="I94" s="252"/>
      <c r="J94" s="252"/>
      <c r="K94" s="252" t="s">
        <v>355</v>
      </c>
      <c r="L94" s="252"/>
      <c r="M94" s="252"/>
      <c r="N94" s="255"/>
      <c r="O94" s="255"/>
      <c r="P94" s="255"/>
      <c r="Q94" s="255"/>
      <c r="R94" s="255"/>
      <c r="S94" s="255"/>
      <c r="T94" s="252" t="s">
        <v>353</v>
      </c>
      <c r="U94" s="257"/>
      <c r="V94" s="255"/>
      <c r="W94" s="255"/>
      <c r="X94" s="255"/>
      <c r="Y94" s="255"/>
      <c r="Z94" s="257"/>
      <c r="AA94" s="257"/>
    </row>
    <row r="95" spans="1:27" ht="30" hidden="1">
      <c r="A95" s="252">
        <f t="shared" si="1"/>
        <v>93</v>
      </c>
      <c r="B95" s="252" t="s">
        <v>117</v>
      </c>
      <c r="C95" s="263"/>
      <c r="D95" s="252" t="s">
        <v>52</v>
      </c>
      <c r="E95" s="253" t="s">
        <v>356</v>
      </c>
      <c r="F95" s="252" t="s">
        <v>119</v>
      </c>
      <c r="G95" s="252" t="s">
        <v>120</v>
      </c>
      <c r="H95" s="252"/>
      <c r="I95" s="252"/>
      <c r="J95" s="252" t="s">
        <v>357</v>
      </c>
      <c r="K95" s="252" t="s">
        <v>358</v>
      </c>
      <c r="L95" s="252" t="e">
        <f>VLOOKUP(#REF!,'29 Chỉ tiêu Text'!$C$2:$F$30,4,0)</f>
        <v>#REF!</v>
      </c>
      <c r="M95" s="252" t="s">
        <v>116</v>
      </c>
      <c r="N95" s="255"/>
      <c r="O95" s="255"/>
      <c r="P95" s="255"/>
      <c r="Q95" s="255"/>
      <c r="R95" s="255"/>
      <c r="S95" s="255"/>
      <c r="T95" s="252" t="s">
        <v>356</v>
      </c>
      <c r="U95" s="257"/>
      <c r="V95" s="255"/>
      <c r="W95" s="255"/>
      <c r="X95" s="255"/>
      <c r="Y95" s="255"/>
      <c r="Z95" s="257"/>
      <c r="AA95" s="257"/>
    </row>
    <row r="96" spans="1:27" ht="45" hidden="1" customHeight="1">
      <c r="A96" s="252">
        <f t="shared" si="1"/>
        <v>94</v>
      </c>
      <c r="B96" s="252" t="s">
        <v>50</v>
      </c>
      <c r="C96" s="263" t="s">
        <v>335</v>
      </c>
      <c r="D96" s="252" t="s">
        <v>52</v>
      </c>
      <c r="E96" s="253" t="s">
        <v>359</v>
      </c>
      <c r="F96" s="252" t="s">
        <v>89</v>
      </c>
      <c r="G96" s="252" t="s">
        <v>55</v>
      </c>
      <c r="H96" s="252" t="s">
        <v>360</v>
      </c>
      <c r="I96" s="252" t="s">
        <v>361</v>
      </c>
      <c r="J96" s="252"/>
      <c r="K96" s="252" t="s">
        <v>361</v>
      </c>
      <c r="L96" s="252"/>
      <c r="M96" s="263" t="s">
        <v>40</v>
      </c>
      <c r="N96" s="255" t="s">
        <v>82</v>
      </c>
      <c r="O96" s="314" t="s">
        <v>362</v>
      </c>
      <c r="P96" s="255">
        <v>2</v>
      </c>
      <c r="Q96" s="255">
        <v>2</v>
      </c>
      <c r="R96" s="255">
        <v>2</v>
      </c>
      <c r="S96" s="255" t="s">
        <v>61</v>
      </c>
      <c r="T96" s="252" t="s">
        <v>359</v>
      </c>
      <c r="U96" s="257" t="s">
        <v>363</v>
      </c>
      <c r="V96" s="255" t="s">
        <v>364</v>
      </c>
      <c r="W96" s="255" t="s">
        <v>65</v>
      </c>
      <c r="X96" s="255"/>
      <c r="Y96" s="255" t="s">
        <v>72</v>
      </c>
      <c r="Z96" s="257"/>
      <c r="AA96" s="257"/>
    </row>
    <row r="97" spans="1:27" ht="91.5" hidden="1">
      <c r="A97" s="252">
        <f t="shared" si="1"/>
        <v>95</v>
      </c>
      <c r="B97" s="252" t="s">
        <v>50</v>
      </c>
      <c r="C97" s="263" t="s">
        <v>365</v>
      </c>
      <c r="D97" s="252" t="s">
        <v>52</v>
      </c>
      <c r="E97" s="253" t="s">
        <v>366</v>
      </c>
      <c r="F97" s="252" t="s">
        <v>89</v>
      </c>
      <c r="G97" s="252" t="s">
        <v>55</v>
      </c>
      <c r="H97" s="252" t="s">
        <v>367</v>
      </c>
      <c r="I97" s="252" t="s">
        <v>368</v>
      </c>
      <c r="J97" s="252"/>
      <c r="K97" s="252" t="s">
        <v>369</v>
      </c>
      <c r="L97" s="252"/>
      <c r="M97" s="263" t="s">
        <v>40</v>
      </c>
      <c r="N97" s="255" t="s">
        <v>82</v>
      </c>
      <c r="O97" s="297" t="s">
        <v>370</v>
      </c>
      <c r="P97" s="255">
        <v>1</v>
      </c>
      <c r="Q97" s="255">
        <v>1</v>
      </c>
      <c r="R97" s="255">
        <v>1</v>
      </c>
      <c r="S97" s="255" t="s">
        <v>61</v>
      </c>
      <c r="T97" s="252" t="s">
        <v>366</v>
      </c>
      <c r="U97" s="257" t="s">
        <v>371</v>
      </c>
      <c r="V97" s="255" t="s">
        <v>253</v>
      </c>
      <c r="W97" s="255" t="s">
        <v>65</v>
      </c>
      <c r="X97" s="256" t="s">
        <v>372</v>
      </c>
      <c r="Y97" s="255" t="s">
        <v>61</v>
      </c>
      <c r="Z97" s="257" t="s">
        <v>373</v>
      </c>
      <c r="AA97" s="257"/>
    </row>
    <row r="98" spans="1:27" s="239" customFormat="1" ht="15" hidden="1">
      <c r="A98" s="253">
        <f t="shared" si="1"/>
        <v>96</v>
      </c>
      <c r="B98" s="252" t="s">
        <v>50</v>
      </c>
      <c r="C98" s="263"/>
      <c r="D98" s="252" t="s">
        <v>109</v>
      </c>
      <c r="E98" s="253" t="s">
        <v>374</v>
      </c>
      <c r="F98" s="252" t="s">
        <v>54</v>
      </c>
      <c r="G98" s="252" t="s">
        <v>55</v>
      </c>
      <c r="H98" s="252"/>
      <c r="I98" s="252"/>
      <c r="J98" s="252"/>
      <c r="K98" s="252" t="s">
        <v>375</v>
      </c>
      <c r="L98" s="252"/>
      <c r="M98" s="252"/>
      <c r="N98" s="255"/>
      <c r="O98" s="255"/>
      <c r="P98" s="255"/>
      <c r="Q98" s="255"/>
      <c r="R98" s="255"/>
      <c r="S98" s="255"/>
      <c r="T98" s="252" t="s">
        <v>374</v>
      </c>
      <c r="U98" s="257"/>
      <c r="V98" s="255"/>
      <c r="W98" s="255"/>
      <c r="X98" s="255"/>
      <c r="Y98" s="255"/>
      <c r="Z98" s="257"/>
      <c r="AA98" s="257"/>
    </row>
    <row r="99" spans="1:27" s="239" customFormat="1" ht="55.5" hidden="1" customHeight="1">
      <c r="A99" s="253">
        <f t="shared" si="1"/>
        <v>97</v>
      </c>
      <c r="B99" s="252" t="s">
        <v>50</v>
      </c>
      <c r="C99" s="263" t="s">
        <v>365</v>
      </c>
      <c r="D99" s="252" t="s">
        <v>52</v>
      </c>
      <c r="E99" s="253" t="s">
        <v>376</v>
      </c>
      <c r="F99" s="252" t="s">
        <v>89</v>
      </c>
      <c r="G99" s="252" t="s">
        <v>55</v>
      </c>
      <c r="H99" s="252" t="s">
        <v>377</v>
      </c>
      <c r="I99" s="252" t="s">
        <v>378</v>
      </c>
      <c r="J99" s="252"/>
      <c r="K99" s="252" t="s">
        <v>379</v>
      </c>
      <c r="L99" s="252"/>
      <c r="M99" s="263" t="s">
        <v>40</v>
      </c>
      <c r="N99" s="255" t="s">
        <v>82</v>
      </c>
      <c r="O99" s="298" t="s">
        <v>380</v>
      </c>
      <c r="P99" s="255">
        <v>1</v>
      </c>
      <c r="Q99" s="255">
        <v>1</v>
      </c>
      <c r="R99" s="255">
        <v>1</v>
      </c>
      <c r="S99" s="255" t="s">
        <v>61</v>
      </c>
      <c r="T99" s="252" t="s">
        <v>376</v>
      </c>
      <c r="U99" s="257" t="s">
        <v>381</v>
      </c>
      <c r="V99" s="255" t="s">
        <v>253</v>
      </c>
      <c r="W99" s="255" t="s">
        <v>65</v>
      </c>
      <c r="X99" s="256" t="s">
        <v>372</v>
      </c>
      <c r="Y99" s="255" t="s">
        <v>61</v>
      </c>
      <c r="Z99" s="257" t="s">
        <v>373</v>
      </c>
      <c r="AA99" s="257"/>
    </row>
    <row r="100" spans="1:27" s="239" customFormat="1" ht="60.75" hidden="1" customHeight="1">
      <c r="A100" s="286">
        <f t="shared" si="1"/>
        <v>98</v>
      </c>
      <c r="B100" s="306" t="s">
        <v>97</v>
      </c>
      <c r="C100" s="287"/>
      <c r="D100" s="259" t="s">
        <v>52</v>
      </c>
      <c r="E100" s="286" t="s">
        <v>382</v>
      </c>
      <c r="F100" s="259" t="s">
        <v>54</v>
      </c>
      <c r="G100" s="259" t="s">
        <v>55</v>
      </c>
      <c r="H100" s="259" t="s">
        <v>383</v>
      </c>
      <c r="I100" s="259" t="s">
        <v>384</v>
      </c>
      <c r="J100" s="252"/>
      <c r="K100" s="252" t="s">
        <v>384</v>
      </c>
      <c r="L100" s="259"/>
      <c r="M100" s="252" t="s">
        <v>40</v>
      </c>
      <c r="N100" s="288" t="s">
        <v>82</v>
      </c>
      <c r="O100" s="297" t="s">
        <v>385</v>
      </c>
      <c r="P100" s="288">
        <v>1</v>
      </c>
      <c r="Q100" s="288">
        <v>1</v>
      </c>
      <c r="R100" s="288">
        <v>2</v>
      </c>
      <c r="S100" s="289" t="s">
        <v>72</v>
      </c>
      <c r="T100" s="259"/>
      <c r="U100" s="290"/>
      <c r="V100" s="291"/>
      <c r="W100" s="288"/>
      <c r="X100" s="288"/>
      <c r="Y100" s="288" t="s">
        <v>72</v>
      </c>
      <c r="Z100" s="290"/>
      <c r="AA100" s="290"/>
    </row>
    <row r="101" spans="1:27" s="239" customFormat="1" ht="45.75" hidden="1">
      <c r="A101" s="253">
        <f t="shared" si="1"/>
        <v>99</v>
      </c>
      <c r="B101" s="252" t="s">
        <v>386</v>
      </c>
      <c r="C101" s="260" t="s">
        <v>387</v>
      </c>
      <c r="D101" s="252" t="s">
        <v>52</v>
      </c>
      <c r="E101" s="253" t="s">
        <v>388</v>
      </c>
      <c r="F101" s="252" t="s">
        <v>54</v>
      </c>
      <c r="G101" s="252" t="s">
        <v>55</v>
      </c>
      <c r="H101" s="252" t="s">
        <v>389</v>
      </c>
      <c r="I101" s="252" t="s">
        <v>390</v>
      </c>
      <c r="J101" s="262"/>
      <c r="K101" s="261" t="s">
        <v>390</v>
      </c>
      <c r="L101" s="252"/>
      <c r="M101" s="252"/>
      <c r="N101" s="255" t="s">
        <v>82</v>
      </c>
      <c r="O101" s="285" t="s">
        <v>391</v>
      </c>
      <c r="P101" s="255">
        <v>1</v>
      </c>
      <c r="Q101" s="255">
        <v>1</v>
      </c>
      <c r="R101" s="255">
        <v>2</v>
      </c>
      <c r="S101" s="255" t="s">
        <v>61</v>
      </c>
      <c r="T101" s="252" t="s">
        <v>392</v>
      </c>
      <c r="U101" s="255" t="s">
        <v>393</v>
      </c>
      <c r="V101" s="255"/>
      <c r="W101" s="255" t="s">
        <v>65</v>
      </c>
      <c r="X101" s="256" t="s">
        <v>372</v>
      </c>
      <c r="Y101" s="255" t="s">
        <v>72</v>
      </c>
      <c r="Z101" s="257"/>
      <c r="AA101" s="257"/>
    </row>
    <row r="102" spans="1:27" s="242" customFormat="1" ht="30">
      <c r="A102" s="292">
        <f t="shared" si="1"/>
        <v>100</v>
      </c>
      <c r="B102" s="293" t="s">
        <v>86</v>
      </c>
      <c r="C102" s="293" t="s">
        <v>87</v>
      </c>
      <c r="D102" s="263" t="s">
        <v>52</v>
      </c>
      <c r="E102" s="294" t="s">
        <v>394</v>
      </c>
      <c r="F102" s="295" t="s">
        <v>89</v>
      </c>
      <c r="G102" s="263" t="s">
        <v>111</v>
      </c>
      <c r="H102" s="263" t="s">
        <v>395</v>
      </c>
      <c r="I102" s="263" t="s">
        <v>396</v>
      </c>
      <c r="J102" s="262" t="s">
        <v>397</v>
      </c>
      <c r="K102" s="264"/>
      <c r="L102" s="263"/>
      <c r="M102" s="252" t="s">
        <v>40</v>
      </c>
      <c r="N102" s="273" t="s">
        <v>398</v>
      </c>
      <c r="O102" s="273"/>
      <c r="P102" s="273"/>
      <c r="Q102" s="273" t="s">
        <v>60</v>
      </c>
      <c r="R102" s="273" t="s">
        <v>214</v>
      </c>
      <c r="S102" s="273" t="s">
        <v>72</v>
      </c>
      <c r="T102" s="296" t="s">
        <v>399</v>
      </c>
      <c r="U102" s="282"/>
      <c r="V102" s="273"/>
      <c r="W102" s="273"/>
      <c r="X102" s="273"/>
      <c r="Y102" s="273"/>
      <c r="Z102" s="282"/>
      <c r="AA102" s="282" t="s">
        <v>400</v>
      </c>
    </row>
    <row r="103" spans="1:27" s="239" customFormat="1" ht="30" hidden="1">
      <c r="A103" s="253">
        <f t="shared" si="1"/>
        <v>101</v>
      </c>
      <c r="B103" s="270" t="s">
        <v>401</v>
      </c>
      <c r="C103" s="270"/>
      <c r="D103" s="270"/>
      <c r="E103" s="253"/>
      <c r="F103" s="269" t="s">
        <v>89</v>
      </c>
      <c r="G103" s="270" t="s">
        <v>111</v>
      </c>
      <c r="H103" s="270"/>
      <c r="I103" s="270"/>
      <c r="J103" s="269" t="s">
        <v>402</v>
      </c>
      <c r="K103" s="269" t="s">
        <v>403</v>
      </c>
      <c r="L103" s="252"/>
      <c r="M103" s="269" t="s">
        <v>404</v>
      </c>
      <c r="N103" s="253"/>
      <c r="O103" s="253"/>
      <c r="P103" s="253"/>
      <c r="Q103" s="253"/>
      <c r="R103" s="253"/>
      <c r="S103" s="253"/>
      <c r="T103" s="253" t="s">
        <v>399</v>
      </c>
      <c r="U103" s="264"/>
      <c r="V103" s="253"/>
      <c r="W103" s="253"/>
      <c r="X103" s="253"/>
      <c r="Y103" s="253"/>
      <c r="Z103" s="264"/>
      <c r="AA103" s="264"/>
    </row>
    <row r="104" spans="1:27" s="239" customFormat="1" ht="45.75">
      <c r="A104" s="253">
        <f t="shared" si="1"/>
        <v>102</v>
      </c>
      <c r="B104" s="252" t="s">
        <v>401</v>
      </c>
      <c r="C104" s="252" t="s">
        <v>405</v>
      </c>
      <c r="D104" s="252" t="s">
        <v>52</v>
      </c>
      <c r="E104" s="315" t="s">
        <v>394</v>
      </c>
      <c r="F104" s="252" t="s">
        <v>89</v>
      </c>
      <c r="G104" s="252" t="s">
        <v>111</v>
      </c>
      <c r="H104" s="252" t="s">
        <v>406</v>
      </c>
      <c r="I104" s="252" t="s">
        <v>407</v>
      </c>
      <c r="J104" s="252" t="s">
        <v>408</v>
      </c>
      <c r="K104" s="252" t="s">
        <v>409</v>
      </c>
      <c r="L104" s="252"/>
      <c r="M104" s="264" t="s">
        <v>40</v>
      </c>
      <c r="N104" s="255" t="s">
        <v>410</v>
      </c>
      <c r="O104" s="255"/>
      <c r="P104" s="255"/>
      <c r="Q104" s="255" t="s">
        <v>60</v>
      </c>
      <c r="R104" s="255" t="s">
        <v>214</v>
      </c>
      <c r="S104" s="255" t="s">
        <v>61</v>
      </c>
      <c r="T104" s="271" t="s">
        <v>411</v>
      </c>
      <c r="U104" s="266" t="s">
        <v>412</v>
      </c>
      <c r="V104" s="258" t="s">
        <v>64</v>
      </c>
      <c r="W104" s="258" t="s">
        <v>413</v>
      </c>
      <c r="X104" s="267" t="s">
        <v>66</v>
      </c>
      <c r="Y104" s="255" t="s">
        <v>61</v>
      </c>
      <c r="Z104" s="257"/>
      <c r="AA104" s="268" t="s">
        <v>414</v>
      </c>
    </row>
    <row r="105" spans="1:27" s="239" customFormat="1" ht="60.75">
      <c r="A105" s="253">
        <f t="shared" si="1"/>
        <v>103</v>
      </c>
      <c r="B105" s="252" t="s">
        <v>401</v>
      </c>
      <c r="C105" s="252" t="s">
        <v>405</v>
      </c>
      <c r="D105" s="252" t="s">
        <v>52</v>
      </c>
      <c r="E105" s="315" t="s">
        <v>394</v>
      </c>
      <c r="F105" s="252" t="s">
        <v>89</v>
      </c>
      <c r="G105" s="252" t="s">
        <v>111</v>
      </c>
      <c r="H105" s="252" t="s">
        <v>415</v>
      </c>
      <c r="I105" s="252" t="s">
        <v>416</v>
      </c>
      <c r="J105" s="252" t="s">
        <v>415</v>
      </c>
      <c r="K105" s="252" t="s">
        <v>417</v>
      </c>
      <c r="L105" s="252"/>
      <c r="M105" s="264" t="s">
        <v>40</v>
      </c>
      <c r="N105" s="256" t="s">
        <v>418</v>
      </c>
      <c r="O105" s="256"/>
      <c r="P105" s="255">
        <v>2</v>
      </c>
      <c r="Q105" s="255">
        <v>2</v>
      </c>
      <c r="R105" s="255" t="s">
        <v>214</v>
      </c>
      <c r="S105" s="255" t="s">
        <v>72</v>
      </c>
      <c r="T105" s="271" t="s">
        <v>399</v>
      </c>
      <c r="U105" s="257"/>
      <c r="V105" s="255"/>
      <c r="W105" s="255"/>
      <c r="X105" s="255"/>
      <c r="Y105" s="255"/>
      <c r="Z105" s="257"/>
      <c r="AA105" s="268" t="s">
        <v>419</v>
      </c>
    </row>
    <row r="106" spans="1:27" ht="15.75" customHeight="1">
      <c r="B106" s="237"/>
      <c r="C106" s="237"/>
      <c r="D106" s="237"/>
    </row>
  </sheetData>
  <autoFilter xmlns:x14="http://schemas.microsoft.com/office/spreadsheetml/2009/9/main" ref="B3:AA105" xr:uid="{00000000-0001-0000-0000-000000000000}">
    <filterColumn colId="2">
      <filters>
        <filter val="Phase 1"/>
      </filters>
    </filterColumn>
    <filterColumn colId="25">
      <filters>
        <mc:AlternateContent xmlns:mc="http://schemas.openxmlformats.org/markup-compatibility/2006">
          <mc:Choice Requires="x14">
            <x14:filter val="- Có 1 hệ số quy đổi từ Kg sang Lít"/>
            <x14:filter val="- Có hệ số phát thải CO2 của nhiên liệu Jet A-1"/>
            <x14:filter val="- Có số Baseline tổng phát thải CO2 đối với cơ chế CORSIA_x000a_- Có số hạn ngạch Free Allowance đối với cơ chế EU ETS và UK ETS"/>
            <x14:filter val="Có 11 hệ số:_x000a_- Hệ số quy đổi từ Kg sang Tấn_x000a_- Hệ số quy đổi từ Lít sang Kg_x000a_- Hệ số quy đổi từ Tấn sang TOE_x000a_- Hệ số tiềm năng nóng lên toàn cầu (GWP) của CH4_x000a_- Hệ số tiềm năng nóng lên toàn cầu (GWP) của N2O_x000a_- Giá trị nhiệt thuần (NCV)_x000a_- Hệ số phát thải CO2 của nhiên liệu Jet A-1_x000a_- Hệ số phát thải N2O của nhiên liệu Jet A-1_x000a_- Hệ số phát thải N2O của nhiên liệu SAF_x000a_- Hệ số phát thải CH4 của nhiên liệu Jet A-1_x000a_- Hệ số phát thải CH4 của nhiên liệu SAF"/>
            <x14:filter val="Có 3 hệ số:_x000a_- Hệ số phát thải CO2 của nhiên liệu Jet A-1_x000a_- Hệ số quy đổi từ Kg sang Tấn_x000a_- Hệ số quy đổi từ Lít sang Kg"/>
          </mc:Choice>
          <mc:Fallback>
            <filter val="- Có 1 hệ số quy đổi từ Kg sang Lít"/>
            <filter val="- Có hệ số phát thải CO2 của nhiên liệu Jet A-1"/>
            <filter val="- Có số Baseline tổng phát thải CO2 đối với cơ chế CORSIA_x000a_- Có số hạn ngạch Free Allowance đối với cơ chế EU ETS và UK ETS"/>
            <filter val="Có 3 hệ số:_x000a_- Hệ số phát thải CO2 của nhiên liệu Jet A-1_x000a_- Hệ số quy đổi từ Kg sang Tấn_x000a_- Hệ số quy đổi từ Lít sang Kg"/>
          </mc:Fallback>
        </mc:AlternateContent>
      </filters>
    </filterColumn>
  </autoFilter>
  <mergeCells count="2">
    <mergeCell ref="W1:Z1"/>
    <mergeCell ref="S2:AA2"/>
  </mergeCells>
  <phoneticPr fontId="5" type="noConversion"/>
  <hyperlinks>
    <hyperlink ref="O7" r:id="rId1" xr:uid="{A283D5E1-88CD-476A-82A1-491313A4BB56}"/>
    <hyperlink ref="O101" r:id="rId2" xr:uid="{75E83D6B-660C-44A4-A238-44E572B4A5AB}"/>
    <hyperlink ref="O6" r:id="rId3" xr:uid="{C5E45072-25BD-4933-9CE2-03F046BD58A7}"/>
    <hyperlink ref="O9" r:id="rId4" xr:uid="{711CE1C7-7EFE-45A1-93D0-614C26C00933}"/>
    <hyperlink ref="O13" r:id="rId5" xr:uid="{CFB0DC94-D446-4ED4-90B4-C17C422BC7A6}"/>
    <hyperlink ref="O14" r:id="rId6" xr:uid="{CD56A994-69FC-422B-8CAA-C1F57AE192B5}"/>
    <hyperlink ref="O80" r:id="rId7" xr:uid="{11BD7B9A-7BDA-4A10-A9DD-0C7BCD946ADF}"/>
    <hyperlink ref="O96" r:id="rId8" xr:uid="{7155CA87-93F7-411F-B554-A99D8BEE088E}"/>
    <hyperlink ref="O97" r:id="rId9" xr:uid="{7A3E5845-F6BD-4286-8BD8-AC85206D2867}"/>
    <hyperlink ref="O99" r:id="rId10" xr:uid="{D791BD53-1796-40E1-A0A1-F1BFE0C32864}"/>
    <hyperlink ref="O45" r:id="rId11" xr:uid="{34AF1F20-40DF-440E-87E1-5F2CA1F43F95}"/>
    <hyperlink ref="O8" r:id="rId12" xr:uid="{B143E080-FF20-4ADA-BC13-AAD763972A30}"/>
    <hyperlink ref="O100" r:id="rId13" xr:uid="{E997DFC6-6ADE-4B8C-BBE0-983F41CC934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938"/>
  <sheetViews>
    <sheetView tabSelected="1" workbookViewId="0">
      <selection activeCell="F5" sqref="F5"/>
    </sheetView>
  </sheetViews>
  <sheetFormatPr defaultColWidth="12.7109375" defaultRowHeight="15" customHeight="1"/>
  <cols>
    <col min="1" max="1" width="6.42578125" style="235" customWidth="1"/>
    <col min="2" max="2" width="12.85546875" style="235" customWidth="1"/>
    <col min="3" max="3" width="17.42578125" style="235" customWidth="1"/>
    <col min="4" max="4" width="26.140625" style="228" customWidth="1"/>
    <col min="5" max="5" width="27.140625" style="236" customWidth="1"/>
    <col min="6" max="7" width="57.140625" style="236" customWidth="1"/>
    <col min="8" max="8" width="13" style="228" bestFit="1" customWidth="1"/>
    <col min="9" max="9" width="10.5703125" style="228" bestFit="1" customWidth="1"/>
    <col min="10" max="10" width="129.140625" style="236" customWidth="1"/>
    <col min="11" max="11" width="23.7109375" style="228" customWidth="1"/>
    <col min="12" max="16384" width="12.7109375" style="228"/>
  </cols>
  <sheetData>
    <row r="1" spans="1:10">
      <c r="A1" s="224" t="s">
        <v>420</v>
      </c>
      <c r="B1" s="225" t="s">
        <v>421</v>
      </c>
      <c r="C1" s="225" t="s">
        <v>422</v>
      </c>
      <c r="D1" s="222" t="s">
        <v>423</v>
      </c>
      <c r="E1" s="222" t="s">
        <v>424</v>
      </c>
      <c r="F1" s="223" t="s">
        <v>425</v>
      </c>
      <c r="G1" s="223" t="s">
        <v>426</v>
      </c>
      <c r="H1" s="226" t="s">
        <v>427</v>
      </c>
      <c r="I1" s="226" t="s">
        <v>428</v>
      </c>
      <c r="J1" s="227" t="s">
        <v>429</v>
      </c>
    </row>
    <row r="2" spans="1:10" ht="183">
      <c r="A2" s="229">
        <v>1</v>
      </c>
      <c r="B2" s="229" t="s">
        <v>430</v>
      </c>
      <c r="C2" s="229" t="s">
        <v>296</v>
      </c>
      <c r="D2" s="231" t="s">
        <v>298</v>
      </c>
      <c r="E2" s="231" t="s">
        <v>297</v>
      </c>
      <c r="F2" s="231" t="s">
        <v>431</v>
      </c>
      <c r="G2" s="231" t="s">
        <v>432</v>
      </c>
      <c r="H2" s="230" t="s">
        <v>433</v>
      </c>
      <c r="I2" s="230" t="s">
        <v>434</v>
      </c>
      <c r="J2" s="231" t="s">
        <v>435</v>
      </c>
    </row>
    <row r="3" spans="1:10" ht="258.75">
      <c r="A3" s="229">
        <v>2</v>
      </c>
      <c r="B3" s="229" t="s">
        <v>430</v>
      </c>
      <c r="C3" s="229" t="s">
        <v>313</v>
      </c>
      <c r="D3" s="231" t="s">
        <v>315</v>
      </c>
      <c r="E3" s="231" t="s">
        <v>314</v>
      </c>
      <c r="F3" s="231" t="s">
        <v>436</v>
      </c>
      <c r="G3" s="231" t="s">
        <v>437</v>
      </c>
      <c r="H3" s="230" t="s">
        <v>433</v>
      </c>
      <c r="I3" s="230" t="s">
        <v>434</v>
      </c>
      <c r="J3" s="231" t="s">
        <v>438</v>
      </c>
    </row>
    <row r="4" spans="1:10" ht="273.75">
      <c r="A4" s="229">
        <v>3</v>
      </c>
      <c r="B4" s="229" t="s">
        <v>430</v>
      </c>
      <c r="C4" s="229" t="s">
        <v>306</v>
      </c>
      <c r="D4" s="231" t="s">
        <v>439</v>
      </c>
      <c r="E4" s="231" t="s">
        <v>307</v>
      </c>
      <c r="F4" s="231" t="s">
        <v>440</v>
      </c>
      <c r="G4" s="231" t="s">
        <v>441</v>
      </c>
      <c r="H4" s="230" t="s">
        <v>433</v>
      </c>
      <c r="I4" s="230" t="s">
        <v>434</v>
      </c>
      <c r="J4" s="231" t="s">
        <v>442</v>
      </c>
    </row>
    <row r="5" spans="1:10" ht="198">
      <c r="A5" s="229">
        <v>4</v>
      </c>
      <c r="B5" s="229" t="s">
        <v>430</v>
      </c>
      <c r="C5" s="229" t="s">
        <v>333</v>
      </c>
      <c r="D5" s="231" t="s">
        <v>334</v>
      </c>
      <c r="E5" s="231" t="s">
        <v>443</v>
      </c>
      <c r="F5" s="231" t="s">
        <v>444</v>
      </c>
      <c r="G5" s="231" t="s">
        <v>445</v>
      </c>
      <c r="H5" s="230" t="s">
        <v>433</v>
      </c>
      <c r="I5" s="230" t="s">
        <v>434</v>
      </c>
      <c r="J5" s="231" t="s">
        <v>446</v>
      </c>
    </row>
    <row r="6" spans="1:10" ht="168">
      <c r="A6" s="229">
        <v>5</v>
      </c>
      <c r="B6" s="229" t="s">
        <v>430</v>
      </c>
      <c r="C6" s="229" t="s">
        <v>187</v>
      </c>
      <c r="D6" s="231" t="s">
        <v>189</v>
      </c>
      <c r="E6" s="231" t="s">
        <v>188</v>
      </c>
      <c r="F6" s="231" t="s">
        <v>447</v>
      </c>
      <c r="G6" s="231" t="s">
        <v>448</v>
      </c>
      <c r="H6" s="230" t="s">
        <v>433</v>
      </c>
      <c r="I6" s="230" t="s">
        <v>434</v>
      </c>
      <c r="J6" s="231" t="s">
        <v>449</v>
      </c>
    </row>
    <row r="7" spans="1:10" ht="106.5">
      <c r="A7" s="229">
        <v>6</v>
      </c>
      <c r="B7" s="229" t="s">
        <v>430</v>
      </c>
      <c r="C7" s="229" t="s">
        <v>324</v>
      </c>
      <c r="D7" s="231" t="s">
        <v>326</v>
      </c>
      <c r="E7" s="231" t="s">
        <v>450</v>
      </c>
      <c r="F7" s="231" t="s">
        <v>451</v>
      </c>
      <c r="G7" s="231" t="s">
        <v>452</v>
      </c>
      <c r="H7" s="230" t="s">
        <v>433</v>
      </c>
      <c r="I7" s="230" t="s">
        <v>434</v>
      </c>
      <c r="J7" s="231" t="s">
        <v>453</v>
      </c>
    </row>
    <row r="8" spans="1:10" ht="151.5">
      <c r="A8" s="229">
        <v>7</v>
      </c>
      <c r="B8" s="229" t="s">
        <v>430</v>
      </c>
      <c r="C8" s="229" t="s">
        <v>113</v>
      </c>
      <c r="D8" s="231" t="s">
        <v>115</v>
      </c>
      <c r="E8" s="231" t="s">
        <v>114</v>
      </c>
      <c r="F8" s="231" t="s">
        <v>454</v>
      </c>
      <c r="G8" s="231" t="s">
        <v>455</v>
      </c>
      <c r="H8" s="230" t="s">
        <v>433</v>
      </c>
      <c r="I8" s="230" t="s">
        <v>434</v>
      </c>
      <c r="J8" s="231" t="s">
        <v>456</v>
      </c>
    </row>
    <row r="9" spans="1:10" ht="228.75">
      <c r="A9" s="229">
        <v>8</v>
      </c>
      <c r="B9" s="229" t="s">
        <v>457</v>
      </c>
      <c r="C9" s="229" t="s">
        <v>198</v>
      </c>
      <c r="D9" s="231" t="e">
        <f>VLOOKUP(C9,'95 Chỉ tiêu'!$B$4:$K$98,5,0)</f>
        <v>#N/A</v>
      </c>
      <c r="E9" s="231" t="s">
        <v>199</v>
      </c>
      <c r="F9" s="231" t="s">
        <v>458</v>
      </c>
      <c r="G9" s="231"/>
      <c r="H9" s="230" t="s">
        <v>433</v>
      </c>
      <c r="I9" s="230" t="s">
        <v>117</v>
      </c>
      <c r="J9" s="231" t="s">
        <v>459</v>
      </c>
    </row>
    <row r="10" spans="1:10" ht="106.5">
      <c r="A10" s="229">
        <v>9</v>
      </c>
      <c r="B10" s="229" t="s">
        <v>457</v>
      </c>
      <c r="C10" s="229" t="s">
        <v>147</v>
      </c>
      <c r="D10" s="231" t="e">
        <f>VLOOKUP(C10,'95 Chỉ tiêu'!$B$4:$K$98,5,0)</f>
        <v>#N/A</v>
      </c>
      <c r="E10" s="231" t="s">
        <v>148</v>
      </c>
      <c r="F10" s="231" t="s">
        <v>460</v>
      </c>
      <c r="G10" s="231"/>
      <c r="H10" s="230" t="s">
        <v>433</v>
      </c>
      <c r="I10" s="230" t="s">
        <v>117</v>
      </c>
      <c r="J10" s="231" t="s">
        <v>461</v>
      </c>
    </row>
    <row r="11" spans="1:10" ht="60.75">
      <c r="A11" s="229">
        <v>10</v>
      </c>
      <c r="B11" s="229" t="s">
        <v>457</v>
      </c>
      <c r="C11" s="229" t="s">
        <v>150</v>
      </c>
      <c r="D11" s="231" t="e">
        <f>VLOOKUP(C11,'95 Chỉ tiêu'!$B$4:$K$98,5,0)</f>
        <v>#N/A</v>
      </c>
      <c r="E11" s="231" t="s">
        <v>151</v>
      </c>
      <c r="F11" s="231" t="s">
        <v>462</v>
      </c>
      <c r="G11" s="231"/>
      <c r="H11" s="230" t="s">
        <v>433</v>
      </c>
      <c r="I11" s="230" t="s">
        <v>117</v>
      </c>
      <c r="J11" s="231" t="s">
        <v>463</v>
      </c>
    </row>
    <row r="12" spans="1:10" ht="183">
      <c r="A12" s="229">
        <v>11</v>
      </c>
      <c r="B12" s="229" t="s">
        <v>457</v>
      </c>
      <c r="C12" s="229" t="s">
        <v>153</v>
      </c>
      <c r="D12" s="231" t="e">
        <f>VLOOKUP(C12,'95 Chỉ tiêu'!$B$4:$K$98,5,0)</f>
        <v>#N/A</v>
      </c>
      <c r="E12" s="231" t="s">
        <v>154</v>
      </c>
      <c r="F12" s="231" t="s">
        <v>464</v>
      </c>
      <c r="G12" s="231"/>
      <c r="H12" s="230" t="s">
        <v>433</v>
      </c>
      <c r="I12" s="230" t="s">
        <v>117</v>
      </c>
      <c r="J12" s="231" t="s">
        <v>465</v>
      </c>
    </row>
    <row r="13" spans="1:10" ht="136.5">
      <c r="A13" s="229">
        <v>12</v>
      </c>
      <c r="B13" s="229" t="s">
        <v>457</v>
      </c>
      <c r="C13" s="229" t="s">
        <v>156</v>
      </c>
      <c r="D13" s="231" t="e">
        <f>VLOOKUP(C13,'95 Chỉ tiêu'!$B$4:$K$98,5,0)</f>
        <v>#N/A</v>
      </c>
      <c r="E13" s="231" t="s">
        <v>157</v>
      </c>
      <c r="F13" s="231" t="s">
        <v>466</v>
      </c>
      <c r="G13" s="231"/>
      <c r="H13" s="230" t="s">
        <v>433</v>
      </c>
      <c r="I13" s="230" t="s">
        <v>117</v>
      </c>
      <c r="J13" s="231" t="s">
        <v>467</v>
      </c>
    </row>
    <row r="14" spans="1:10" ht="75.75">
      <c r="A14" s="229">
        <v>13</v>
      </c>
      <c r="B14" s="229" t="s">
        <v>457</v>
      </c>
      <c r="C14" s="229" t="s">
        <v>159</v>
      </c>
      <c r="D14" s="231"/>
      <c r="E14" s="231" t="s">
        <v>160</v>
      </c>
      <c r="F14" s="231" t="s">
        <v>468</v>
      </c>
      <c r="G14" s="231"/>
      <c r="H14" s="230" t="s">
        <v>433</v>
      </c>
      <c r="I14" s="230" t="s">
        <v>117</v>
      </c>
      <c r="J14" s="231" t="s">
        <v>469</v>
      </c>
    </row>
    <row r="15" spans="1:10" ht="289.5">
      <c r="A15" s="229">
        <v>14</v>
      </c>
      <c r="B15" s="229" t="s">
        <v>457</v>
      </c>
      <c r="C15" s="229" t="s">
        <v>161</v>
      </c>
      <c r="D15" s="231" t="e">
        <f>VLOOKUP(C15,'95 Chỉ tiêu'!$B$4:$K$98,5,0)</f>
        <v>#N/A</v>
      </c>
      <c r="E15" s="231" t="s">
        <v>162</v>
      </c>
      <c r="F15" s="231" t="s">
        <v>470</v>
      </c>
      <c r="G15" s="231"/>
      <c r="H15" s="230" t="s">
        <v>433</v>
      </c>
      <c r="I15" s="230" t="s">
        <v>117</v>
      </c>
      <c r="J15" s="231" t="s">
        <v>471</v>
      </c>
    </row>
    <row r="16" spans="1:10" ht="90.75">
      <c r="A16" s="229">
        <v>15</v>
      </c>
      <c r="B16" s="229" t="s">
        <v>457</v>
      </c>
      <c r="C16" s="229" t="s">
        <v>164</v>
      </c>
      <c r="D16" s="231"/>
      <c r="E16" s="231" t="s">
        <v>165</v>
      </c>
      <c r="F16" s="231" t="s">
        <v>472</v>
      </c>
      <c r="G16" s="231"/>
      <c r="H16" s="230" t="s">
        <v>433</v>
      </c>
      <c r="I16" s="230" t="s">
        <v>117</v>
      </c>
      <c r="J16" s="231" t="s">
        <v>473</v>
      </c>
    </row>
    <row r="17" spans="1:10" ht="45.75">
      <c r="A17" s="229">
        <v>16</v>
      </c>
      <c r="B17" s="229" t="s">
        <v>457</v>
      </c>
      <c r="C17" s="229" t="s">
        <v>166</v>
      </c>
      <c r="D17" s="231"/>
      <c r="E17" s="231" t="s">
        <v>167</v>
      </c>
      <c r="F17" s="231" t="s">
        <v>474</v>
      </c>
      <c r="G17" s="231"/>
      <c r="H17" s="230" t="s">
        <v>433</v>
      </c>
      <c r="I17" s="230" t="s">
        <v>117</v>
      </c>
      <c r="J17" s="231" t="s">
        <v>475</v>
      </c>
    </row>
    <row r="18" spans="1:10" ht="75.75">
      <c r="A18" s="229">
        <v>17</v>
      </c>
      <c r="B18" s="229" t="s">
        <v>457</v>
      </c>
      <c r="C18" s="229" t="s">
        <v>168</v>
      </c>
      <c r="D18" s="231"/>
      <c r="E18" s="231" t="s">
        <v>169</v>
      </c>
      <c r="F18" s="231" t="s">
        <v>476</v>
      </c>
      <c r="G18" s="231"/>
      <c r="H18" s="230" t="s">
        <v>433</v>
      </c>
      <c r="I18" s="230" t="s">
        <v>117</v>
      </c>
      <c r="J18" s="231" t="s">
        <v>477</v>
      </c>
    </row>
    <row r="19" spans="1:10" ht="289.5">
      <c r="A19" s="229">
        <v>18</v>
      </c>
      <c r="B19" s="229" t="s">
        <v>457</v>
      </c>
      <c r="C19" s="229" t="s">
        <v>172</v>
      </c>
      <c r="D19" s="231" t="e">
        <f>VLOOKUP(C19,'95 Chỉ tiêu'!$B$4:$K$98,5,0)</f>
        <v>#N/A</v>
      </c>
      <c r="E19" s="231" t="s">
        <v>173</v>
      </c>
      <c r="F19" s="231" t="s">
        <v>478</v>
      </c>
      <c r="G19" s="231"/>
      <c r="H19" s="230" t="s">
        <v>433</v>
      </c>
      <c r="I19" s="230" t="s">
        <v>117</v>
      </c>
      <c r="J19" s="231" t="s">
        <v>479</v>
      </c>
    </row>
    <row r="20" spans="1:10" ht="183">
      <c r="A20" s="229">
        <v>19</v>
      </c>
      <c r="B20" s="229" t="s">
        <v>457</v>
      </c>
      <c r="C20" s="229" t="s">
        <v>175</v>
      </c>
      <c r="D20" s="231"/>
      <c r="E20" s="231" t="s">
        <v>176</v>
      </c>
      <c r="F20" s="231" t="s">
        <v>480</v>
      </c>
      <c r="G20" s="231"/>
      <c r="H20" s="230" t="s">
        <v>433</v>
      </c>
      <c r="I20" s="230" t="s">
        <v>117</v>
      </c>
      <c r="J20" s="231" t="s">
        <v>481</v>
      </c>
    </row>
    <row r="21" spans="1:10" ht="183">
      <c r="A21" s="229">
        <v>20</v>
      </c>
      <c r="B21" s="229" t="s">
        <v>457</v>
      </c>
      <c r="C21" s="229" t="s">
        <v>177</v>
      </c>
      <c r="D21" s="231"/>
      <c r="E21" s="231" t="s">
        <v>178</v>
      </c>
      <c r="F21" s="231" t="s">
        <v>482</v>
      </c>
      <c r="G21" s="231"/>
      <c r="H21" s="230" t="s">
        <v>433</v>
      </c>
      <c r="I21" s="230" t="s">
        <v>117</v>
      </c>
      <c r="J21" s="231" t="s">
        <v>483</v>
      </c>
    </row>
    <row r="22" spans="1:10" ht="136.5">
      <c r="A22" s="229">
        <v>21</v>
      </c>
      <c r="B22" s="229" t="s">
        <v>457</v>
      </c>
      <c r="C22" s="229" t="s">
        <v>179</v>
      </c>
      <c r="D22" s="231" t="e">
        <f>VLOOKUP(C22,'95 Chỉ tiêu'!$B$4:$K$98,5,0)</f>
        <v>#N/A</v>
      </c>
      <c r="E22" s="231" t="s">
        <v>180</v>
      </c>
      <c r="F22" s="231" t="s">
        <v>484</v>
      </c>
      <c r="G22" s="231"/>
      <c r="H22" s="230" t="s">
        <v>433</v>
      </c>
      <c r="I22" s="230" t="s">
        <v>117</v>
      </c>
      <c r="J22" s="231" t="s">
        <v>485</v>
      </c>
    </row>
    <row r="23" spans="1:10" ht="213">
      <c r="A23" s="229">
        <v>22</v>
      </c>
      <c r="B23" s="229" t="s">
        <v>457</v>
      </c>
      <c r="C23" s="229" t="s">
        <v>182</v>
      </c>
      <c r="D23" s="231"/>
      <c r="E23" s="231" t="s">
        <v>183</v>
      </c>
      <c r="F23" s="231" t="s">
        <v>486</v>
      </c>
      <c r="G23" s="231"/>
      <c r="H23" s="230" t="s">
        <v>72</v>
      </c>
      <c r="I23" s="230" t="s">
        <v>117</v>
      </c>
      <c r="J23" s="231" t="s">
        <v>487</v>
      </c>
    </row>
    <row r="24" spans="1:10" ht="228.75">
      <c r="A24" s="229">
        <v>23</v>
      </c>
      <c r="B24" s="229" t="s">
        <v>457</v>
      </c>
      <c r="C24" s="229" t="s">
        <v>184</v>
      </c>
      <c r="D24" s="231" t="e">
        <f>VLOOKUP(C24,'95 Chỉ tiêu'!$B$4:$K$98,5,0)</f>
        <v>#N/A</v>
      </c>
      <c r="E24" s="231" t="s">
        <v>185</v>
      </c>
      <c r="F24" s="231" t="s">
        <v>488</v>
      </c>
      <c r="G24" s="231"/>
      <c r="H24" s="230" t="s">
        <v>433</v>
      </c>
      <c r="I24" s="230" t="s">
        <v>117</v>
      </c>
      <c r="J24" s="231" t="s">
        <v>489</v>
      </c>
    </row>
    <row r="25" spans="1:10" ht="334.5">
      <c r="A25" s="229">
        <v>24</v>
      </c>
      <c r="B25" s="229" t="s">
        <v>457</v>
      </c>
      <c r="C25" s="229" t="s">
        <v>287</v>
      </c>
      <c r="D25" s="231" t="e">
        <f>VLOOKUP(C25,'95 Chỉ tiêu'!$B$4:$K$98,5,0)</f>
        <v>#N/A</v>
      </c>
      <c r="E25" s="231" t="s">
        <v>288</v>
      </c>
      <c r="F25" s="231" t="s">
        <v>490</v>
      </c>
      <c r="G25" s="231"/>
      <c r="H25" s="230" t="s">
        <v>433</v>
      </c>
      <c r="I25" s="230" t="s">
        <v>117</v>
      </c>
      <c r="J25" s="231" t="s">
        <v>491</v>
      </c>
    </row>
    <row r="26" spans="1:10" ht="273.75">
      <c r="A26" s="229">
        <v>25</v>
      </c>
      <c r="B26" s="229" t="s">
        <v>457</v>
      </c>
      <c r="C26" s="229" t="s">
        <v>118</v>
      </c>
      <c r="D26" s="231" t="e">
        <f>VLOOKUP(C26,'95 Chỉ tiêu'!$B$4:$K$98,5,0)</f>
        <v>#N/A</v>
      </c>
      <c r="E26" s="231" t="s">
        <v>121</v>
      </c>
      <c r="F26" s="231" t="s">
        <v>492</v>
      </c>
      <c r="G26" s="231"/>
      <c r="H26" s="230" t="s">
        <v>433</v>
      </c>
      <c r="I26" s="230" t="s">
        <v>117</v>
      </c>
      <c r="J26" s="231" t="s">
        <v>493</v>
      </c>
    </row>
    <row r="27" spans="1:10" ht="198">
      <c r="A27" s="229">
        <v>26</v>
      </c>
      <c r="B27" s="229" t="s">
        <v>457</v>
      </c>
      <c r="C27" s="229" t="s">
        <v>138</v>
      </c>
      <c r="D27" s="231" t="e">
        <f>VLOOKUP(C27,'95 Chỉ tiêu'!$B$4:$K$98,5,0)</f>
        <v>#N/A</v>
      </c>
      <c r="E27" s="231" t="s">
        <v>139</v>
      </c>
      <c r="F27" s="231" t="s">
        <v>494</v>
      </c>
      <c r="G27" s="231"/>
      <c r="H27" s="230" t="s">
        <v>433</v>
      </c>
      <c r="I27" s="230" t="s">
        <v>117</v>
      </c>
      <c r="J27" s="231" t="s">
        <v>495</v>
      </c>
    </row>
    <row r="28" spans="1:10" ht="151.5">
      <c r="A28" s="229">
        <v>27</v>
      </c>
      <c r="B28" s="229" t="s">
        <v>457</v>
      </c>
      <c r="C28" s="229" t="s">
        <v>141</v>
      </c>
      <c r="D28" s="231" t="e">
        <f>VLOOKUP(C28,'95 Chỉ tiêu'!$B$4:$K$98,5,0)</f>
        <v>#N/A</v>
      </c>
      <c r="E28" s="231" t="s">
        <v>142</v>
      </c>
      <c r="F28" s="231" t="s">
        <v>496</v>
      </c>
      <c r="G28" s="231"/>
      <c r="H28" s="230" t="s">
        <v>72</v>
      </c>
      <c r="I28" s="230" t="s">
        <v>117</v>
      </c>
      <c r="J28" s="231" t="s">
        <v>497</v>
      </c>
    </row>
    <row r="29" spans="1:10" ht="90.75">
      <c r="A29" s="229">
        <v>28</v>
      </c>
      <c r="B29" s="229" t="s">
        <v>457</v>
      </c>
      <c r="C29" s="229" t="s">
        <v>144</v>
      </c>
      <c r="D29" s="231" t="e">
        <f>VLOOKUP(C29,'95 Chỉ tiêu'!$B$4:$K$98,5,0)</f>
        <v>#N/A</v>
      </c>
      <c r="E29" s="231" t="s">
        <v>145</v>
      </c>
      <c r="F29" s="231" t="s">
        <v>498</v>
      </c>
      <c r="G29" s="231"/>
      <c r="H29" s="230" t="s">
        <v>72</v>
      </c>
      <c r="I29" s="230" t="s">
        <v>117</v>
      </c>
      <c r="J29" s="231" t="s">
        <v>499</v>
      </c>
    </row>
    <row r="30" spans="1:10" ht="106.5">
      <c r="A30" s="229">
        <v>29</v>
      </c>
      <c r="B30" s="229" t="s">
        <v>457</v>
      </c>
      <c r="C30" s="229" t="s">
        <v>356</v>
      </c>
      <c r="D30" s="231" t="e">
        <f>VLOOKUP(C30,'95 Chỉ tiêu'!$B$4:$K$98,5,0)</f>
        <v>#N/A</v>
      </c>
      <c r="E30" s="231" t="s">
        <v>357</v>
      </c>
      <c r="F30" s="231" t="s">
        <v>500</v>
      </c>
      <c r="G30" s="231"/>
      <c r="H30" s="230" t="s">
        <v>433</v>
      </c>
      <c r="I30" s="230" t="s">
        <v>117</v>
      </c>
      <c r="J30" s="231" t="s">
        <v>501</v>
      </c>
    </row>
    <row r="31" spans="1:10">
      <c r="A31" s="232"/>
      <c r="B31" s="232"/>
      <c r="C31" s="232"/>
      <c r="D31" s="233"/>
      <c r="E31" s="234"/>
      <c r="F31" s="234"/>
      <c r="G31" s="234"/>
      <c r="H31" s="233"/>
      <c r="I31" s="233"/>
      <c r="J31" s="234"/>
    </row>
    <row r="32" spans="1:10">
      <c r="A32" s="232"/>
      <c r="B32" s="232"/>
      <c r="C32" s="232"/>
      <c r="D32" s="233"/>
      <c r="E32" s="234"/>
      <c r="F32" s="234"/>
      <c r="G32" s="234"/>
      <c r="H32" s="233"/>
      <c r="I32" s="233"/>
      <c r="J32" s="234"/>
    </row>
    <row r="33" spans="1:10">
      <c r="A33" s="232"/>
      <c r="B33" s="232"/>
      <c r="C33" s="232"/>
      <c r="D33" s="233"/>
      <c r="E33" s="234"/>
      <c r="F33" s="234"/>
      <c r="G33" s="234"/>
      <c r="H33" s="233"/>
      <c r="I33" s="233"/>
      <c r="J33" s="234"/>
    </row>
    <row r="34" spans="1:10">
      <c r="A34" s="232"/>
      <c r="B34" s="232"/>
      <c r="C34" s="232"/>
      <c r="D34" s="233"/>
      <c r="E34" s="234"/>
      <c r="F34" s="234"/>
      <c r="G34" s="234"/>
      <c r="H34" s="233"/>
      <c r="I34" s="233"/>
      <c r="J34" s="234"/>
    </row>
    <row r="35" spans="1:10">
      <c r="A35" s="232"/>
      <c r="B35" s="232"/>
      <c r="C35" s="232"/>
      <c r="D35" s="233"/>
      <c r="E35" s="234"/>
      <c r="F35" s="234"/>
      <c r="G35" s="234"/>
      <c r="H35" s="233"/>
      <c r="I35" s="233"/>
      <c r="J35" s="234"/>
    </row>
    <row r="36" spans="1:10">
      <c r="A36" s="232"/>
      <c r="B36" s="232"/>
      <c r="C36" s="232"/>
      <c r="D36" s="233"/>
      <c r="E36" s="234"/>
      <c r="F36" s="234"/>
      <c r="G36" s="234"/>
      <c r="H36" s="233"/>
      <c r="I36" s="233"/>
      <c r="J36" s="234"/>
    </row>
    <row r="37" spans="1:10">
      <c r="A37" s="232"/>
      <c r="B37" s="232"/>
      <c r="C37" s="232"/>
      <c r="D37" s="233"/>
      <c r="E37" s="234"/>
      <c r="F37" s="234"/>
      <c r="G37" s="234"/>
      <c r="H37" s="233"/>
      <c r="I37" s="233"/>
      <c r="J37" s="234"/>
    </row>
    <row r="38" spans="1:10">
      <c r="A38" s="232"/>
      <c r="B38" s="232"/>
      <c r="C38" s="232"/>
      <c r="D38" s="233"/>
      <c r="E38" s="234"/>
      <c r="F38" s="234"/>
      <c r="G38" s="234"/>
      <c r="H38" s="233"/>
      <c r="I38" s="233"/>
      <c r="J38" s="234"/>
    </row>
    <row r="39" spans="1:10">
      <c r="A39" s="232"/>
      <c r="B39" s="232"/>
      <c r="C39" s="232"/>
      <c r="D39" s="233"/>
      <c r="E39" s="234"/>
      <c r="F39" s="234"/>
      <c r="G39" s="234"/>
      <c r="H39" s="233"/>
      <c r="I39" s="233"/>
      <c r="J39" s="234"/>
    </row>
    <row r="40" spans="1:10">
      <c r="A40" s="232"/>
      <c r="B40" s="232"/>
      <c r="C40" s="232"/>
      <c r="D40" s="233"/>
      <c r="E40" s="234"/>
      <c r="F40" s="234"/>
      <c r="G40" s="234"/>
      <c r="H40" s="233"/>
      <c r="I40" s="233"/>
      <c r="J40" s="234"/>
    </row>
    <row r="41" spans="1:10">
      <c r="A41" s="232"/>
      <c r="B41" s="232"/>
      <c r="C41" s="232"/>
      <c r="D41" s="233"/>
      <c r="E41" s="234"/>
      <c r="F41" s="234"/>
      <c r="G41" s="234"/>
      <c r="H41" s="233"/>
      <c r="I41" s="233"/>
      <c r="J41" s="234"/>
    </row>
    <row r="42" spans="1:10">
      <c r="A42" s="232"/>
      <c r="B42" s="232"/>
      <c r="C42" s="232"/>
      <c r="D42" s="233"/>
      <c r="E42" s="234"/>
      <c r="F42" s="234"/>
      <c r="G42" s="234"/>
      <c r="H42" s="233"/>
      <c r="I42" s="233"/>
      <c r="J42" s="234"/>
    </row>
    <row r="43" spans="1:10">
      <c r="A43" s="232"/>
      <c r="B43" s="232"/>
      <c r="C43" s="232"/>
      <c r="D43" s="233"/>
      <c r="E43" s="234"/>
      <c r="F43" s="234"/>
      <c r="G43" s="234"/>
      <c r="H43" s="233"/>
      <c r="I43" s="233"/>
      <c r="J43" s="234"/>
    </row>
    <row r="44" spans="1:10">
      <c r="A44" s="232"/>
      <c r="B44" s="232"/>
      <c r="C44" s="232"/>
      <c r="D44" s="233"/>
      <c r="E44" s="234"/>
      <c r="F44" s="234"/>
      <c r="G44" s="234"/>
      <c r="H44" s="233"/>
      <c r="I44" s="233"/>
      <c r="J44" s="234"/>
    </row>
    <row r="45" spans="1:10">
      <c r="A45" s="232"/>
      <c r="B45" s="232"/>
      <c r="C45" s="232"/>
      <c r="D45" s="233"/>
      <c r="E45" s="234"/>
      <c r="F45" s="234"/>
      <c r="G45" s="234"/>
      <c r="H45" s="233"/>
      <c r="I45" s="233"/>
      <c r="J45" s="234"/>
    </row>
    <row r="46" spans="1:10">
      <c r="A46" s="232"/>
      <c r="B46" s="232"/>
      <c r="C46" s="232"/>
      <c r="D46" s="233"/>
      <c r="E46" s="234"/>
      <c r="F46" s="234"/>
      <c r="G46" s="234"/>
      <c r="H46" s="233"/>
      <c r="I46" s="233"/>
      <c r="J46" s="234"/>
    </row>
    <row r="47" spans="1:10">
      <c r="A47" s="232"/>
      <c r="B47" s="232"/>
      <c r="C47" s="232"/>
      <c r="D47" s="233"/>
      <c r="E47" s="234"/>
      <c r="F47" s="234"/>
      <c r="G47" s="234"/>
      <c r="H47" s="233"/>
      <c r="I47" s="233"/>
      <c r="J47" s="234"/>
    </row>
    <row r="48" spans="1:10">
      <c r="A48" s="232"/>
      <c r="B48" s="232"/>
      <c r="C48" s="232"/>
      <c r="D48" s="233"/>
      <c r="E48" s="234"/>
      <c r="F48" s="234"/>
      <c r="G48" s="234"/>
      <c r="H48" s="233"/>
      <c r="I48" s="233"/>
      <c r="J48" s="234"/>
    </row>
    <row r="49" spans="1:10">
      <c r="A49" s="232"/>
      <c r="B49" s="232"/>
      <c r="C49" s="232"/>
      <c r="D49" s="233"/>
      <c r="E49" s="234"/>
      <c r="F49" s="234"/>
      <c r="G49" s="234"/>
      <c r="H49" s="233"/>
      <c r="I49" s="233"/>
      <c r="J49" s="234"/>
    </row>
    <row r="50" spans="1:10">
      <c r="A50" s="232"/>
      <c r="B50" s="232"/>
      <c r="C50" s="232"/>
      <c r="D50" s="233"/>
      <c r="E50" s="234"/>
      <c r="F50" s="234"/>
      <c r="G50" s="234"/>
      <c r="H50" s="233"/>
      <c r="I50" s="233"/>
      <c r="J50" s="234"/>
    </row>
    <row r="51" spans="1:10">
      <c r="A51" s="232"/>
      <c r="B51" s="232"/>
      <c r="C51" s="232"/>
      <c r="D51" s="233"/>
      <c r="E51" s="234"/>
      <c r="F51" s="234"/>
      <c r="G51" s="234"/>
      <c r="H51" s="233"/>
      <c r="I51" s="233"/>
      <c r="J51" s="234"/>
    </row>
    <row r="52" spans="1:10">
      <c r="A52" s="232"/>
      <c r="B52" s="232"/>
      <c r="C52" s="232"/>
      <c r="D52" s="233"/>
      <c r="E52" s="234"/>
      <c r="F52" s="234"/>
      <c r="G52" s="234"/>
      <c r="H52" s="233"/>
      <c r="I52" s="233"/>
      <c r="J52" s="234"/>
    </row>
    <row r="53" spans="1:10">
      <c r="A53" s="232"/>
      <c r="B53" s="232"/>
      <c r="C53" s="232"/>
      <c r="D53" s="233"/>
      <c r="E53" s="234"/>
      <c r="F53" s="234"/>
      <c r="G53" s="234"/>
      <c r="H53" s="233"/>
      <c r="I53" s="233"/>
      <c r="J53" s="234"/>
    </row>
    <row r="54" spans="1:10">
      <c r="A54" s="232"/>
      <c r="B54" s="232"/>
      <c r="C54" s="232"/>
      <c r="D54" s="233"/>
      <c r="E54" s="234"/>
      <c r="F54" s="234"/>
      <c r="G54" s="234"/>
      <c r="H54" s="233"/>
      <c r="I54" s="233"/>
      <c r="J54" s="234"/>
    </row>
    <row r="55" spans="1:10">
      <c r="A55" s="232"/>
      <c r="B55" s="232"/>
      <c r="C55" s="232"/>
      <c r="D55" s="233"/>
      <c r="E55" s="234"/>
      <c r="F55" s="234"/>
      <c r="G55" s="234"/>
      <c r="H55" s="233"/>
      <c r="I55" s="233"/>
      <c r="J55" s="234"/>
    </row>
    <row r="56" spans="1:10">
      <c r="A56" s="232"/>
      <c r="B56" s="232"/>
      <c r="C56" s="232"/>
      <c r="D56" s="233"/>
      <c r="E56" s="234"/>
      <c r="F56" s="234"/>
      <c r="G56" s="234"/>
      <c r="H56" s="233"/>
      <c r="I56" s="233"/>
      <c r="J56" s="234"/>
    </row>
    <row r="57" spans="1:10">
      <c r="A57" s="232"/>
      <c r="B57" s="232"/>
      <c r="C57" s="232"/>
      <c r="D57" s="233"/>
      <c r="E57" s="234"/>
      <c r="F57" s="234"/>
      <c r="G57" s="234"/>
      <c r="H57" s="233"/>
      <c r="I57" s="233"/>
      <c r="J57" s="234"/>
    </row>
    <row r="58" spans="1:10">
      <c r="A58" s="232"/>
      <c r="B58" s="232"/>
      <c r="C58" s="232"/>
      <c r="D58" s="233"/>
      <c r="E58" s="234"/>
      <c r="F58" s="234"/>
      <c r="G58" s="234"/>
      <c r="H58" s="233"/>
      <c r="I58" s="233"/>
      <c r="J58" s="234"/>
    </row>
    <row r="59" spans="1:10">
      <c r="A59" s="232"/>
      <c r="B59" s="232"/>
      <c r="C59" s="232"/>
      <c r="D59" s="233"/>
      <c r="E59" s="234"/>
      <c r="F59" s="234"/>
      <c r="G59" s="234"/>
      <c r="H59" s="233"/>
      <c r="I59" s="233"/>
      <c r="J59" s="234"/>
    </row>
    <row r="60" spans="1:10">
      <c r="A60" s="232"/>
      <c r="B60" s="232"/>
      <c r="C60" s="232"/>
      <c r="D60" s="233"/>
      <c r="E60" s="234"/>
      <c r="F60" s="234"/>
      <c r="G60" s="234"/>
      <c r="H60" s="233"/>
      <c r="I60" s="233"/>
      <c r="J60" s="234"/>
    </row>
    <row r="61" spans="1:10">
      <c r="A61" s="232"/>
      <c r="B61" s="232"/>
      <c r="C61" s="232"/>
      <c r="D61" s="233"/>
      <c r="E61" s="234"/>
      <c r="F61" s="234"/>
      <c r="G61" s="234"/>
      <c r="H61" s="233"/>
      <c r="I61" s="233"/>
      <c r="J61" s="234"/>
    </row>
    <row r="62" spans="1:10">
      <c r="A62" s="232"/>
      <c r="B62" s="232"/>
      <c r="C62" s="232"/>
      <c r="D62" s="233"/>
      <c r="E62" s="234"/>
      <c r="F62" s="234"/>
      <c r="G62" s="234"/>
      <c r="H62" s="233"/>
      <c r="I62" s="233"/>
      <c r="J62" s="234"/>
    </row>
    <row r="63" spans="1:10">
      <c r="A63" s="232"/>
      <c r="B63" s="232"/>
      <c r="C63" s="232"/>
      <c r="D63" s="233"/>
      <c r="E63" s="234"/>
      <c r="F63" s="234"/>
      <c r="G63" s="234"/>
      <c r="H63" s="233"/>
      <c r="I63" s="233"/>
      <c r="J63" s="234"/>
    </row>
    <row r="64" spans="1:10">
      <c r="A64" s="232"/>
      <c r="B64" s="232"/>
      <c r="C64" s="232"/>
      <c r="D64" s="233"/>
      <c r="E64" s="234"/>
      <c r="F64" s="234"/>
      <c r="G64" s="234"/>
      <c r="H64" s="233"/>
      <c r="I64" s="233"/>
      <c r="J64" s="234"/>
    </row>
    <row r="65" spans="1:10">
      <c r="A65" s="232"/>
      <c r="B65" s="232"/>
      <c r="C65" s="232"/>
      <c r="D65" s="233"/>
      <c r="E65" s="234"/>
      <c r="F65" s="234"/>
      <c r="G65" s="234"/>
      <c r="H65" s="233"/>
      <c r="I65" s="233"/>
      <c r="J65" s="234"/>
    </row>
    <row r="66" spans="1:10">
      <c r="A66" s="232"/>
      <c r="B66" s="232"/>
      <c r="C66" s="232"/>
      <c r="D66" s="233"/>
      <c r="E66" s="234"/>
      <c r="F66" s="234"/>
      <c r="G66" s="234"/>
      <c r="H66" s="233"/>
      <c r="I66" s="233"/>
      <c r="J66" s="234"/>
    </row>
    <row r="67" spans="1:10">
      <c r="A67" s="232"/>
      <c r="B67" s="232"/>
      <c r="C67" s="232"/>
      <c r="D67" s="233"/>
      <c r="E67" s="234"/>
      <c r="F67" s="234"/>
      <c r="G67" s="234"/>
      <c r="H67" s="233"/>
      <c r="I67" s="233"/>
      <c r="J67" s="234"/>
    </row>
    <row r="68" spans="1:10">
      <c r="A68" s="232"/>
      <c r="B68" s="232"/>
      <c r="C68" s="232"/>
      <c r="D68" s="233"/>
      <c r="E68" s="234"/>
      <c r="F68" s="234"/>
      <c r="G68" s="234"/>
      <c r="H68" s="233"/>
      <c r="I68" s="233"/>
      <c r="J68" s="234"/>
    </row>
    <row r="69" spans="1:10">
      <c r="A69" s="232"/>
      <c r="B69" s="232"/>
      <c r="C69" s="232"/>
      <c r="D69" s="233"/>
      <c r="E69" s="234"/>
      <c r="F69" s="234"/>
      <c r="G69" s="234"/>
      <c r="H69" s="233"/>
      <c r="I69" s="233"/>
      <c r="J69" s="234"/>
    </row>
    <row r="70" spans="1:10">
      <c r="A70" s="232"/>
      <c r="B70" s="232"/>
      <c r="C70" s="232"/>
      <c r="D70" s="233"/>
      <c r="E70" s="234"/>
      <c r="F70" s="234"/>
      <c r="G70" s="234"/>
      <c r="H70" s="233"/>
      <c r="I70" s="233"/>
      <c r="J70" s="234"/>
    </row>
    <row r="71" spans="1:10">
      <c r="A71" s="232"/>
      <c r="B71" s="232"/>
      <c r="C71" s="232"/>
      <c r="D71" s="233"/>
      <c r="E71" s="234"/>
      <c r="F71" s="234"/>
      <c r="G71" s="234"/>
      <c r="H71" s="233"/>
      <c r="I71" s="233"/>
      <c r="J71" s="234"/>
    </row>
    <row r="72" spans="1:10">
      <c r="A72" s="232"/>
      <c r="B72" s="232"/>
      <c r="C72" s="232"/>
      <c r="D72" s="233"/>
      <c r="E72" s="234"/>
      <c r="F72" s="234"/>
      <c r="G72" s="234"/>
      <c r="H72" s="233"/>
      <c r="I72" s="233"/>
      <c r="J72" s="234"/>
    </row>
    <row r="73" spans="1:10">
      <c r="A73" s="232"/>
      <c r="B73" s="232"/>
      <c r="C73" s="232"/>
      <c r="D73" s="233"/>
      <c r="E73" s="234"/>
      <c r="F73" s="234"/>
      <c r="G73" s="234"/>
      <c r="H73" s="233"/>
      <c r="I73" s="233"/>
      <c r="J73" s="234"/>
    </row>
    <row r="74" spans="1:10">
      <c r="A74" s="232"/>
      <c r="B74" s="232"/>
      <c r="C74" s="232"/>
      <c r="D74" s="233"/>
      <c r="E74" s="234"/>
      <c r="F74" s="234"/>
      <c r="G74" s="234"/>
      <c r="H74" s="233"/>
      <c r="I74" s="233"/>
      <c r="J74" s="234"/>
    </row>
    <row r="75" spans="1:10">
      <c r="A75" s="232"/>
      <c r="B75" s="232"/>
      <c r="C75" s="232"/>
      <c r="D75" s="233"/>
      <c r="E75" s="234"/>
      <c r="F75" s="234"/>
      <c r="G75" s="234"/>
      <c r="H75" s="233"/>
      <c r="I75" s="233"/>
      <c r="J75" s="234"/>
    </row>
    <row r="76" spans="1:10">
      <c r="A76" s="232"/>
      <c r="B76" s="232"/>
      <c r="C76" s="232"/>
      <c r="D76" s="233"/>
      <c r="E76" s="234"/>
      <c r="F76" s="234"/>
      <c r="G76" s="234"/>
      <c r="H76" s="233"/>
      <c r="I76" s="233"/>
      <c r="J76" s="234"/>
    </row>
    <row r="77" spans="1:10">
      <c r="A77" s="232"/>
      <c r="B77" s="232"/>
      <c r="C77" s="232"/>
      <c r="D77" s="233"/>
      <c r="E77" s="234"/>
      <c r="F77" s="234"/>
      <c r="G77" s="234"/>
      <c r="H77" s="233"/>
      <c r="I77" s="233"/>
      <c r="J77" s="234"/>
    </row>
    <row r="78" spans="1:10">
      <c r="A78" s="232"/>
      <c r="B78" s="232"/>
      <c r="C78" s="232"/>
      <c r="D78" s="233"/>
      <c r="E78" s="234"/>
      <c r="F78" s="234"/>
      <c r="G78" s="234"/>
      <c r="H78" s="233"/>
      <c r="I78" s="233"/>
      <c r="J78" s="234"/>
    </row>
    <row r="79" spans="1:10">
      <c r="A79" s="232"/>
      <c r="B79" s="232"/>
      <c r="C79" s="232"/>
      <c r="D79" s="233"/>
      <c r="E79" s="234"/>
      <c r="F79" s="234"/>
      <c r="G79" s="234"/>
      <c r="H79" s="233"/>
      <c r="I79" s="233"/>
      <c r="J79" s="234"/>
    </row>
    <row r="80" spans="1:10">
      <c r="A80" s="232"/>
      <c r="B80" s="232"/>
      <c r="C80" s="232"/>
      <c r="D80" s="233"/>
      <c r="E80" s="234"/>
      <c r="F80" s="234"/>
      <c r="G80" s="234"/>
      <c r="H80" s="233"/>
      <c r="I80" s="233"/>
      <c r="J80" s="234"/>
    </row>
    <row r="81" spans="1:10">
      <c r="A81" s="232"/>
      <c r="B81" s="232"/>
      <c r="C81" s="232"/>
      <c r="D81" s="233"/>
      <c r="E81" s="234"/>
      <c r="F81" s="234"/>
      <c r="G81" s="234"/>
      <c r="H81" s="233"/>
      <c r="I81" s="233"/>
      <c r="J81" s="234"/>
    </row>
    <row r="82" spans="1:10">
      <c r="A82" s="232"/>
      <c r="B82" s="232"/>
      <c r="C82" s="232"/>
      <c r="D82" s="233"/>
      <c r="E82" s="234"/>
      <c r="F82" s="234"/>
      <c r="G82" s="234"/>
      <c r="H82" s="233"/>
      <c r="I82" s="233"/>
      <c r="J82" s="234"/>
    </row>
    <row r="83" spans="1:10">
      <c r="A83" s="232"/>
      <c r="B83" s="232"/>
      <c r="C83" s="232"/>
      <c r="D83" s="233"/>
      <c r="E83" s="234"/>
      <c r="F83" s="234"/>
      <c r="G83" s="234"/>
      <c r="H83" s="233"/>
      <c r="I83" s="233"/>
      <c r="J83" s="234"/>
    </row>
    <row r="84" spans="1:10">
      <c r="A84" s="232"/>
      <c r="B84" s="232"/>
      <c r="C84" s="232"/>
      <c r="D84" s="233"/>
      <c r="E84" s="234"/>
      <c r="F84" s="234"/>
      <c r="G84" s="234"/>
      <c r="H84" s="233"/>
      <c r="I84" s="233"/>
      <c r="J84" s="234"/>
    </row>
    <row r="85" spans="1:10">
      <c r="A85" s="232"/>
      <c r="B85" s="232"/>
      <c r="C85" s="232"/>
      <c r="D85" s="233"/>
      <c r="E85" s="234"/>
      <c r="F85" s="234"/>
      <c r="G85" s="234"/>
      <c r="H85" s="233"/>
      <c r="I85" s="233"/>
      <c r="J85" s="234"/>
    </row>
    <row r="86" spans="1:10">
      <c r="A86" s="232"/>
      <c r="B86" s="232"/>
      <c r="C86" s="232"/>
      <c r="D86" s="233"/>
      <c r="E86" s="234"/>
      <c r="F86" s="234"/>
      <c r="G86" s="234"/>
      <c r="H86" s="233"/>
      <c r="I86" s="233"/>
      <c r="J86" s="234"/>
    </row>
    <row r="87" spans="1:10">
      <c r="A87" s="232"/>
      <c r="B87" s="232"/>
      <c r="C87" s="232"/>
      <c r="D87" s="233"/>
      <c r="E87" s="234"/>
      <c r="F87" s="234"/>
      <c r="G87" s="234"/>
      <c r="H87" s="233"/>
      <c r="I87" s="233"/>
      <c r="J87" s="234"/>
    </row>
    <row r="88" spans="1:10">
      <c r="A88" s="232"/>
      <c r="B88" s="232"/>
      <c r="C88" s="232"/>
      <c r="D88" s="233"/>
      <c r="E88" s="234"/>
      <c r="F88" s="234"/>
      <c r="G88" s="234"/>
      <c r="H88" s="233"/>
      <c r="I88" s="233"/>
      <c r="J88" s="234"/>
    </row>
    <row r="89" spans="1:10">
      <c r="A89" s="232"/>
      <c r="B89" s="232"/>
      <c r="C89" s="232"/>
      <c r="D89" s="233"/>
      <c r="E89" s="234"/>
      <c r="F89" s="234"/>
      <c r="G89" s="234"/>
      <c r="H89" s="233"/>
      <c r="I89" s="233"/>
      <c r="J89" s="234"/>
    </row>
    <row r="90" spans="1:10">
      <c r="A90" s="232"/>
      <c r="B90" s="232"/>
      <c r="C90" s="232"/>
      <c r="D90" s="233"/>
      <c r="E90" s="234"/>
      <c r="F90" s="234"/>
      <c r="G90" s="234"/>
      <c r="H90" s="233"/>
      <c r="I90" s="233"/>
      <c r="J90" s="234"/>
    </row>
    <row r="91" spans="1:10">
      <c r="A91" s="232"/>
      <c r="B91" s="232"/>
      <c r="C91" s="232"/>
      <c r="D91" s="233"/>
      <c r="E91" s="234"/>
      <c r="F91" s="234"/>
      <c r="G91" s="234"/>
      <c r="H91" s="233"/>
      <c r="I91" s="233"/>
      <c r="J91" s="234"/>
    </row>
    <row r="92" spans="1:10">
      <c r="A92" s="232"/>
      <c r="B92" s="232"/>
      <c r="C92" s="232"/>
      <c r="D92" s="233"/>
      <c r="E92" s="234"/>
      <c r="F92" s="234"/>
      <c r="G92" s="234"/>
      <c r="H92" s="233"/>
      <c r="I92" s="233"/>
      <c r="J92" s="234"/>
    </row>
    <row r="93" spans="1:10">
      <c r="A93" s="232"/>
      <c r="B93" s="232"/>
      <c r="C93" s="232"/>
      <c r="D93" s="233"/>
      <c r="E93" s="234"/>
      <c r="F93" s="234"/>
      <c r="G93" s="234"/>
      <c r="H93" s="233"/>
      <c r="I93" s="233"/>
      <c r="J93" s="234"/>
    </row>
    <row r="94" spans="1:10">
      <c r="A94" s="232"/>
      <c r="B94" s="232"/>
      <c r="C94" s="232"/>
      <c r="D94" s="233"/>
      <c r="E94" s="234"/>
      <c r="F94" s="234"/>
      <c r="G94" s="234"/>
      <c r="H94" s="233"/>
      <c r="I94" s="233"/>
      <c r="J94" s="234"/>
    </row>
    <row r="95" spans="1:10">
      <c r="A95" s="232"/>
      <c r="B95" s="232"/>
      <c r="C95" s="232"/>
      <c r="D95" s="233"/>
      <c r="E95" s="234"/>
      <c r="F95" s="234"/>
      <c r="G95" s="234"/>
      <c r="H95" s="233"/>
      <c r="I95" s="233"/>
      <c r="J95" s="234"/>
    </row>
    <row r="96" spans="1:10">
      <c r="A96" s="232"/>
      <c r="B96" s="232"/>
      <c r="C96" s="232"/>
      <c r="D96" s="233"/>
      <c r="E96" s="234"/>
      <c r="F96" s="234"/>
      <c r="G96" s="234"/>
      <c r="H96" s="233"/>
      <c r="I96" s="233"/>
      <c r="J96" s="234"/>
    </row>
    <row r="97" spans="1:10">
      <c r="A97" s="232"/>
      <c r="B97" s="232"/>
      <c r="C97" s="232"/>
      <c r="D97" s="233"/>
      <c r="E97" s="234"/>
      <c r="F97" s="234"/>
      <c r="G97" s="234"/>
      <c r="H97" s="233"/>
      <c r="I97" s="233"/>
      <c r="J97" s="234"/>
    </row>
    <row r="98" spans="1:10">
      <c r="A98" s="232"/>
      <c r="B98" s="232"/>
      <c r="C98" s="232"/>
      <c r="D98" s="233"/>
      <c r="E98" s="234"/>
      <c r="F98" s="234"/>
      <c r="G98" s="234"/>
      <c r="H98" s="233"/>
      <c r="I98" s="233"/>
      <c r="J98" s="234"/>
    </row>
    <row r="99" spans="1:10">
      <c r="A99" s="232"/>
      <c r="B99" s="232"/>
      <c r="C99" s="232"/>
      <c r="D99" s="233"/>
      <c r="E99" s="234"/>
      <c r="F99" s="234"/>
      <c r="G99" s="234"/>
      <c r="H99" s="233"/>
      <c r="I99" s="233"/>
      <c r="J99" s="234"/>
    </row>
    <row r="100" spans="1:10">
      <c r="A100" s="232"/>
      <c r="B100" s="232"/>
      <c r="C100" s="232"/>
      <c r="D100" s="233"/>
      <c r="E100" s="234"/>
      <c r="F100" s="234"/>
      <c r="G100" s="234"/>
      <c r="H100" s="233"/>
      <c r="I100" s="233"/>
      <c r="J100" s="234"/>
    </row>
    <row r="101" spans="1:10">
      <c r="A101" s="232"/>
      <c r="B101" s="232"/>
      <c r="C101" s="232"/>
      <c r="D101" s="233"/>
      <c r="E101" s="234"/>
      <c r="F101" s="234"/>
      <c r="G101" s="234"/>
      <c r="H101" s="233"/>
      <c r="I101" s="233"/>
      <c r="J101" s="234"/>
    </row>
    <row r="102" spans="1:10">
      <c r="A102" s="232"/>
      <c r="B102" s="232"/>
      <c r="C102" s="232"/>
      <c r="D102" s="233"/>
      <c r="E102" s="234"/>
      <c r="F102" s="234"/>
      <c r="G102" s="234"/>
      <c r="H102" s="233"/>
      <c r="I102" s="233"/>
      <c r="J102" s="234"/>
    </row>
    <row r="103" spans="1:10">
      <c r="A103" s="232"/>
      <c r="B103" s="232"/>
      <c r="C103" s="232"/>
      <c r="D103" s="233"/>
      <c r="E103" s="234"/>
      <c r="F103" s="234"/>
      <c r="G103" s="234"/>
      <c r="H103" s="233"/>
      <c r="I103" s="233"/>
      <c r="J103" s="234"/>
    </row>
    <row r="104" spans="1:10">
      <c r="A104" s="232"/>
      <c r="B104" s="232"/>
      <c r="C104" s="232"/>
      <c r="D104" s="233"/>
      <c r="E104" s="234"/>
      <c r="F104" s="234"/>
      <c r="G104" s="234"/>
      <c r="H104" s="233"/>
      <c r="I104" s="233"/>
      <c r="J104" s="234"/>
    </row>
    <row r="105" spans="1:10">
      <c r="A105" s="232"/>
      <c r="B105" s="232"/>
      <c r="C105" s="232"/>
      <c r="D105" s="233"/>
      <c r="E105" s="234"/>
      <c r="F105" s="234"/>
      <c r="G105" s="234"/>
      <c r="H105" s="233"/>
      <c r="I105" s="233"/>
      <c r="J105" s="234"/>
    </row>
    <row r="106" spans="1:10">
      <c r="A106" s="232"/>
      <c r="B106" s="232"/>
      <c r="C106" s="232"/>
      <c r="D106" s="233"/>
      <c r="E106" s="234"/>
      <c r="F106" s="234"/>
      <c r="G106" s="234"/>
      <c r="H106" s="233"/>
      <c r="I106" s="233"/>
      <c r="J106" s="234"/>
    </row>
    <row r="107" spans="1:10">
      <c r="A107" s="232"/>
      <c r="B107" s="232"/>
      <c r="C107" s="232"/>
      <c r="D107" s="233"/>
      <c r="E107" s="234"/>
      <c r="F107" s="234"/>
      <c r="G107" s="234"/>
      <c r="H107" s="233"/>
      <c r="I107" s="233"/>
      <c r="J107" s="234"/>
    </row>
    <row r="108" spans="1:10">
      <c r="A108" s="232"/>
      <c r="B108" s="232"/>
      <c r="C108" s="232"/>
      <c r="D108" s="233"/>
      <c r="E108" s="234"/>
      <c r="F108" s="234"/>
      <c r="G108" s="234"/>
      <c r="H108" s="233"/>
      <c r="I108" s="233"/>
      <c r="J108" s="234"/>
    </row>
    <row r="109" spans="1:10">
      <c r="A109" s="232"/>
      <c r="B109" s="232"/>
      <c r="C109" s="232"/>
      <c r="D109" s="233"/>
      <c r="E109" s="234"/>
      <c r="F109" s="234"/>
      <c r="G109" s="234"/>
      <c r="H109" s="233"/>
      <c r="I109" s="233"/>
      <c r="J109" s="234"/>
    </row>
    <row r="110" spans="1:10">
      <c r="A110" s="232"/>
      <c r="B110" s="232"/>
      <c r="C110" s="232"/>
      <c r="D110" s="233"/>
      <c r="E110" s="234"/>
      <c r="F110" s="234"/>
      <c r="G110" s="234"/>
      <c r="H110" s="233"/>
      <c r="I110" s="233"/>
      <c r="J110" s="234"/>
    </row>
    <row r="111" spans="1:10">
      <c r="A111" s="232"/>
      <c r="B111" s="232"/>
      <c r="C111" s="232"/>
      <c r="D111" s="233"/>
      <c r="E111" s="234"/>
      <c r="F111" s="234"/>
      <c r="G111" s="234"/>
      <c r="H111" s="233"/>
      <c r="I111" s="233"/>
      <c r="J111" s="234"/>
    </row>
    <row r="112" spans="1:10">
      <c r="A112" s="232"/>
      <c r="B112" s="232"/>
      <c r="C112" s="232"/>
      <c r="D112" s="233"/>
      <c r="E112" s="234"/>
      <c r="F112" s="234"/>
      <c r="G112" s="234"/>
      <c r="H112" s="233"/>
      <c r="I112" s="233"/>
      <c r="J112" s="234"/>
    </row>
    <row r="113" spans="1:10">
      <c r="A113" s="232"/>
      <c r="B113" s="232"/>
      <c r="C113" s="232"/>
      <c r="D113" s="233"/>
      <c r="E113" s="234"/>
      <c r="F113" s="234"/>
      <c r="G113" s="234"/>
      <c r="H113" s="233"/>
      <c r="I113" s="233"/>
      <c r="J113" s="234"/>
    </row>
    <row r="114" spans="1:10">
      <c r="A114" s="232"/>
      <c r="B114" s="232"/>
      <c r="C114" s="232"/>
      <c r="D114" s="233"/>
      <c r="E114" s="234"/>
      <c r="F114" s="234"/>
      <c r="G114" s="234"/>
      <c r="H114" s="233"/>
      <c r="I114" s="233"/>
      <c r="J114" s="234"/>
    </row>
    <row r="115" spans="1:10">
      <c r="A115" s="232"/>
      <c r="B115" s="232"/>
      <c r="C115" s="232"/>
      <c r="D115" s="233"/>
      <c r="E115" s="234"/>
      <c r="F115" s="234"/>
      <c r="G115" s="234"/>
      <c r="H115" s="233"/>
      <c r="I115" s="233"/>
      <c r="J115" s="234"/>
    </row>
    <row r="116" spans="1:10">
      <c r="A116" s="232"/>
      <c r="B116" s="232"/>
      <c r="C116" s="232"/>
      <c r="D116" s="233"/>
      <c r="E116" s="234"/>
      <c r="F116" s="234"/>
      <c r="G116" s="234"/>
      <c r="H116" s="233"/>
      <c r="I116" s="233"/>
      <c r="J116" s="234"/>
    </row>
    <row r="117" spans="1:10">
      <c r="A117" s="232"/>
      <c r="B117" s="232"/>
      <c r="C117" s="232"/>
      <c r="D117" s="233"/>
      <c r="E117" s="234"/>
      <c r="F117" s="234"/>
      <c r="G117" s="234"/>
      <c r="H117" s="233"/>
      <c r="I117" s="233"/>
      <c r="J117" s="234"/>
    </row>
    <row r="118" spans="1:10">
      <c r="A118" s="232"/>
      <c r="B118" s="232"/>
      <c r="C118" s="232"/>
      <c r="D118" s="233"/>
      <c r="E118" s="234"/>
      <c r="F118" s="234"/>
      <c r="G118" s="234"/>
      <c r="H118" s="233"/>
      <c r="I118" s="233"/>
      <c r="J118" s="234"/>
    </row>
    <row r="119" spans="1:10">
      <c r="A119" s="232"/>
      <c r="B119" s="232"/>
      <c r="C119" s="232"/>
      <c r="D119" s="233"/>
      <c r="E119" s="234"/>
      <c r="F119" s="234"/>
      <c r="G119" s="234"/>
      <c r="H119" s="233"/>
      <c r="I119" s="233"/>
      <c r="J119" s="234"/>
    </row>
    <row r="120" spans="1:10">
      <c r="A120" s="232"/>
      <c r="B120" s="232"/>
      <c r="C120" s="232"/>
      <c r="D120" s="233"/>
      <c r="E120" s="234"/>
      <c r="F120" s="234"/>
      <c r="G120" s="234"/>
      <c r="H120" s="233"/>
      <c r="I120" s="233"/>
      <c r="J120" s="234"/>
    </row>
    <row r="121" spans="1:10">
      <c r="A121" s="232"/>
      <c r="B121" s="232"/>
      <c r="C121" s="232"/>
      <c r="D121" s="233"/>
      <c r="E121" s="234"/>
      <c r="F121" s="234"/>
      <c r="G121" s="234"/>
      <c r="H121" s="233"/>
      <c r="I121" s="233"/>
      <c r="J121" s="234"/>
    </row>
    <row r="122" spans="1:10">
      <c r="A122" s="232"/>
      <c r="B122" s="232"/>
      <c r="C122" s="232"/>
      <c r="D122" s="233"/>
      <c r="E122" s="234"/>
      <c r="F122" s="234"/>
      <c r="G122" s="234"/>
      <c r="H122" s="233"/>
      <c r="I122" s="233"/>
      <c r="J122" s="234"/>
    </row>
    <row r="123" spans="1:10">
      <c r="A123" s="232"/>
      <c r="B123" s="232"/>
      <c r="C123" s="232"/>
      <c r="D123" s="233"/>
      <c r="E123" s="234"/>
      <c r="F123" s="234"/>
      <c r="G123" s="234"/>
      <c r="H123" s="233"/>
      <c r="I123" s="233"/>
      <c r="J123" s="234"/>
    </row>
    <row r="124" spans="1:10">
      <c r="A124" s="232"/>
      <c r="B124" s="232"/>
      <c r="C124" s="232"/>
      <c r="D124" s="233"/>
      <c r="E124" s="234"/>
      <c r="F124" s="234"/>
      <c r="G124" s="234"/>
      <c r="H124" s="233"/>
      <c r="I124" s="233"/>
      <c r="J124" s="234"/>
    </row>
    <row r="125" spans="1:10">
      <c r="A125" s="232"/>
      <c r="B125" s="232"/>
      <c r="C125" s="232"/>
      <c r="D125" s="233"/>
      <c r="E125" s="234"/>
      <c r="F125" s="234"/>
      <c r="G125" s="234"/>
      <c r="H125" s="233"/>
      <c r="I125" s="233"/>
      <c r="J125" s="234"/>
    </row>
    <row r="126" spans="1:10">
      <c r="A126" s="232"/>
      <c r="B126" s="232"/>
      <c r="C126" s="232"/>
      <c r="D126" s="233"/>
      <c r="E126" s="234"/>
      <c r="F126" s="234"/>
      <c r="G126" s="234"/>
      <c r="H126" s="233"/>
      <c r="I126" s="233"/>
      <c r="J126" s="234"/>
    </row>
    <row r="127" spans="1:10">
      <c r="A127" s="232"/>
      <c r="B127" s="232"/>
      <c r="C127" s="232"/>
      <c r="D127" s="233"/>
      <c r="E127" s="234"/>
      <c r="F127" s="234"/>
      <c r="G127" s="234"/>
      <c r="H127" s="233"/>
      <c r="I127" s="233"/>
      <c r="J127" s="234"/>
    </row>
    <row r="128" spans="1:10">
      <c r="A128" s="232"/>
      <c r="B128" s="232"/>
      <c r="C128" s="232"/>
      <c r="D128" s="233"/>
      <c r="E128" s="234"/>
      <c r="F128" s="234"/>
      <c r="G128" s="234"/>
      <c r="H128" s="233"/>
      <c r="I128" s="233"/>
      <c r="J128" s="234"/>
    </row>
    <row r="129" spans="1:10">
      <c r="A129" s="232"/>
      <c r="B129" s="232"/>
      <c r="C129" s="232"/>
      <c r="D129" s="233"/>
      <c r="E129" s="234"/>
      <c r="F129" s="234"/>
      <c r="G129" s="234"/>
      <c r="H129" s="233"/>
      <c r="I129" s="233"/>
      <c r="J129" s="234"/>
    </row>
    <row r="130" spans="1:10">
      <c r="A130" s="232"/>
      <c r="B130" s="232"/>
      <c r="C130" s="232"/>
      <c r="D130" s="233"/>
      <c r="E130" s="234"/>
      <c r="F130" s="234"/>
      <c r="G130" s="234"/>
      <c r="H130" s="233"/>
      <c r="I130" s="233"/>
      <c r="J130" s="234"/>
    </row>
    <row r="131" spans="1:10">
      <c r="A131" s="232"/>
      <c r="B131" s="232"/>
      <c r="C131" s="232"/>
      <c r="D131" s="233"/>
      <c r="E131" s="234"/>
      <c r="F131" s="234"/>
      <c r="G131" s="234"/>
      <c r="H131" s="233"/>
      <c r="I131" s="233"/>
      <c r="J131" s="234"/>
    </row>
    <row r="132" spans="1:10">
      <c r="A132" s="232"/>
      <c r="B132" s="232"/>
      <c r="C132" s="232"/>
      <c r="D132" s="233"/>
      <c r="E132" s="234"/>
      <c r="F132" s="234"/>
      <c r="G132" s="234"/>
      <c r="H132" s="233"/>
      <c r="I132" s="233"/>
      <c r="J132" s="234"/>
    </row>
    <row r="133" spans="1:10">
      <c r="A133" s="232"/>
      <c r="B133" s="232"/>
      <c r="C133" s="232"/>
      <c r="D133" s="233"/>
      <c r="E133" s="234"/>
      <c r="F133" s="234"/>
      <c r="G133" s="234"/>
      <c r="H133" s="233"/>
      <c r="I133" s="233"/>
      <c r="J133" s="234"/>
    </row>
    <row r="134" spans="1:10">
      <c r="A134" s="232"/>
      <c r="B134" s="232"/>
      <c r="C134" s="232"/>
      <c r="D134" s="233"/>
      <c r="E134" s="234"/>
      <c r="F134" s="234"/>
      <c r="G134" s="234"/>
      <c r="H134" s="233"/>
      <c r="I134" s="233"/>
      <c r="J134" s="234"/>
    </row>
    <row r="135" spans="1:10">
      <c r="A135" s="232"/>
      <c r="B135" s="232"/>
      <c r="C135" s="232"/>
      <c r="D135" s="233"/>
      <c r="E135" s="234"/>
      <c r="F135" s="234"/>
      <c r="G135" s="234"/>
      <c r="H135" s="233"/>
      <c r="I135" s="233"/>
      <c r="J135" s="234"/>
    </row>
    <row r="136" spans="1:10">
      <c r="A136" s="232"/>
      <c r="B136" s="232"/>
      <c r="C136" s="232"/>
      <c r="D136" s="233"/>
      <c r="E136" s="234"/>
      <c r="F136" s="234"/>
      <c r="G136" s="234"/>
      <c r="H136" s="233"/>
      <c r="I136" s="233"/>
      <c r="J136" s="234"/>
    </row>
    <row r="137" spans="1:10">
      <c r="A137" s="232"/>
      <c r="B137" s="232"/>
      <c r="C137" s="232"/>
      <c r="D137" s="233"/>
      <c r="E137" s="234"/>
      <c r="F137" s="234"/>
      <c r="G137" s="234"/>
      <c r="H137" s="233"/>
      <c r="I137" s="233"/>
      <c r="J137" s="234"/>
    </row>
    <row r="138" spans="1:10">
      <c r="A138" s="232"/>
      <c r="B138" s="232"/>
      <c r="C138" s="232"/>
      <c r="D138" s="233"/>
      <c r="E138" s="234"/>
      <c r="F138" s="234"/>
      <c r="G138" s="234"/>
      <c r="H138" s="233"/>
      <c r="I138" s="233"/>
      <c r="J138" s="234"/>
    </row>
    <row r="139" spans="1:10">
      <c r="A139" s="232"/>
      <c r="B139" s="232"/>
      <c r="C139" s="232"/>
      <c r="D139" s="233"/>
      <c r="E139" s="234"/>
      <c r="F139" s="234"/>
      <c r="G139" s="234"/>
      <c r="H139" s="233"/>
      <c r="I139" s="233"/>
      <c r="J139" s="234"/>
    </row>
    <row r="140" spans="1:10">
      <c r="A140" s="232"/>
      <c r="B140" s="232"/>
      <c r="C140" s="232"/>
      <c r="D140" s="233"/>
      <c r="E140" s="234"/>
      <c r="F140" s="234"/>
      <c r="G140" s="234"/>
      <c r="H140" s="233"/>
      <c r="I140" s="233"/>
      <c r="J140" s="234"/>
    </row>
    <row r="141" spans="1:10">
      <c r="A141" s="232"/>
      <c r="B141" s="232"/>
      <c r="C141" s="232"/>
      <c r="D141" s="233"/>
      <c r="E141" s="234"/>
      <c r="F141" s="234"/>
      <c r="G141" s="234"/>
      <c r="H141" s="233"/>
      <c r="I141" s="233"/>
      <c r="J141" s="234"/>
    </row>
    <row r="142" spans="1:10">
      <c r="A142" s="232"/>
      <c r="B142" s="232"/>
      <c r="C142" s="232"/>
      <c r="D142" s="233"/>
      <c r="E142" s="234"/>
      <c r="F142" s="234"/>
      <c r="G142" s="234"/>
      <c r="H142" s="233"/>
      <c r="I142" s="233"/>
      <c r="J142" s="234"/>
    </row>
    <row r="143" spans="1:10">
      <c r="A143" s="232"/>
      <c r="B143" s="232"/>
      <c r="C143" s="232"/>
      <c r="D143" s="233"/>
      <c r="E143" s="234"/>
      <c r="F143" s="234"/>
      <c r="G143" s="234"/>
      <c r="H143" s="233"/>
      <c r="I143" s="233"/>
      <c r="J143" s="234"/>
    </row>
    <row r="144" spans="1:10">
      <c r="A144" s="232"/>
      <c r="B144" s="232"/>
      <c r="C144" s="232"/>
      <c r="D144" s="233"/>
      <c r="E144" s="234"/>
      <c r="F144" s="234"/>
      <c r="G144" s="234"/>
      <c r="H144" s="233"/>
      <c r="I144" s="233"/>
      <c r="J144" s="234"/>
    </row>
    <row r="145" spans="1:10">
      <c r="A145" s="232"/>
      <c r="B145" s="232"/>
      <c r="C145" s="232"/>
      <c r="D145" s="233"/>
      <c r="E145" s="234"/>
      <c r="F145" s="234"/>
      <c r="G145" s="234"/>
      <c r="H145" s="233"/>
      <c r="I145" s="233"/>
      <c r="J145" s="234"/>
    </row>
    <row r="146" spans="1:10">
      <c r="A146" s="232"/>
      <c r="B146" s="232"/>
      <c r="C146" s="232"/>
      <c r="D146" s="233"/>
      <c r="E146" s="234"/>
      <c r="F146" s="234"/>
      <c r="G146" s="234"/>
      <c r="H146" s="233"/>
      <c r="I146" s="233"/>
      <c r="J146" s="234"/>
    </row>
    <row r="147" spans="1:10">
      <c r="A147" s="232"/>
      <c r="B147" s="232"/>
      <c r="C147" s="232"/>
      <c r="D147" s="233"/>
      <c r="E147" s="234"/>
      <c r="F147" s="234"/>
      <c r="G147" s="234"/>
      <c r="H147" s="233"/>
      <c r="I147" s="233"/>
      <c r="J147" s="234"/>
    </row>
    <row r="148" spans="1:10">
      <c r="A148" s="232"/>
      <c r="B148" s="232"/>
      <c r="C148" s="232"/>
      <c r="D148" s="233"/>
      <c r="E148" s="234"/>
      <c r="F148" s="234"/>
      <c r="G148" s="234"/>
      <c r="H148" s="233"/>
      <c r="I148" s="233"/>
      <c r="J148" s="234"/>
    </row>
    <row r="149" spans="1:10">
      <c r="A149" s="232"/>
      <c r="B149" s="232"/>
      <c r="C149" s="232"/>
      <c r="D149" s="233"/>
      <c r="E149" s="234"/>
      <c r="F149" s="234"/>
      <c r="G149" s="234"/>
      <c r="H149" s="233"/>
      <c r="I149" s="233"/>
      <c r="J149" s="234"/>
    </row>
    <row r="150" spans="1:10">
      <c r="A150" s="232"/>
      <c r="B150" s="232"/>
      <c r="C150" s="232"/>
      <c r="D150" s="233"/>
      <c r="E150" s="234"/>
      <c r="F150" s="234"/>
      <c r="G150" s="234"/>
      <c r="H150" s="233"/>
      <c r="I150" s="233"/>
      <c r="J150" s="234"/>
    </row>
    <row r="151" spans="1:10">
      <c r="A151" s="232"/>
      <c r="B151" s="232"/>
      <c r="C151" s="232"/>
      <c r="D151" s="233"/>
      <c r="E151" s="234"/>
      <c r="F151" s="234"/>
      <c r="G151" s="234"/>
      <c r="H151" s="233"/>
      <c r="I151" s="233"/>
      <c r="J151" s="234"/>
    </row>
    <row r="152" spans="1:10">
      <c r="A152" s="232"/>
      <c r="B152" s="232"/>
      <c r="C152" s="232"/>
      <c r="D152" s="233"/>
      <c r="E152" s="234"/>
      <c r="F152" s="234"/>
      <c r="G152" s="234"/>
      <c r="H152" s="233"/>
      <c r="I152" s="233"/>
      <c r="J152" s="234"/>
    </row>
    <row r="153" spans="1:10">
      <c r="A153" s="232"/>
      <c r="B153" s="232"/>
      <c r="C153" s="232"/>
      <c r="D153" s="233"/>
      <c r="E153" s="234"/>
      <c r="F153" s="234"/>
      <c r="G153" s="234"/>
      <c r="H153" s="233"/>
      <c r="I153" s="233"/>
      <c r="J153" s="234"/>
    </row>
    <row r="154" spans="1:10">
      <c r="A154" s="232"/>
      <c r="B154" s="232"/>
      <c r="C154" s="232"/>
      <c r="D154" s="233"/>
      <c r="E154" s="234"/>
      <c r="F154" s="234"/>
      <c r="G154" s="234"/>
      <c r="H154" s="233"/>
      <c r="I154" s="233"/>
      <c r="J154" s="234"/>
    </row>
    <row r="155" spans="1:10">
      <c r="A155" s="232"/>
      <c r="B155" s="232"/>
      <c r="C155" s="232"/>
      <c r="D155" s="233"/>
      <c r="E155" s="234"/>
      <c r="F155" s="234"/>
      <c r="G155" s="234"/>
      <c r="H155" s="233"/>
      <c r="I155" s="233"/>
      <c r="J155" s="234"/>
    </row>
    <row r="156" spans="1:10">
      <c r="A156" s="232"/>
      <c r="B156" s="232"/>
      <c r="C156" s="232"/>
      <c r="D156" s="233"/>
      <c r="E156" s="234"/>
      <c r="F156" s="234"/>
      <c r="G156" s="234"/>
      <c r="H156" s="233"/>
      <c r="I156" s="233"/>
      <c r="J156" s="234"/>
    </row>
    <row r="157" spans="1:10">
      <c r="A157" s="232"/>
      <c r="B157" s="232"/>
      <c r="C157" s="232"/>
      <c r="D157" s="233"/>
      <c r="E157" s="234"/>
      <c r="F157" s="234"/>
      <c r="G157" s="234"/>
      <c r="H157" s="233"/>
      <c r="I157" s="233"/>
      <c r="J157" s="234"/>
    </row>
    <row r="158" spans="1:10">
      <c r="A158" s="232"/>
      <c r="B158" s="232"/>
      <c r="C158" s="232"/>
      <c r="D158" s="233"/>
      <c r="E158" s="234"/>
      <c r="F158" s="234"/>
      <c r="G158" s="234"/>
      <c r="H158" s="233"/>
      <c r="I158" s="233"/>
      <c r="J158" s="234"/>
    </row>
    <row r="159" spans="1:10">
      <c r="A159" s="232"/>
      <c r="B159" s="232"/>
      <c r="C159" s="232"/>
      <c r="D159" s="233"/>
      <c r="E159" s="234"/>
      <c r="F159" s="234"/>
      <c r="G159" s="234"/>
      <c r="H159" s="233"/>
      <c r="I159" s="233"/>
      <c r="J159" s="234"/>
    </row>
    <row r="160" spans="1:10">
      <c r="A160" s="232"/>
      <c r="B160" s="232"/>
      <c r="C160" s="232"/>
      <c r="D160" s="233"/>
      <c r="E160" s="234"/>
      <c r="F160" s="234"/>
      <c r="G160" s="234"/>
      <c r="H160" s="233"/>
      <c r="I160" s="233"/>
      <c r="J160" s="234"/>
    </row>
    <row r="161" spans="1:10">
      <c r="A161" s="232"/>
      <c r="B161" s="232"/>
      <c r="C161" s="232"/>
      <c r="D161" s="233"/>
      <c r="E161" s="234"/>
      <c r="F161" s="234"/>
      <c r="G161" s="234"/>
      <c r="H161" s="233"/>
      <c r="I161" s="233"/>
      <c r="J161" s="234"/>
    </row>
    <row r="162" spans="1:10">
      <c r="A162" s="232"/>
      <c r="B162" s="232"/>
      <c r="C162" s="232"/>
      <c r="D162" s="233"/>
      <c r="E162" s="234"/>
      <c r="F162" s="234"/>
      <c r="G162" s="234"/>
      <c r="H162" s="233"/>
      <c r="I162" s="233"/>
      <c r="J162" s="234"/>
    </row>
    <row r="163" spans="1:10">
      <c r="A163" s="232"/>
      <c r="B163" s="232"/>
      <c r="C163" s="232"/>
      <c r="D163" s="233"/>
      <c r="E163" s="234"/>
      <c r="F163" s="234"/>
      <c r="G163" s="234"/>
      <c r="H163" s="233"/>
      <c r="I163" s="233"/>
      <c r="J163" s="234"/>
    </row>
    <row r="164" spans="1:10">
      <c r="A164" s="232"/>
      <c r="B164" s="232"/>
      <c r="C164" s="232"/>
      <c r="D164" s="233"/>
      <c r="E164" s="234"/>
      <c r="F164" s="234"/>
      <c r="G164" s="234"/>
      <c r="H164" s="233"/>
      <c r="I164" s="233"/>
      <c r="J164" s="234"/>
    </row>
    <row r="165" spans="1:10">
      <c r="A165" s="232"/>
      <c r="B165" s="232"/>
      <c r="C165" s="232"/>
      <c r="D165" s="233"/>
      <c r="E165" s="234"/>
      <c r="F165" s="234"/>
      <c r="G165" s="234"/>
      <c r="H165" s="233"/>
      <c r="I165" s="233"/>
      <c r="J165" s="234"/>
    </row>
    <row r="166" spans="1:10">
      <c r="A166" s="232"/>
      <c r="B166" s="232"/>
      <c r="C166" s="232"/>
      <c r="D166" s="233"/>
      <c r="E166" s="234"/>
      <c r="F166" s="234"/>
      <c r="G166" s="234"/>
      <c r="H166" s="233"/>
      <c r="I166" s="233"/>
      <c r="J166" s="234"/>
    </row>
    <row r="167" spans="1:10">
      <c r="A167" s="232"/>
      <c r="B167" s="232"/>
      <c r="C167" s="232"/>
      <c r="D167" s="233"/>
      <c r="E167" s="234"/>
      <c r="F167" s="234"/>
      <c r="G167" s="234"/>
      <c r="H167" s="233"/>
      <c r="I167" s="233"/>
      <c r="J167" s="234"/>
    </row>
    <row r="168" spans="1:10">
      <c r="A168" s="232"/>
      <c r="B168" s="232"/>
      <c r="C168" s="232"/>
      <c r="D168" s="233"/>
      <c r="E168" s="234"/>
      <c r="F168" s="234"/>
      <c r="G168" s="234"/>
      <c r="H168" s="233"/>
      <c r="I168" s="233"/>
      <c r="J168" s="234"/>
    </row>
    <row r="169" spans="1:10">
      <c r="A169" s="232"/>
      <c r="B169" s="232"/>
      <c r="C169" s="232"/>
      <c r="D169" s="233"/>
      <c r="E169" s="234"/>
      <c r="F169" s="234"/>
      <c r="G169" s="234"/>
      <c r="H169" s="233"/>
      <c r="I169" s="233"/>
      <c r="J169" s="234"/>
    </row>
    <row r="170" spans="1:10">
      <c r="A170" s="232"/>
      <c r="B170" s="232"/>
      <c r="C170" s="232"/>
      <c r="D170" s="233"/>
      <c r="E170" s="234"/>
      <c r="F170" s="234"/>
      <c r="G170" s="234"/>
      <c r="H170" s="233"/>
      <c r="I170" s="233"/>
      <c r="J170" s="234"/>
    </row>
    <row r="171" spans="1:10">
      <c r="A171" s="232"/>
      <c r="B171" s="232"/>
      <c r="C171" s="232"/>
      <c r="D171" s="233"/>
      <c r="E171" s="234"/>
      <c r="F171" s="234"/>
      <c r="G171" s="234"/>
      <c r="H171" s="233"/>
      <c r="I171" s="233"/>
      <c r="J171" s="234"/>
    </row>
    <row r="172" spans="1:10">
      <c r="A172" s="232"/>
      <c r="B172" s="232"/>
      <c r="C172" s="232"/>
      <c r="D172" s="233"/>
      <c r="E172" s="234"/>
      <c r="F172" s="234"/>
      <c r="G172" s="234"/>
      <c r="H172" s="233"/>
      <c r="I172" s="233"/>
      <c r="J172" s="234"/>
    </row>
    <row r="173" spans="1:10">
      <c r="A173" s="232"/>
      <c r="B173" s="232"/>
      <c r="C173" s="232"/>
      <c r="D173" s="233"/>
      <c r="E173" s="234"/>
      <c r="F173" s="234"/>
      <c r="G173" s="234"/>
      <c r="H173" s="233"/>
      <c r="I173" s="233"/>
      <c r="J173" s="234"/>
    </row>
    <row r="174" spans="1:10">
      <c r="A174" s="232"/>
      <c r="B174" s="232"/>
      <c r="C174" s="232"/>
      <c r="D174" s="233"/>
      <c r="E174" s="234"/>
      <c r="F174" s="234"/>
      <c r="G174" s="234"/>
      <c r="H174" s="233"/>
      <c r="I174" s="233"/>
      <c r="J174" s="234"/>
    </row>
    <row r="175" spans="1:10">
      <c r="A175" s="232"/>
      <c r="B175" s="232"/>
      <c r="C175" s="232"/>
      <c r="D175" s="233"/>
      <c r="E175" s="234"/>
      <c r="F175" s="234"/>
      <c r="G175" s="234"/>
      <c r="H175" s="233"/>
      <c r="I175" s="233"/>
      <c r="J175" s="234"/>
    </row>
    <row r="176" spans="1:10">
      <c r="A176" s="232"/>
      <c r="B176" s="232"/>
      <c r="C176" s="232"/>
      <c r="D176" s="233"/>
      <c r="E176" s="234"/>
      <c r="F176" s="234"/>
      <c r="G176" s="234"/>
      <c r="H176" s="233"/>
      <c r="I176" s="233"/>
      <c r="J176" s="234"/>
    </row>
    <row r="177" spans="1:10">
      <c r="A177" s="232"/>
      <c r="B177" s="232"/>
      <c r="C177" s="232"/>
      <c r="D177" s="233"/>
      <c r="E177" s="234"/>
      <c r="F177" s="234"/>
      <c r="G177" s="234"/>
      <c r="H177" s="233"/>
      <c r="I177" s="233"/>
      <c r="J177" s="234"/>
    </row>
    <row r="178" spans="1:10">
      <c r="A178" s="232"/>
      <c r="B178" s="232"/>
      <c r="C178" s="232"/>
      <c r="D178" s="233"/>
      <c r="E178" s="234"/>
      <c r="F178" s="234"/>
      <c r="G178" s="234"/>
      <c r="H178" s="233"/>
      <c r="I178" s="233"/>
      <c r="J178" s="234"/>
    </row>
    <row r="179" spans="1:10">
      <c r="A179" s="232"/>
      <c r="B179" s="232"/>
      <c r="C179" s="232"/>
      <c r="D179" s="233"/>
      <c r="E179" s="234"/>
      <c r="F179" s="234"/>
      <c r="G179" s="234"/>
      <c r="H179" s="233"/>
      <c r="I179" s="233"/>
      <c r="J179" s="234"/>
    </row>
    <row r="180" spans="1:10">
      <c r="A180" s="232"/>
      <c r="B180" s="232"/>
      <c r="C180" s="232"/>
      <c r="D180" s="233"/>
      <c r="E180" s="234"/>
      <c r="F180" s="234"/>
      <c r="G180" s="234"/>
      <c r="H180" s="233"/>
      <c r="I180" s="233"/>
      <c r="J180" s="234"/>
    </row>
    <row r="181" spans="1:10">
      <c r="A181" s="232"/>
      <c r="B181" s="232"/>
      <c r="C181" s="232"/>
      <c r="D181" s="233"/>
      <c r="E181" s="234"/>
      <c r="F181" s="234"/>
      <c r="G181" s="234"/>
      <c r="H181" s="233"/>
      <c r="I181" s="233"/>
      <c r="J181" s="234"/>
    </row>
    <row r="182" spans="1:10">
      <c r="A182" s="232"/>
      <c r="B182" s="232"/>
      <c r="C182" s="232"/>
      <c r="D182" s="233"/>
      <c r="E182" s="234"/>
      <c r="F182" s="234"/>
      <c r="G182" s="234"/>
      <c r="H182" s="233"/>
      <c r="I182" s="233"/>
      <c r="J182" s="234"/>
    </row>
    <row r="183" spans="1:10">
      <c r="A183" s="232"/>
      <c r="B183" s="232"/>
      <c r="C183" s="232"/>
      <c r="D183" s="233"/>
      <c r="E183" s="234"/>
      <c r="F183" s="234"/>
      <c r="G183" s="234"/>
      <c r="H183" s="233"/>
      <c r="I183" s="233"/>
      <c r="J183" s="234"/>
    </row>
    <row r="184" spans="1:10">
      <c r="A184" s="232"/>
      <c r="B184" s="232"/>
      <c r="C184" s="232"/>
      <c r="D184" s="233"/>
      <c r="E184" s="234"/>
      <c r="F184" s="234"/>
      <c r="G184" s="234"/>
      <c r="H184" s="233"/>
      <c r="I184" s="233"/>
      <c r="J184" s="234"/>
    </row>
    <row r="185" spans="1:10">
      <c r="A185" s="232"/>
      <c r="B185" s="232"/>
      <c r="C185" s="232"/>
      <c r="D185" s="233"/>
      <c r="E185" s="234"/>
      <c r="F185" s="234"/>
      <c r="G185" s="234"/>
      <c r="H185" s="233"/>
      <c r="I185" s="233"/>
      <c r="J185" s="234"/>
    </row>
    <row r="186" spans="1:10">
      <c r="A186" s="232"/>
      <c r="B186" s="232"/>
      <c r="C186" s="232"/>
      <c r="D186" s="233"/>
      <c r="E186" s="234"/>
      <c r="F186" s="234"/>
      <c r="G186" s="234"/>
      <c r="H186" s="233"/>
      <c r="I186" s="233"/>
      <c r="J186" s="234"/>
    </row>
    <row r="187" spans="1:10">
      <c r="A187" s="232"/>
      <c r="B187" s="232"/>
      <c r="C187" s="232"/>
      <c r="D187" s="233"/>
      <c r="E187" s="234"/>
      <c r="F187" s="234"/>
      <c r="G187" s="234"/>
      <c r="H187" s="233"/>
      <c r="I187" s="233"/>
      <c r="J187" s="234"/>
    </row>
    <row r="188" spans="1:10">
      <c r="A188" s="232"/>
      <c r="B188" s="232"/>
      <c r="C188" s="232"/>
      <c r="D188" s="233"/>
      <c r="E188" s="234"/>
      <c r="F188" s="234"/>
      <c r="G188" s="234"/>
      <c r="H188" s="233"/>
      <c r="I188" s="233"/>
      <c r="J188" s="234"/>
    </row>
    <row r="189" spans="1:10">
      <c r="A189" s="232"/>
      <c r="B189" s="232"/>
      <c r="C189" s="232"/>
      <c r="D189" s="233"/>
      <c r="E189" s="234"/>
      <c r="F189" s="234"/>
      <c r="G189" s="234"/>
      <c r="H189" s="233"/>
      <c r="I189" s="233"/>
      <c r="J189" s="234"/>
    </row>
    <row r="190" spans="1:10">
      <c r="A190" s="232"/>
      <c r="B190" s="232"/>
      <c r="C190" s="232"/>
      <c r="D190" s="233"/>
      <c r="E190" s="234"/>
      <c r="F190" s="234"/>
      <c r="G190" s="234"/>
      <c r="H190" s="233"/>
      <c r="I190" s="233"/>
      <c r="J190" s="234"/>
    </row>
    <row r="191" spans="1:10">
      <c r="A191" s="232"/>
      <c r="B191" s="232"/>
      <c r="C191" s="232"/>
      <c r="D191" s="233"/>
      <c r="E191" s="234"/>
      <c r="F191" s="234"/>
      <c r="G191" s="234"/>
      <c r="H191" s="233"/>
      <c r="I191" s="233"/>
      <c r="J191" s="234"/>
    </row>
    <row r="192" spans="1:10">
      <c r="A192" s="232"/>
      <c r="B192" s="232"/>
      <c r="C192" s="232"/>
      <c r="D192" s="233"/>
      <c r="E192" s="234"/>
      <c r="F192" s="234"/>
      <c r="G192" s="234"/>
      <c r="H192" s="233"/>
      <c r="I192" s="233"/>
      <c r="J192" s="234"/>
    </row>
    <row r="193" spans="1:10">
      <c r="A193" s="232"/>
      <c r="B193" s="232"/>
      <c r="C193" s="232"/>
      <c r="D193" s="233"/>
      <c r="E193" s="234"/>
      <c r="F193" s="234"/>
      <c r="G193" s="234"/>
      <c r="H193" s="233"/>
      <c r="I193" s="233"/>
      <c r="J193" s="234"/>
    </row>
    <row r="194" spans="1:10">
      <c r="A194" s="232"/>
      <c r="B194" s="232"/>
      <c r="C194" s="232"/>
      <c r="D194" s="233"/>
      <c r="E194" s="234"/>
      <c r="F194" s="234"/>
      <c r="G194" s="234"/>
      <c r="H194" s="233"/>
      <c r="I194" s="233"/>
      <c r="J194" s="234"/>
    </row>
    <row r="195" spans="1:10">
      <c r="A195" s="232"/>
      <c r="B195" s="232"/>
      <c r="C195" s="232"/>
      <c r="D195" s="233"/>
      <c r="E195" s="234"/>
      <c r="F195" s="234"/>
      <c r="G195" s="234"/>
      <c r="H195" s="233"/>
      <c r="I195" s="233"/>
      <c r="J195" s="234"/>
    </row>
    <row r="196" spans="1:10">
      <c r="A196" s="232"/>
      <c r="B196" s="232"/>
      <c r="C196" s="232"/>
      <c r="D196" s="233"/>
      <c r="E196" s="234"/>
      <c r="F196" s="234"/>
      <c r="G196" s="234"/>
      <c r="H196" s="233"/>
      <c r="I196" s="233"/>
      <c r="J196" s="234"/>
    </row>
    <row r="197" spans="1:10">
      <c r="A197" s="232"/>
      <c r="B197" s="232"/>
      <c r="C197" s="232"/>
      <c r="D197" s="233"/>
      <c r="E197" s="234"/>
      <c r="F197" s="234"/>
      <c r="G197" s="234"/>
      <c r="H197" s="233"/>
      <c r="I197" s="233"/>
      <c r="J197" s="234"/>
    </row>
    <row r="198" spans="1:10">
      <c r="A198" s="232"/>
      <c r="B198" s="232"/>
      <c r="C198" s="232"/>
      <c r="D198" s="233"/>
      <c r="E198" s="234"/>
      <c r="F198" s="234"/>
      <c r="G198" s="234"/>
      <c r="H198" s="233"/>
      <c r="I198" s="233"/>
      <c r="J198" s="234"/>
    </row>
    <row r="199" spans="1:10">
      <c r="A199" s="232"/>
      <c r="B199" s="232"/>
      <c r="C199" s="232"/>
      <c r="D199" s="233"/>
      <c r="E199" s="234"/>
      <c r="F199" s="234"/>
      <c r="G199" s="234"/>
      <c r="H199" s="233"/>
      <c r="I199" s="233"/>
      <c r="J199" s="234"/>
    </row>
    <row r="200" spans="1:10">
      <c r="A200" s="232"/>
      <c r="B200" s="232"/>
      <c r="C200" s="232"/>
      <c r="D200" s="233"/>
      <c r="E200" s="234"/>
      <c r="F200" s="234"/>
      <c r="G200" s="234"/>
      <c r="H200" s="233"/>
      <c r="I200" s="233"/>
      <c r="J200" s="234"/>
    </row>
    <row r="201" spans="1:10">
      <c r="A201" s="232"/>
      <c r="B201" s="232"/>
      <c r="C201" s="232"/>
      <c r="D201" s="233"/>
      <c r="E201" s="234"/>
      <c r="F201" s="234"/>
      <c r="G201" s="234"/>
      <c r="H201" s="233"/>
      <c r="I201" s="233"/>
      <c r="J201" s="234"/>
    </row>
    <row r="202" spans="1:10">
      <c r="A202" s="232"/>
      <c r="B202" s="232"/>
      <c r="C202" s="232"/>
      <c r="D202" s="233"/>
      <c r="E202" s="234"/>
      <c r="F202" s="234"/>
      <c r="G202" s="234"/>
      <c r="H202" s="233"/>
      <c r="I202" s="233"/>
      <c r="J202" s="234"/>
    </row>
    <row r="203" spans="1:10">
      <c r="A203" s="232"/>
      <c r="B203" s="232"/>
      <c r="C203" s="232"/>
      <c r="D203" s="233"/>
      <c r="E203" s="234"/>
      <c r="F203" s="234"/>
      <c r="G203" s="234"/>
      <c r="H203" s="233"/>
      <c r="I203" s="233"/>
      <c r="J203" s="234"/>
    </row>
    <row r="204" spans="1:10">
      <c r="A204" s="232"/>
      <c r="B204" s="232"/>
      <c r="C204" s="232"/>
      <c r="D204" s="233"/>
      <c r="E204" s="234"/>
      <c r="F204" s="234"/>
      <c r="G204" s="234"/>
      <c r="H204" s="233"/>
      <c r="I204" s="233"/>
      <c r="J204" s="234"/>
    </row>
    <row r="205" spans="1:10">
      <c r="A205" s="232"/>
      <c r="B205" s="232"/>
      <c r="C205" s="232"/>
      <c r="D205" s="233"/>
      <c r="E205" s="234"/>
      <c r="F205" s="234"/>
      <c r="G205" s="234"/>
      <c r="H205" s="233"/>
      <c r="I205" s="233"/>
      <c r="J205" s="234"/>
    </row>
    <row r="206" spans="1:10">
      <c r="A206" s="232"/>
      <c r="B206" s="232"/>
      <c r="C206" s="232"/>
      <c r="D206" s="233"/>
      <c r="E206" s="234"/>
      <c r="F206" s="234"/>
      <c r="G206" s="234"/>
      <c r="H206" s="233"/>
      <c r="I206" s="233"/>
      <c r="J206" s="234"/>
    </row>
    <row r="207" spans="1:10">
      <c r="A207" s="232"/>
      <c r="B207" s="232"/>
      <c r="C207" s="232"/>
      <c r="D207" s="233"/>
      <c r="E207" s="234"/>
      <c r="F207" s="234"/>
      <c r="G207" s="234"/>
      <c r="H207" s="233"/>
      <c r="I207" s="233"/>
      <c r="J207" s="234"/>
    </row>
    <row r="208" spans="1:10">
      <c r="A208" s="232"/>
      <c r="B208" s="232"/>
      <c r="C208" s="232"/>
      <c r="D208" s="233"/>
      <c r="E208" s="234"/>
      <c r="F208" s="234"/>
      <c r="G208" s="234"/>
      <c r="H208" s="233"/>
      <c r="I208" s="233"/>
      <c r="J208" s="234"/>
    </row>
    <row r="209" spans="1:10">
      <c r="A209" s="232"/>
      <c r="B209" s="232"/>
      <c r="C209" s="232"/>
      <c r="D209" s="233"/>
      <c r="E209" s="234"/>
      <c r="F209" s="234"/>
      <c r="G209" s="234"/>
      <c r="H209" s="233"/>
      <c r="I209" s="233"/>
      <c r="J209" s="234"/>
    </row>
    <row r="210" spans="1:10">
      <c r="A210" s="232"/>
      <c r="B210" s="232"/>
      <c r="C210" s="232"/>
      <c r="D210" s="233"/>
      <c r="E210" s="234"/>
      <c r="F210" s="234"/>
      <c r="G210" s="234"/>
      <c r="H210" s="233"/>
      <c r="I210" s="233"/>
      <c r="J210" s="234"/>
    </row>
    <row r="211" spans="1:10">
      <c r="A211" s="232"/>
      <c r="B211" s="232"/>
      <c r="C211" s="232"/>
      <c r="D211" s="233"/>
      <c r="E211" s="234"/>
      <c r="F211" s="234"/>
      <c r="G211" s="234"/>
      <c r="H211" s="233"/>
      <c r="I211" s="233"/>
      <c r="J211" s="234"/>
    </row>
    <row r="212" spans="1:10">
      <c r="A212" s="232"/>
      <c r="B212" s="232"/>
      <c r="C212" s="232"/>
      <c r="D212" s="233"/>
      <c r="E212" s="234"/>
      <c r="F212" s="234"/>
      <c r="G212" s="234"/>
      <c r="H212" s="233"/>
      <c r="I212" s="233"/>
      <c r="J212" s="234"/>
    </row>
    <row r="213" spans="1:10">
      <c r="A213" s="232"/>
      <c r="B213" s="232"/>
      <c r="C213" s="232"/>
      <c r="D213" s="233"/>
      <c r="E213" s="234"/>
      <c r="F213" s="234"/>
      <c r="G213" s="234"/>
      <c r="H213" s="233"/>
      <c r="I213" s="233"/>
      <c r="J213" s="234"/>
    </row>
    <row r="214" spans="1:10">
      <c r="A214" s="232"/>
      <c r="B214" s="232"/>
      <c r="C214" s="232"/>
      <c r="D214" s="233"/>
      <c r="E214" s="234"/>
      <c r="F214" s="234"/>
      <c r="G214" s="234"/>
      <c r="H214" s="233"/>
      <c r="I214" s="233"/>
      <c r="J214" s="234"/>
    </row>
    <row r="215" spans="1:10">
      <c r="A215" s="232"/>
      <c r="B215" s="232"/>
      <c r="C215" s="232"/>
      <c r="D215" s="233"/>
      <c r="E215" s="234"/>
      <c r="F215" s="234"/>
      <c r="G215" s="234"/>
      <c r="H215" s="233"/>
      <c r="I215" s="233"/>
      <c r="J215" s="234"/>
    </row>
    <row r="216" spans="1:10">
      <c r="A216" s="232"/>
      <c r="B216" s="232"/>
      <c r="C216" s="232"/>
      <c r="D216" s="233"/>
      <c r="E216" s="234"/>
      <c r="F216" s="234"/>
      <c r="G216" s="234"/>
      <c r="H216" s="233"/>
      <c r="I216" s="233"/>
      <c r="J216" s="234"/>
    </row>
    <row r="217" spans="1:10">
      <c r="A217" s="232"/>
      <c r="B217" s="232"/>
      <c r="C217" s="232"/>
      <c r="D217" s="233"/>
      <c r="E217" s="234"/>
      <c r="F217" s="234"/>
      <c r="G217" s="234"/>
      <c r="H217" s="233"/>
      <c r="I217" s="233"/>
      <c r="J217" s="234"/>
    </row>
    <row r="218" spans="1:10">
      <c r="A218" s="232"/>
      <c r="B218" s="232"/>
      <c r="C218" s="232"/>
      <c r="D218" s="233"/>
      <c r="E218" s="234"/>
      <c r="F218" s="234"/>
      <c r="G218" s="234"/>
      <c r="H218" s="233"/>
      <c r="I218" s="233"/>
      <c r="J218" s="234"/>
    </row>
    <row r="219" spans="1:10">
      <c r="A219" s="232"/>
      <c r="B219" s="232"/>
      <c r="C219" s="232"/>
      <c r="D219" s="233"/>
      <c r="E219" s="234"/>
      <c r="F219" s="234"/>
      <c r="G219" s="234"/>
      <c r="H219" s="233"/>
      <c r="I219" s="233"/>
      <c r="J219" s="234"/>
    </row>
    <row r="220" spans="1:10">
      <c r="A220" s="232"/>
      <c r="B220" s="232"/>
      <c r="C220" s="232"/>
      <c r="D220" s="233"/>
      <c r="E220" s="234"/>
      <c r="F220" s="234"/>
      <c r="G220" s="234"/>
      <c r="H220" s="233"/>
      <c r="I220" s="233"/>
      <c r="J220" s="234"/>
    </row>
    <row r="221" spans="1:10">
      <c r="A221" s="232"/>
      <c r="B221" s="232"/>
      <c r="C221" s="232"/>
      <c r="D221" s="233"/>
      <c r="E221" s="234"/>
      <c r="F221" s="234"/>
      <c r="G221" s="234"/>
      <c r="H221" s="233"/>
      <c r="I221" s="233"/>
      <c r="J221" s="234"/>
    </row>
    <row r="222" spans="1:10">
      <c r="A222" s="232"/>
      <c r="B222" s="232"/>
      <c r="C222" s="232"/>
      <c r="D222" s="233"/>
      <c r="E222" s="234"/>
      <c r="F222" s="234"/>
      <c r="G222" s="234"/>
      <c r="H222" s="233"/>
      <c r="I222" s="233"/>
      <c r="J222" s="234"/>
    </row>
    <row r="223" spans="1:10">
      <c r="A223" s="232"/>
      <c r="B223" s="232"/>
      <c r="C223" s="232"/>
      <c r="D223" s="233"/>
      <c r="E223" s="234"/>
      <c r="F223" s="234"/>
      <c r="G223" s="234"/>
      <c r="H223" s="233"/>
      <c r="I223" s="233"/>
      <c r="J223" s="234"/>
    </row>
    <row r="224" spans="1:10">
      <c r="A224" s="232"/>
      <c r="B224" s="232"/>
      <c r="C224" s="232"/>
      <c r="D224" s="233"/>
      <c r="E224" s="234"/>
      <c r="F224" s="234"/>
      <c r="G224" s="234"/>
      <c r="H224" s="233"/>
      <c r="I224" s="233"/>
      <c r="J224" s="234"/>
    </row>
    <row r="225" spans="1:10">
      <c r="A225" s="232"/>
      <c r="B225" s="232"/>
      <c r="C225" s="232"/>
      <c r="D225" s="233"/>
      <c r="E225" s="234"/>
      <c r="F225" s="234"/>
      <c r="G225" s="234"/>
      <c r="H225" s="233"/>
      <c r="I225" s="233"/>
      <c r="J225" s="234"/>
    </row>
    <row r="226" spans="1:10">
      <c r="A226" s="232"/>
      <c r="B226" s="232"/>
      <c r="C226" s="232"/>
      <c r="D226" s="233"/>
      <c r="E226" s="234"/>
      <c r="F226" s="234"/>
      <c r="G226" s="234"/>
      <c r="H226" s="233"/>
      <c r="I226" s="233"/>
      <c r="J226" s="234"/>
    </row>
    <row r="227" spans="1:10">
      <c r="A227" s="232"/>
      <c r="B227" s="232"/>
      <c r="C227" s="232"/>
      <c r="D227" s="233"/>
      <c r="E227" s="234"/>
      <c r="F227" s="234"/>
      <c r="G227" s="234"/>
      <c r="H227" s="233"/>
      <c r="I227" s="233"/>
      <c r="J227" s="234"/>
    </row>
    <row r="228" spans="1:10">
      <c r="A228" s="232"/>
      <c r="B228" s="232"/>
      <c r="C228" s="232"/>
      <c r="D228" s="233"/>
      <c r="E228" s="234"/>
      <c r="F228" s="234"/>
      <c r="G228" s="234"/>
      <c r="H228" s="233"/>
      <c r="I228" s="233"/>
      <c r="J228" s="234"/>
    </row>
    <row r="229" spans="1:10">
      <c r="A229" s="232"/>
      <c r="B229" s="232"/>
      <c r="C229" s="232"/>
      <c r="D229" s="233"/>
      <c r="E229" s="234"/>
      <c r="F229" s="234"/>
      <c r="G229" s="234"/>
      <c r="H229" s="233"/>
      <c r="I229" s="233"/>
      <c r="J229" s="234"/>
    </row>
    <row r="230" spans="1:10">
      <c r="A230" s="232"/>
      <c r="B230" s="232"/>
      <c r="C230" s="232"/>
      <c r="D230" s="233"/>
      <c r="E230" s="234"/>
      <c r="F230" s="234"/>
      <c r="G230" s="234"/>
      <c r="H230" s="233"/>
      <c r="I230" s="233"/>
      <c r="J230" s="234"/>
    </row>
    <row r="231" spans="1:10">
      <c r="A231" s="232"/>
      <c r="B231" s="232"/>
      <c r="C231" s="232"/>
      <c r="D231" s="233"/>
      <c r="E231" s="234"/>
      <c r="F231" s="234"/>
      <c r="G231" s="234"/>
      <c r="H231" s="233"/>
      <c r="I231" s="233"/>
      <c r="J231" s="234"/>
    </row>
    <row r="232" spans="1:10">
      <c r="A232" s="232"/>
      <c r="B232" s="232"/>
      <c r="C232" s="232"/>
      <c r="D232" s="233"/>
      <c r="E232" s="234"/>
      <c r="F232" s="234"/>
      <c r="G232" s="234"/>
      <c r="H232" s="233"/>
      <c r="I232" s="233"/>
      <c r="J232" s="234"/>
    </row>
    <row r="233" spans="1:10">
      <c r="A233" s="232"/>
      <c r="B233" s="232"/>
      <c r="C233" s="232"/>
      <c r="D233" s="233"/>
      <c r="E233" s="234"/>
      <c r="F233" s="234"/>
      <c r="G233" s="234"/>
      <c r="H233" s="233"/>
      <c r="I233" s="233"/>
      <c r="J233" s="234"/>
    </row>
    <row r="234" spans="1:10">
      <c r="A234" s="232"/>
      <c r="B234" s="232"/>
      <c r="C234" s="232"/>
      <c r="D234" s="233"/>
      <c r="E234" s="234"/>
      <c r="F234" s="234"/>
      <c r="G234" s="234"/>
      <c r="H234" s="233"/>
      <c r="I234" s="233"/>
      <c r="J234" s="234"/>
    </row>
    <row r="235" spans="1:10">
      <c r="A235" s="232"/>
      <c r="B235" s="232"/>
      <c r="C235" s="232"/>
      <c r="D235" s="233"/>
      <c r="E235" s="234"/>
      <c r="F235" s="234"/>
      <c r="G235" s="234"/>
      <c r="H235" s="233"/>
      <c r="I235" s="233"/>
      <c r="J235" s="234"/>
    </row>
    <row r="236" spans="1:10">
      <c r="A236" s="232"/>
      <c r="B236" s="232"/>
      <c r="C236" s="232"/>
      <c r="D236" s="233"/>
      <c r="E236" s="234"/>
      <c r="F236" s="234"/>
      <c r="G236" s="234"/>
      <c r="H236" s="233"/>
      <c r="I236" s="233"/>
      <c r="J236" s="234"/>
    </row>
    <row r="237" spans="1:10">
      <c r="A237" s="232"/>
      <c r="B237" s="232"/>
      <c r="C237" s="232"/>
      <c r="D237" s="233"/>
      <c r="E237" s="234"/>
      <c r="F237" s="234"/>
      <c r="G237" s="234"/>
      <c r="H237" s="233"/>
      <c r="I237" s="233"/>
      <c r="J237" s="234"/>
    </row>
    <row r="238" spans="1:10">
      <c r="A238" s="232"/>
      <c r="B238" s="232"/>
      <c r="C238" s="232"/>
      <c r="D238" s="233"/>
      <c r="E238" s="234"/>
      <c r="F238" s="234"/>
      <c r="G238" s="234"/>
      <c r="H238" s="233"/>
      <c r="I238" s="233"/>
      <c r="J238" s="234"/>
    </row>
    <row r="239" spans="1:10">
      <c r="A239" s="232"/>
      <c r="B239" s="232"/>
      <c r="C239" s="232"/>
      <c r="D239" s="233"/>
      <c r="E239" s="234"/>
      <c r="F239" s="234"/>
      <c r="G239" s="234"/>
      <c r="H239" s="233"/>
      <c r="I239" s="233"/>
      <c r="J239" s="234"/>
    </row>
    <row r="240" spans="1:10">
      <c r="A240" s="232"/>
      <c r="B240" s="232"/>
      <c r="C240" s="232"/>
      <c r="D240" s="233"/>
      <c r="E240" s="234"/>
      <c r="F240" s="234"/>
      <c r="G240" s="234"/>
      <c r="H240" s="233"/>
      <c r="I240" s="233"/>
      <c r="J240" s="234"/>
    </row>
    <row r="241" spans="1:10">
      <c r="A241" s="232"/>
      <c r="B241" s="232"/>
      <c r="C241" s="232"/>
      <c r="D241" s="233"/>
      <c r="E241" s="234"/>
      <c r="F241" s="234"/>
      <c r="G241" s="234"/>
      <c r="H241" s="233"/>
      <c r="I241" s="233"/>
      <c r="J241" s="234"/>
    </row>
    <row r="242" spans="1:10">
      <c r="A242" s="232"/>
      <c r="B242" s="232"/>
      <c r="C242" s="232"/>
      <c r="D242" s="233"/>
      <c r="E242" s="234"/>
      <c r="F242" s="234"/>
      <c r="G242" s="234"/>
      <c r="H242" s="233"/>
      <c r="I242" s="233"/>
      <c r="J242" s="234"/>
    </row>
    <row r="243" spans="1:10">
      <c r="A243" s="232"/>
      <c r="B243" s="232"/>
      <c r="C243" s="232"/>
      <c r="D243" s="233"/>
      <c r="E243" s="234"/>
      <c r="F243" s="234"/>
      <c r="G243" s="234"/>
      <c r="H243" s="233"/>
      <c r="I243" s="233"/>
      <c r="J243" s="234"/>
    </row>
    <row r="244" spans="1:10">
      <c r="A244" s="232"/>
      <c r="B244" s="232"/>
      <c r="C244" s="232"/>
      <c r="D244" s="233"/>
      <c r="E244" s="234"/>
      <c r="F244" s="234"/>
      <c r="G244" s="234"/>
      <c r="H244" s="233"/>
      <c r="I244" s="233"/>
      <c r="J244" s="234"/>
    </row>
    <row r="245" spans="1:10">
      <c r="A245" s="232"/>
      <c r="B245" s="232"/>
      <c r="C245" s="232"/>
      <c r="D245" s="233"/>
      <c r="E245" s="234"/>
      <c r="F245" s="234"/>
      <c r="G245" s="234"/>
      <c r="H245" s="233"/>
      <c r="I245" s="233"/>
      <c r="J245" s="234"/>
    </row>
    <row r="246" spans="1:10">
      <c r="A246" s="232"/>
      <c r="B246" s="232"/>
      <c r="C246" s="232"/>
      <c r="D246" s="233"/>
      <c r="E246" s="234"/>
      <c r="F246" s="234"/>
      <c r="G246" s="234"/>
      <c r="H246" s="233"/>
      <c r="I246" s="233"/>
      <c r="J246" s="234"/>
    </row>
    <row r="247" spans="1:10">
      <c r="A247" s="232"/>
      <c r="B247" s="232"/>
      <c r="C247" s="232"/>
      <c r="D247" s="233"/>
      <c r="E247" s="234"/>
      <c r="F247" s="234"/>
      <c r="G247" s="234"/>
      <c r="H247" s="233"/>
      <c r="I247" s="233"/>
      <c r="J247" s="234"/>
    </row>
    <row r="248" spans="1:10">
      <c r="A248" s="232"/>
      <c r="B248" s="232"/>
      <c r="C248" s="232"/>
      <c r="D248" s="233"/>
      <c r="E248" s="234"/>
      <c r="F248" s="234"/>
      <c r="G248" s="234"/>
      <c r="H248" s="233"/>
      <c r="I248" s="233"/>
      <c r="J248" s="234"/>
    </row>
    <row r="249" spans="1:10">
      <c r="A249" s="232"/>
      <c r="B249" s="232"/>
      <c r="C249" s="232"/>
      <c r="D249" s="233"/>
      <c r="E249" s="234"/>
      <c r="F249" s="234"/>
      <c r="G249" s="234"/>
      <c r="H249" s="233"/>
      <c r="I249" s="233"/>
      <c r="J249" s="234"/>
    </row>
    <row r="250" spans="1:10">
      <c r="A250" s="232"/>
      <c r="B250" s="232"/>
      <c r="C250" s="232"/>
      <c r="D250" s="233"/>
      <c r="E250" s="234"/>
      <c r="F250" s="234"/>
      <c r="G250" s="234"/>
      <c r="H250" s="233"/>
      <c r="I250" s="233"/>
      <c r="J250" s="234"/>
    </row>
    <row r="251" spans="1:10">
      <c r="A251" s="232"/>
      <c r="B251" s="232"/>
      <c r="C251" s="232"/>
      <c r="D251" s="233"/>
      <c r="E251" s="234"/>
      <c r="F251" s="234"/>
      <c r="G251" s="234"/>
      <c r="H251" s="233"/>
      <c r="I251" s="233"/>
      <c r="J251" s="234"/>
    </row>
    <row r="252" spans="1:10">
      <c r="A252" s="232"/>
      <c r="B252" s="232"/>
      <c r="C252" s="232"/>
      <c r="D252" s="233"/>
      <c r="E252" s="234"/>
      <c r="F252" s="234"/>
      <c r="G252" s="234"/>
      <c r="H252" s="233"/>
      <c r="I252" s="233"/>
      <c r="J252" s="234"/>
    </row>
    <row r="253" spans="1:10">
      <c r="A253" s="232"/>
      <c r="B253" s="232"/>
      <c r="C253" s="232"/>
      <c r="D253" s="233"/>
      <c r="E253" s="234"/>
      <c r="F253" s="234"/>
      <c r="G253" s="234"/>
      <c r="H253" s="233"/>
      <c r="I253" s="233"/>
      <c r="J253" s="234"/>
    </row>
    <row r="254" spans="1:10">
      <c r="A254" s="232"/>
      <c r="B254" s="232"/>
      <c r="C254" s="232"/>
      <c r="D254" s="233"/>
      <c r="E254" s="234"/>
      <c r="F254" s="234"/>
      <c r="G254" s="234"/>
      <c r="H254" s="233"/>
      <c r="I254" s="233"/>
      <c r="J254" s="234"/>
    </row>
    <row r="255" spans="1:10">
      <c r="A255" s="232"/>
      <c r="B255" s="232"/>
      <c r="C255" s="232"/>
      <c r="D255" s="233"/>
      <c r="E255" s="234"/>
      <c r="F255" s="234"/>
      <c r="G255" s="234"/>
      <c r="H255" s="233"/>
      <c r="I255" s="233"/>
      <c r="J255" s="234"/>
    </row>
    <row r="256" spans="1:10">
      <c r="A256" s="232"/>
      <c r="B256" s="232"/>
      <c r="C256" s="232"/>
      <c r="D256" s="233"/>
      <c r="E256" s="234"/>
      <c r="F256" s="234"/>
      <c r="G256" s="234"/>
      <c r="H256" s="233"/>
      <c r="I256" s="233"/>
      <c r="J256" s="234"/>
    </row>
    <row r="257" spans="1:10">
      <c r="A257" s="232"/>
      <c r="B257" s="232"/>
      <c r="C257" s="232"/>
      <c r="D257" s="233"/>
      <c r="E257" s="234"/>
      <c r="F257" s="234"/>
      <c r="G257" s="234"/>
      <c r="H257" s="233"/>
      <c r="I257" s="233"/>
      <c r="J257" s="234"/>
    </row>
    <row r="258" spans="1:10">
      <c r="A258" s="232"/>
      <c r="B258" s="232"/>
      <c r="C258" s="232"/>
      <c r="D258" s="233"/>
      <c r="E258" s="234"/>
      <c r="F258" s="234"/>
      <c r="G258" s="234"/>
      <c r="H258" s="233"/>
      <c r="I258" s="233"/>
      <c r="J258" s="234"/>
    </row>
    <row r="259" spans="1:10">
      <c r="A259" s="232"/>
      <c r="B259" s="232"/>
      <c r="C259" s="232"/>
      <c r="D259" s="233"/>
      <c r="E259" s="234"/>
      <c r="F259" s="234"/>
      <c r="G259" s="234"/>
      <c r="H259" s="233"/>
      <c r="I259" s="233"/>
      <c r="J259" s="234"/>
    </row>
    <row r="260" spans="1:10">
      <c r="A260" s="232"/>
      <c r="B260" s="232"/>
      <c r="C260" s="232"/>
      <c r="D260" s="233"/>
      <c r="E260" s="234"/>
      <c r="F260" s="234"/>
      <c r="G260" s="234"/>
      <c r="H260" s="233"/>
      <c r="I260" s="233"/>
      <c r="J260" s="234"/>
    </row>
    <row r="261" spans="1:10">
      <c r="A261" s="232"/>
      <c r="B261" s="232"/>
      <c r="C261" s="232"/>
      <c r="D261" s="233"/>
      <c r="E261" s="234"/>
      <c r="F261" s="234"/>
      <c r="G261" s="234"/>
      <c r="H261" s="233"/>
      <c r="I261" s="233"/>
      <c r="J261" s="234"/>
    </row>
    <row r="262" spans="1:10">
      <c r="A262" s="232"/>
      <c r="B262" s="232"/>
      <c r="C262" s="232"/>
      <c r="D262" s="233"/>
      <c r="E262" s="234"/>
      <c r="F262" s="234"/>
      <c r="G262" s="234"/>
      <c r="H262" s="233"/>
      <c r="I262" s="233"/>
      <c r="J262" s="234"/>
    </row>
    <row r="263" spans="1:10">
      <c r="A263" s="232"/>
      <c r="B263" s="232"/>
      <c r="C263" s="232"/>
      <c r="D263" s="233"/>
      <c r="E263" s="234"/>
      <c r="F263" s="234"/>
      <c r="G263" s="234"/>
      <c r="H263" s="233"/>
      <c r="I263" s="233"/>
      <c r="J263" s="234"/>
    </row>
    <row r="264" spans="1:10">
      <c r="A264" s="232"/>
      <c r="B264" s="232"/>
      <c r="C264" s="232"/>
      <c r="D264" s="233"/>
      <c r="E264" s="234"/>
      <c r="F264" s="234"/>
      <c r="G264" s="234"/>
      <c r="H264" s="233"/>
      <c r="I264" s="233"/>
      <c r="J264" s="234"/>
    </row>
    <row r="265" spans="1:10">
      <c r="A265" s="232"/>
      <c r="B265" s="232"/>
      <c r="C265" s="232"/>
      <c r="D265" s="233"/>
      <c r="E265" s="234"/>
      <c r="F265" s="234"/>
      <c r="G265" s="234"/>
      <c r="H265" s="233"/>
      <c r="I265" s="233"/>
      <c r="J265" s="234"/>
    </row>
    <row r="266" spans="1:10">
      <c r="A266" s="232"/>
      <c r="B266" s="232"/>
      <c r="C266" s="232"/>
      <c r="D266" s="233"/>
      <c r="E266" s="234"/>
      <c r="F266" s="234"/>
      <c r="G266" s="234"/>
      <c r="H266" s="233"/>
      <c r="I266" s="233"/>
      <c r="J266" s="234"/>
    </row>
    <row r="267" spans="1:10">
      <c r="A267" s="232"/>
      <c r="B267" s="232"/>
      <c r="C267" s="232"/>
      <c r="D267" s="233"/>
      <c r="E267" s="234"/>
      <c r="F267" s="234"/>
      <c r="G267" s="234"/>
      <c r="H267" s="233"/>
      <c r="I267" s="233"/>
      <c r="J267" s="234"/>
    </row>
    <row r="268" spans="1:10">
      <c r="A268" s="232"/>
      <c r="B268" s="232"/>
      <c r="C268" s="232"/>
      <c r="D268" s="233"/>
      <c r="E268" s="234"/>
      <c r="F268" s="234"/>
      <c r="G268" s="234"/>
      <c r="H268" s="233"/>
      <c r="I268" s="233"/>
      <c r="J268" s="234"/>
    </row>
    <row r="269" spans="1:10">
      <c r="A269" s="232"/>
      <c r="B269" s="232"/>
      <c r="C269" s="232"/>
      <c r="D269" s="233"/>
      <c r="E269" s="234"/>
      <c r="F269" s="234"/>
      <c r="G269" s="234"/>
      <c r="H269" s="233"/>
      <c r="I269" s="233"/>
      <c r="J269" s="234"/>
    </row>
    <row r="270" spans="1:10">
      <c r="A270" s="232"/>
      <c r="B270" s="232"/>
      <c r="C270" s="232"/>
      <c r="D270" s="233"/>
      <c r="E270" s="234"/>
      <c r="F270" s="234"/>
      <c r="G270" s="234"/>
      <c r="H270" s="233"/>
      <c r="I270" s="233"/>
      <c r="J270" s="234"/>
    </row>
    <row r="271" spans="1:10">
      <c r="A271" s="232"/>
      <c r="B271" s="232"/>
      <c r="C271" s="232"/>
      <c r="D271" s="233"/>
      <c r="E271" s="234"/>
      <c r="F271" s="234"/>
      <c r="G271" s="234"/>
      <c r="H271" s="233"/>
      <c r="I271" s="233"/>
      <c r="J271" s="234"/>
    </row>
    <row r="272" spans="1:10">
      <c r="A272" s="232"/>
      <c r="B272" s="232"/>
      <c r="C272" s="232"/>
      <c r="D272" s="233"/>
      <c r="E272" s="234"/>
      <c r="F272" s="234"/>
      <c r="G272" s="234"/>
      <c r="H272" s="233"/>
      <c r="I272" s="233"/>
      <c r="J272" s="234"/>
    </row>
    <row r="273" spans="1:10">
      <c r="A273" s="232"/>
      <c r="B273" s="232"/>
      <c r="C273" s="232"/>
      <c r="D273" s="233"/>
      <c r="E273" s="234"/>
      <c r="F273" s="234"/>
      <c r="G273" s="234"/>
      <c r="H273" s="233"/>
      <c r="I273" s="233"/>
      <c r="J273" s="234"/>
    </row>
    <row r="274" spans="1:10">
      <c r="A274" s="232"/>
      <c r="B274" s="232"/>
      <c r="C274" s="232"/>
      <c r="D274" s="233"/>
      <c r="E274" s="234"/>
      <c r="F274" s="234"/>
      <c r="G274" s="234"/>
      <c r="H274" s="233"/>
      <c r="I274" s="233"/>
      <c r="J274" s="234"/>
    </row>
    <row r="275" spans="1:10">
      <c r="A275" s="232"/>
      <c r="B275" s="232"/>
      <c r="C275" s="232"/>
      <c r="D275" s="233"/>
      <c r="E275" s="234"/>
      <c r="F275" s="234"/>
      <c r="G275" s="234"/>
      <c r="H275" s="233"/>
      <c r="I275" s="233"/>
      <c r="J275" s="234"/>
    </row>
    <row r="276" spans="1:10">
      <c r="A276" s="232"/>
      <c r="B276" s="232"/>
      <c r="C276" s="232"/>
      <c r="D276" s="233"/>
      <c r="E276" s="234"/>
      <c r="F276" s="234"/>
      <c r="G276" s="234"/>
      <c r="H276" s="233"/>
      <c r="I276" s="233"/>
      <c r="J276" s="234"/>
    </row>
    <row r="277" spans="1:10">
      <c r="A277" s="232"/>
      <c r="B277" s="232"/>
      <c r="C277" s="232"/>
      <c r="D277" s="233"/>
      <c r="E277" s="234"/>
      <c r="F277" s="234"/>
      <c r="G277" s="234"/>
      <c r="H277" s="233"/>
      <c r="I277" s="233"/>
      <c r="J277" s="234"/>
    </row>
    <row r="278" spans="1:10">
      <c r="A278" s="232"/>
      <c r="B278" s="232"/>
      <c r="C278" s="232"/>
      <c r="D278" s="233"/>
      <c r="E278" s="234"/>
      <c r="F278" s="234"/>
      <c r="G278" s="234"/>
      <c r="H278" s="233"/>
      <c r="I278" s="233"/>
      <c r="J278" s="234"/>
    </row>
    <row r="279" spans="1:10">
      <c r="A279" s="232"/>
      <c r="B279" s="232"/>
      <c r="C279" s="232"/>
      <c r="D279" s="233"/>
      <c r="E279" s="234"/>
      <c r="F279" s="234"/>
      <c r="G279" s="234"/>
      <c r="H279" s="233"/>
      <c r="I279" s="233"/>
      <c r="J279" s="234"/>
    </row>
    <row r="280" spans="1:10">
      <c r="A280" s="232"/>
      <c r="B280" s="232"/>
      <c r="C280" s="232"/>
      <c r="D280" s="233"/>
      <c r="E280" s="234"/>
      <c r="F280" s="234"/>
      <c r="G280" s="234"/>
      <c r="H280" s="233"/>
      <c r="I280" s="233"/>
      <c r="J280" s="234"/>
    </row>
    <row r="281" spans="1:10">
      <c r="A281" s="232"/>
      <c r="B281" s="232"/>
      <c r="C281" s="232"/>
      <c r="D281" s="233"/>
      <c r="E281" s="234"/>
      <c r="F281" s="234"/>
      <c r="G281" s="234"/>
      <c r="H281" s="233"/>
      <c r="I281" s="233"/>
      <c r="J281" s="234"/>
    </row>
    <row r="282" spans="1:10">
      <c r="A282" s="232"/>
      <c r="B282" s="232"/>
      <c r="C282" s="232"/>
      <c r="D282" s="233"/>
      <c r="E282" s="234"/>
      <c r="F282" s="234"/>
      <c r="G282" s="234"/>
      <c r="H282" s="233"/>
      <c r="I282" s="233"/>
      <c r="J282" s="234"/>
    </row>
    <row r="283" spans="1:10">
      <c r="A283" s="232"/>
      <c r="B283" s="232"/>
      <c r="C283" s="232"/>
      <c r="D283" s="233"/>
      <c r="E283" s="234"/>
      <c r="F283" s="234"/>
      <c r="G283" s="234"/>
      <c r="H283" s="233"/>
      <c r="I283" s="233"/>
      <c r="J283" s="234"/>
    </row>
    <row r="284" spans="1:10">
      <c r="A284" s="232"/>
      <c r="B284" s="232"/>
      <c r="C284" s="232"/>
      <c r="D284" s="233"/>
      <c r="E284" s="234"/>
      <c r="F284" s="234"/>
      <c r="G284" s="234"/>
      <c r="H284" s="233"/>
      <c r="I284" s="233"/>
      <c r="J284" s="234"/>
    </row>
    <row r="285" spans="1:10">
      <c r="A285" s="232"/>
      <c r="B285" s="232"/>
      <c r="C285" s="232"/>
      <c r="D285" s="233"/>
      <c r="E285" s="234"/>
      <c r="F285" s="234"/>
      <c r="G285" s="234"/>
      <c r="H285" s="233"/>
      <c r="I285" s="233"/>
      <c r="J285" s="234"/>
    </row>
    <row r="286" spans="1:10">
      <c r="A286" s="232"/>
      <c r="B286" s="232"/>
      <c r="C286" s="232"/>
      <c r="D286" s="233"/>
      <c r="E286" s="234"/>
      <c r="F286" s="234"/>
      <c r="G286" s="234"/>
      <c r="H286" s="233"/>
      <c r="I286" s="233"/>
      <c r="J286" s="234"/>
    </row>
    <row r="287" spans="1:10">
      <c r="A287" s="232"/>
      <c r="B287" s="232"/>
      <c r="C287" s="232"/>
      <c r="D287" s="233"/>
      <c r="E287" s="234"/>
      <c r="F287" s="234"/>
      <c r="G287" s="234"/>
      <c r="H287" s="233"/>
      <c r="I287" s="233"/>
      <c r="J287" s="234"/>
    </row>
    <row r="288" spans="1:10">
      <c r="A288" s="232"/>
      <c r="B288" s="232"/>
      <c r="C288" s="232"/>
      <c r="D288" s="233"/>
      <c r="E288" s="234"/>
      <c r="F288" s="234"/>
      <c r="G288" s="234"/>
      <c r="H288" s="233"/>
      <c r="I288" s="233"/>
      <c r="J288" s="234"/>
    </row>
    <row r="289" spans="1:10">
      <c r="A289" s="232"/>
      <c r="B289" s="232"/>
      <c r="C289" s="232"/>
      <c r="D289" s="233"/>
      <c r="E289" s="234"/>
      <c r="F289" s="234"/>
      <c r="G289" s="234"/>
      <c r="H289" s="233"/>
      <c r="I289" s="233"/>
      <c r="J289" s="234"/>
    </row>
    <row r="290" spans="1:10">
      <c r="A290" s="232"/>
      <c r="B290" s="232"/>
      <c r="C290" s="232"/>
      <c r="D290" s="233"/>
      <c r="E290" s="234"/>
      <c r="F290" s="234"/>
      <c r="G290" s="234"/>
      <c r="H290" s="233"/>
      <c r="I290" s="233"/>
      <c r="J290" s="234"/>
    </row>
    <row r="291" spans="1:10">
      <c r="A291" s="232"/>
      <c r="B291" s="232"/>
      <c r="C291" s="232"/>
      <c r="D291" s="233"/>
      <c r="E291" s="234"/>
      <c r="F291" s="234"/>
      <c r="G291" s="234"/>
      <c r="H291" s="233"/>
      <c r="I291" s="233"/>
      <c r="J291" s="234"/>
    </row>
    <row r="292" spans="1:10">
      <c r="A292" s="232"/>
      <c r="B292" s="232"/>
      <c r="C292" s="232"/>
      <c r="D292" s="233"/>
      <c r="E292" s="234"/>
      <c r="F292" s="234"/>
      <c r="G292" s="234"/>
      <c r="H292" s="233"/>
      <c r="I292" s="233"/>
      <c r="J292" s="234"/>
    </row>
    <row r="293" spans="1:10">
      <c r="A293" s="232"/>
      <c r="B293" s="232"/>
      <c r="C293" s="232"/>
      <c r="D293" s="233"/>
      <c r="E293" s="234"/>
      <c r="F293" s="234"/>
      <c r="G293" s="234"/>
      <c r="H293" s="233"/>
      <c r="I293" s="233"/>
      <c r="J293" s="234"/>
    </row>
    <row r="294" spans="1:10">
      <c r="A294" s="232"/>
      <c r="B294" s="232"/>
      <c r="C294" s="232"/>
      <c r="D294" s="233"/>
      <c r="E294" s="234"/>
      <c r="F294" s="234"/>
      <c r="G294" s="234"/>
      <c r="H294" s="233"/>
      <c r="I294" s="233"/>
      <c r="J294" s="234"/>
    </row>
    <row r="295" spans="1:10">
      <c r="A295" s="232"/>
      <c r="B295" s="232"/>
      <c r="C295" s="232"/>
      <c r="D295" s="233"/>
      <c r="E295" s="234"/>
      <c r="F295" s="234"/>
      <c r="G295" s="234"/>
      <c r="H295" s="233"/>
      <c r="I295" s="233"/>
      <c r="J295" s="234"/>
    </row>
    <row r="296" spans="1:10">
      <c r="A296" s="232"/>
      <c r="B296" s="232"/>
      <c r="C296" s="232"/>
      <c r="D296" s="233"/>
      <c r="E296" s="234"/>
      <c r="F296" s="234"/>
      <c r="G296" s="234"/>
      <c r="H296" s="233"/>
      <c r="I296" s="233"/>
      <c r="J296" s="234"/>
    </row>
    <row r="297" spans="1:10">
      <c r="A297" s="232"/>
      <c r="B297" s="232"/>
      <c r="C297" s="232"/>
      <c r="D297" s="233"/>
      <c r="E297" s="234"/>
      <c r="F297" s="234"/>
      <c r="G297" s="234"/>
      <c r="H297" s="233"/>
      <c r="I297" s="233"/>
      <c r="J297" s="234"/>
    </row>
    <row r="298" spans="1:10">
      <c r="A298" s="232"/>
      <c r="B298" s="232"/>
      <c r="C298" s="232"/>
      <c r="D298" s="233"/>
      <c r="E298" s="234"/>
      <c r="F298" s="234"/>
      <c r="G298" s="234"/>
      <c r="H298" s="233"/>
      <c r="I298" s="233"/>
      <c r="J298" s="234"/>
    </row>
    <row r="299" spans="1:10">
      <c r="A299" s="232"/>
      <c r="B299" s="232"/>
      <c r="C299" s="232"/>
      <c r="D299" s="233"/>
      <c r="E299" s="234"/>
      <c r="F299" s="234"/>
      <c r="G299" s="234"/>
      <c r="H299" s="233"/>
      <c r="I299" s="233"/>
      <c r="J299" s="234"/>
    </row>
    <row r="300" spans="1:10">
      <c r="A300" s="232"/>
      <c r="B300" s="232"/>
      <c r="C300" s="232"/>
      <c r="D300" s="233"/>
      <c r="E300" s="234"/>
      <c r="F300" s="234"/>
      <c r="G300" s="234"/>
      <c r="H300" s="233"/>
      <c r="I300" s="233"/>
      <c r="J300" s="234"/>
    </row>
    <row r="301" spans="1:10">
      <c r="A301" s="232"/>
      <c r="B301" s="232"/>
      <c r="C301" s="232"/>
      <c r="D301" s="233"/>
      <c r="E301" s="234"/>
      <c r="F301" s="234"/>
      <c r="G301" s="234"/>
      <c r="H301" s="233"/>
      <c r="I301" s="233"/>
      <c r="J301" s="234"/>
    </row>
    <row r="302" spans="1:10">
      <c r="A302" s="232"/>
      <c r="B302" s="232"/>
      <c r="C302" s="232"/>
      <c r="D302" s="233"/>
      <c r="E302" s="234"/>
      <c r="F302" s="234"/>
      <c r="G302" s="234"/>
      <c r="H302" s="233"/>
      <c r="I302" s="233"/>
      <c r="J302" s="234"/>
    </row>
    <row r="303" spans="1:10">
      <c r="A303" s="232"/>
      <c r="B303" s="232"/>
      <c r="C303" s="232"/>
      <c r="D303" s="233"/>
      <c r="E303" s="234"/>
      <c r="F303" s="234"/>
      <c r="G303" s="234"/>
      <c r="H303" s="233"/>
      <c r="I303" s="233"/>
      <c r="J303" s="234"/>
    </row>
    <row r="304" spans="1:10">
      <c r="A304" s="232"/>
      <c r="B304" s="232"/>
      <c r="C304" s="232"/>
      <c r="D304" s="233"/>
      <c r="E304" s="234"/>
      <c r="F304" s="234"/>
      <c r="G304" s="234"/>
      <c r="H304" s="233"/>
      <c r="I304" s="233"/>
      <c r="J304" s="234"/>
    </row>
    <row r="305" spans="1:10">
      <c r="A305" s="232"/>
      <c r="B305" s="232"/>
      <c r="C305" s="232"/>
      <c r="D305" s="233"/>
      <c r="E305" s="234"/>
      <c r="F305" s="234"/>
      <c r="G305" s="234"/>
      <c r="H305" s="233"/>
      <c r="I305" s="233"/>
      <c r="J305" s="234"/>
    </row>
    <row r="306" spans="1:10">
      <c r="A306" s="232"/>
      <c r="B306" s="232"/>
      <c r="C306" s="232"/>
      <c r="D306" s="233"/>
      <c r="E306" s="234"/>
      <c r="F306" s="234"/>
      <c r="G306" s="234"/>
      <c r="H306" s="233"/>
      <c r="I306" s="233"/>
      <c r="J306" s="234"/>
    </row>
    <row r="307" spans="1:10">
      <c r="A307" s="232"/>
      <c r="B307" s="232"/>
      <c r="C307" s="232"/>
      <c r="D307" s="233"/>
      <c r="E307" s="234"/>
      <c r="F307" s="234"/>
      <c r="G307" s="234"/>
      <c r="H307" s="233"/>
      <c r="I307" s="233"/>
      <c r="J307" s="234"/>
    </row>
    <row r="308" spans="1:10">
      <c r="A308" s="232"/>
      <c r="B308" s="232"/>
      <c r="C308" s="232"/>
      <c r="D308" s="233"/>
      <c r="E308" s="234"/>
      <c r="F308" s="234"/>
      <c r="G308" s="234"/>
      <c r="H308" s="233"/>
      <c r="I308" s="233"/>
      <c r="J308" s="234"/>
    </row>
    <row r="309" spans="1:10">
      <c r="A309" s="232"/>
      <c r="B309" s="232"/>
      <c r="C309" s="232"/>
      <c r="D309" s="233"/>
      <c r="E309" s="234"/>
      <c r="F309" s="234"/>
      <c r="G309" s="234"/>
      <c r="H309" s="233"/>
      <c r="I309" s="233"/>
      <c r="J309" s="234"/>
    </row>
    <row r="310" spans="1:10">
      <c r="A310" s="232"/>
      <c r="B310" s="232"/>
      <c r="C310" s="232"/>
      <c r="D310" s="233"/>
      <c r="E310" s="234"/>
      <c r="F310" s="234"/>
      <c r="G310" s="234"/>
      <c r="H310" s="233"/>
      <c r="I310" s="233"/>
      <c r="J310" s="234"/>
    </row>
    <row r="311" spans="1:10">
      <c r="A311" s="232"/>
      <c r="B311" s="232"/>
      <c r="C311" s="232"/>
      <c r="D311" s="233"/>
      <c r="E311" s="234"/>
      <c r="F311" s="234"/>
      <c r="G311" s="234"/>
      <c r="H311" s="233"/>
      <c r="I311" s="233"/>
      <c r="J311" s="234"/>
    </row>
    <row r="312" spans="1:10">
      <c r="A312" s="232"/>
      <c r="B312" s="232"/>
      <c r="C312" s="232"/>
      <c r="D312" s="233"/>
      <c r="E312" s="234"/>
      <c r="F312" s="234"/>
      <c r="G312" s="234"/>
      <c r="H312" s="233"/>
      <c r="I312" s="233"/>
      <c r="J312" s="234"/>
    </row>
    <row r="313" spans="1:10">
      <c r="A313" s="232"/>
      <c r="B313" s="232"/>
      <c r="C313" s="232"/>
      <c r="D313" s="233"/>
      <c r="E313" s="234"/>
      <c r="F313" s="234"/>
      <c r="G313" s="234"/>
      <c r="H313" s="233"/>
      <c r="I313" s="233"/>
      <c r="J313" s="234"/>
    </row>
    <row r="314" spans="1:10">
      <c r="A314" s="232"/>
      <c r="B314" s="232"/>
      <c r="C314" s="232"/>
      <c r="D314" s="233"/>
      <c r="E314" s="234"/>
      <c r="F314" s="234"/>
      <c r="G314" s="234"/>
      <c r="H314" s="233"/>
      <c r="I314" s="233"/>
      <c r="J314" s="234"/>
    </row>
    <row r="315" spans="1:10">
      <c r="A315" s="232"/>
      <c r="B315" s="232"/>
      <c r="C315" s="232"/>
      <c r="D315" s="233"/>
      <c r="E315" s="234"/>
      <c r="F315" s="234"/>
      <c r="G315" s="234"/>
      <c r="H315" s="233"/>
      <c r="I315" s="233"/>
      <c r="J315" s="234"/>
    </row>
    <row r="316" spans="1:10">
      <c r="A316" s="232"/>
      <c r="B316" s="232"/>
      <c r="C316" s="232"/>
      <c r="D316" s="233"/>
      <c r="E316" s="234"/>
      <c r="F316" s="234"/>
      <c r="G316" s="234"/>
      <c r="H316" s="233"/>
      <c r="I316" s="233"/>
      <c r="J316" s="234"/>
    </row>
    <row r="317" spans="1:10">
      <c r="A317" s="232"/>
      <c r="B317" s="232"/>
      <c r="C317" s="232"/>
      <c r="D317" s="233"/>
      <c r="E317" s="234"/>
      <c r="F317" s="234"/>
      <c r="G317" s="234"/>
      <c r="H317" s="233"/>
      <c r="I317" s="233"/>
      <c r="J317" s="234"/>
    </row>
    <row r="318" spans="1:10">
      <c r="A318" s="232"/>
      <c r="B318" s="232"/>
      <c r="C318" s="232"/>
      <c r="D318" s="233"/>
      <c r="E318" s="234"/>
      <c r="F318" s="234"/>
      <c r="G318" s="234"/>
      <c r="H318" s="233"/>
      <c r="I318" s="233"/>
      <c r="J318" s="234"/>
    </row>
    <row r="319" spans="1:10">
      <c r="A319" s="232"/>
      <c r="B319" s="232"/>
      <c r="C319" s="232"/>
      <c r="D319" s="233"/>
      <c r="E319" s="234"/>
      <c r="F319" s="234"/>
      <c r="G319" s="234"/>
      <c r="H319" s="233"/>
      <c r="I319" s="233"/>
      <c r="J319" s="234"/>
    </row>
    <row r="320" spans="1:10">
      <c r="A320" s="232"/>
      <c r="B320" s="232"/>
      <c r="C320" s="232"/>
      <c r="D320" s="233"/>
      <c r="E320" s="234"/>
      <c r="F320" s="234"/>
      <c r="G320" s="234"/>
      <c r="H320" s="233"/>
      <c r="I320" s="233"/>
      <c r="J320" s="234"/>
    </row>
    <row r="321" spans="1:10">
      <c r="A321" s="232"/>
      <c r="B321" s="232"/>
      <c r="C321" s="232"/>
      <c r="D321" s="233"/>
      <c r="E321" s="234"/>
      <c r="F321" s="234"/>
      <c r="G321" s="234"/>
      <c r="H321" s="233"/>
      <c r="I321" s="233"/>
      <c r="J321" s="234"/>
    </row>
    <row r="322" spans="1:10">
      <c r="A322" s="232"/>
      <c r="B322" s="232"/>
      <c r="C322" s="232"/>
      <c r="D322" s="233"/>
      <c r="E322" s="234"/>
      <c r="F322" s="234"/>
      <c r="G322" s="234"/>
      <c r="H322" s="233"/>
      <c r="I322" s="233"/>
      <c r="J322" s="234"/>
    </row>
    <row r="323" spans="1:10">
      <c r="A323" s="232"/>
      <c r="B323" s="232"/>
      <c r="C323" s="232"/>
      <c r="D323" s="233"/>
      <c r="E323" s="234"/>
      <c r="F323" s="234"/>
      <c r="G323" s="234"/>
      <c r="H323" s="233"/>
      <c r="I323" s="233"/>
      <c r="J323" s="234"/>
    </row>
    <row r="324" spans="1:10">
      <c r="A324" s="232"/>
      <c r="B324" s="232"/>
      <c r="C324" s="232"/>
      <c r="D324" s="233"/>
      <c r="E324" s="234"/>
      <c r="F324" s="234"/>
      <c r="G324" s="234"/>
      <c r="H324" s="233"/>
      <c r="I324" s="233"/>
      <c r="J324" s="234"/>
    </row>
    <row r="325" spans="1:10">
      <c r="A325" s="232"/>
      <c r="B325" s="232"/>
      <c r="C325" s="232"/>
      <c r="D325" s="233"/>
      <c r="E325" s="234"/>
      <c r="F325" s="234"/>
      <c r="G325" s="234"/>
      <c r="H325" s="233"/>
      <c r="I325" s="233"/>
      <c r="J325" s="234"/>
    </row>
    <row r="326" spans="1:10">
      <c r="A326" s="232"/>
      <c r="B326" s="232"/>
      <c r="C326" s="232"/>
      <c r="D326" s="233"/>
      <c r="E326" s="234"/>
      <c r="F326" s="234"/>
      <c r="G326" s="234"/>
      <c r="H326" s="233"/>
      <c r="I326" s="233"/>
      <c r="J326" s="234"/>
    </row>
    <row r="327" spans="1:10">
      <c r="A327" s="232"/>
      <c r="B327" s="232"/>
      <c r="C327" s="232"/>
      <c r="D327" s="233"/>
      <c r="E327" s="234"/>
      <c r="F327" s="234"/>
      <c r="G327" s="234"/>
      <c r="H327" s="233"/>
      <c r="I327" s="233"/>
      <c r="J327" s="234"/>
    </row>
    <row r="328" spans="1:10">
      <c r="A328" s="232"/>
      <c r="B328" s="232"/>
      <c r="C328" s="232"/>
      <c r="D328" s="233"/>
      <c r="E328" s="234"/>
      <c r="F328" s="234"/>
      <c r="G328" s="234"/>
      <c r="H328" s="233"/>
      <c r="I328" s="233"/>
      <c r="J328" s="234"/>
    </row>
    <row r="329" spans="1:10">
      <c r="A329" s="232"/>
      <c r="B329" s="232"/>
      <c r="C329" s="232"/>
      <c r="D329" s="233"/>
      <c r="E329" s="234"/>
      <c r="F329" s="234"/>
      <c r="G329" s="234"/>
      <c r="H329" s="233"/>
      <c r="I329" s="233"/>
      <c r="J329" s="234"/>
    </row>
    <row r="330" spans="1:10">
      <c r="A330" s="232"/>
      <c r="B330" s="232"/>
      <c r="C330" s="232"/>
      <c r="D330" s="233"/>
      <c r="E330" s="234"/>
      <c r="F330" s="234"/>
      <c r="G330" s="234"/>
      <c r="H330" s="233"/>
      <c r="I330" s="233"/>
      <c r="J330" s="234"/>
    </row>
    <row r="331" spans="1:10">
      <c r="A331" s="232"/>
      <c r="B331" s="232"/>
      <c r="C331" s="232"/>
      <c r="D331" s="233"/>
      <c r="E331" s="234"/>
      <c r="F331" s="234"/>
      <c r="G331" s="234"/>
      <c r="H331" s="233"/>
      <c r="I331" s="233"/>
      <c r="J331" s="234"/>
    </row>
    <row r="332" spans="1:10">
      <c r="A332" s="232"/>
      <c r="B332" s="232"/>
      <c r="C332" s="232"/>
      <c r="D332" s="233"/>
      <c r="E332" s="234"/>
      <c r="F332" s="234"/>
      <c r="G332" s="234"/>
      <c r="H332" s="233"/>
      <c r="I332" s="233"/>
      <c r="J332" s="234"/>
    </row>
    <row r="333" spans="1:10">
      <c r="A333" s="232"/>
      <c r="B333" s="232"/>
      <c r="C333" s="232"/>
      <c r="D333" s="233"/>
      <c r="E333" s="234"/>
      <c r="F333" s="234"/>
      <c r="G333" s="234"/>
      <c r="H333" s="233"/>
      <c r="I333" s="233"/>
      <c r="J333" s="234"/>
    </row>
    <row r="334" spans="1:10">
      <c r="A334" s="232"/>
      <c r="B334" s="232"/>
      <c r="C334" s="232"/>
      <c r="D334" s="233"/>
      <c r="E334" s="234"/>
      <c r="F334" s="234"/>
      <c r="G334" s="234"/>
      <c r="H334" s="233"/>
      <c r="I334" s="233"/>
      <c r="J334" s="234"/>
    </row>
    <row r="335" spans="1:10">
      <c r="A335" s="232"/>
      <c r="B335" s="232"/>
      <c r="C335" s="232"/>
      <c r="D335" s="233"/>
      <c r="E335" s="234"/>
      <c r="F335" s="234"/>
      <c r="G335" s="234"/>
      <c r="H335" s="233"/>
      <c r="I335" s="233"/>
      <c r="J335" s="234"/>
    </row>
    <row r="336" spans="1:10">
      <c r="A336" s="232"/>
      <c r="B336" s="232"/>
      <c r="C336" s="232"/>
      <c r="D336" s="233"/>
      <c r="E336" s="234"/>
      <c r="F336" s="234"/>
      <c r="G336" s="234"/>
      <c r="H336" s="233"/>
      <c r="I336" s="233"/>
      <c r="J336" s="234"/>
    </row>
    <row r="337" spans="1:10">
      <c r="A337" s="232"/>
      <c r="B337" s="232"/>
      <c r="C337" s="232"/>
      <c r="D337" s="233"/>
      <c r="E337" s="234"/>
      <c r="F337" s="234"/>
      <c r="G337" s="234"/>
      <c r="H337" s="233"/>
      <c r="I337" s="233"/>
      <c r="J337" s="234"/>
    </row>
    <row r="338" spans="1:10">
      <c r="A338" s="232"/>
      <c r="B338" s="232"/>
      <c r="C338" s="232"/>
      <c r="D338" s="233"/>
      <c r="E338" s="234"/>
      <c r="F338" s="234"/>
      <c r="G338" s="234"/>
      <c r="H338" s="233"/>
      <c r="I338" s="233"/>
      <c r="J338" s="234"/>
    </row>
    <row r="339" spans="1:10">
      <c r="A339" s="232"/>
      <c r="B339" s="232"/>
      <c r="C339" s="232"/>
      <c r="D339" s="233"/>
      <c r="E339" s="234"/>
      <c r="F339" s="234"/>
      <c r="G339" s="234"/>
      <c r="H339" s="233"/>
      <c r="I339" s="233"/>
      <c r="J339" s="234"/>
    </row>
    <row r="340" spans="1:10">
      <c r="A340" s="232"/>
      <c r="B340" s="232"/>
      <c r="C340" s="232"/>
      <c r="D340" s="233"/>
      <c r="E340" s="234"/>
      <c r="F340" s="234"/>
      <c r="G340" s="234"/>
      <c r="H340" s="233"/>
      <c r="I340" s="233"/>
      <c r="J340" s="234"/>
    </row>
    <row r="341" spans="1:10">
      <c r="A341" s="232"/>
      <c r="B341" s="232"/>
      <c r="C341" s="232"/>
      <c r="D341" s="233"/>
      <c r="E341" s="234"/>
      <c r="F341" s="234"/>
      <c r="G341" s="234"/>
      <c r="H341" s="233"/>
      <c r="I341" s="233"/>
      <c r="J341" s="234"/>
    </row>
    <row r="342" spans="1:10">
      <c r="A342" s="232"/>
      <c r="B342" s="232"/>
      <c r="C342" s="232"/>
      <c r="D342" s="233"/>
      <c r="E342" s="234"/>
      <c r="F342" s="234"/>
      <c r="G342" s="234"/>
      <c r="H342" s="233"/>
      <c r="I342" s="233"/>
      <c r="J342" s="234"/>
    </row>
    <row r="343" spans="1:10">
      <c r="A343" s="232"/>
      <c r="B343" s="232"/>
      <c r="C343" s="232"/>
      <c r="D343" s="233"/>
      <c r="E343" s="234"/>
      <c r="F343" s="234"/>
      <c r="G343" s="234"/>
      <c r="H343" s="233"/>
      <c r="I343" s="233"/>
      <c r="J343" s="234"/>
    </row>
    <row r="344" spans="1:10">
      <c r="A344" s="232"/>
      <c r="B344" s="232"/>
      <c r="C344" s="232"/>
      <c r="D344" s="233"/>
      <c r="E344" s="234"/>
      <c r="F344" s="234"/>
      <c r="G344" s="234"/>
      <c r="H344" s="233"/>
      <c r="I344" s="233"/>
      <c r="J344" s="234"/>
    </row>
    <row r="345" spans="1:10">
      <c r="A345" s="232"/>
      <c r="B345" s="232"/>
      <c r="C345" s="232"/>
      <c r="D345" s="233"/>
      <c r="E345" s="234"/>
      <c r="F345" s="234"/>
      <c r="G345" s="234"/>
      <c r="H345" s="233"/>
      <c r="I345" s="233"/>
      <c r="J345" s="234"/>
    </row>
    <row r="346" spans="1:10">
      <c r="A346" s="232"/>
      <c r="B346" s="232"/>
      <c r="C346" s="232"/>
      <c r="D346" s="233"/>
      <c r="E346" s="234"/>
      <c r="F346" s="234"/>
      <c r="G346" s="234"/>
      <c r="H346" s="233"/>
      <c r="I346" s="233"/>
      <c r="J346" s="234"/>
    </row>
    <row r="347" spans="1:10">
      <c r="A347" s="232"/>
      <c r="B347" s="232"/>
      <c r="C347" s="232"/>
      <c r="D347" s="233"/>
      <c r="E347" s="234"/>
      <c r="F347" s="234"/>
      <c r="G347" s="234"/>
      <c r="H347" s="233"/>
      <c r="I347" s="233"/>
      <c r="J347" s="234"/>
    </row>
    <row r="348" spans="1:10">
      <c r="A348" s="232"/>
      <c r="B348" s="232"/>
      <c r="C348" s="232"/>
      <c r="D348" s="233"/>
      <c r="E348" s="234"/>
      <c r="F348" s="234"/>
      <c r="G348" s="234"/>
      <c r="H348" s="233"/>
      <c r="I348" s="233"/>
      <c r="J348" s="234"/>
    </row>
    <row r="349" spans="1:10">
      <c r="A349" s="232"/>
      <c r="B349" s="232"/>
      <c r="C349" s="232"/>
      <c r="D349" s="233"/>
      <c r="E349" s="234"/>
      <c r="F349" s="234"/>
      <c r="G349" s="234"/>
      <c r="H349" s="233"/>
      <c r="I349" s="233"/>
      <c r="J349" s="234"/>
    </row>
    <row r="350" spans="1:10">
      <c r="A350" s="232"/>
      <c r="B350" s="232"/>
      <c r="C350" s="232"/>
      <c r="D350" s="233"/>
      <c r="E350" s="234"/>
      <c r="F350" s="234"/>
      <c r="G350" s="234"/>
      <c r="H350" s="233"/>
      <c r="I350" s="233"/>
      <c r="J350" s="234"/>
    </row>
    <row r="351" spans="1:10">
      <c r="A351" s="232"/>
      <c r="B351" s="232"/>
      <c r="C351" s="232"/>
      <c r="D351" s="233"/>
      <c r="E351" s="234"/>
      <c r="F351" s="234"/>
      <c r="G351" s="234"/>
      <c r="H351" s="233"/>
      <c r="I351" s="233"/>
      <c r="J351" s="234"/>
    </row>
    <row r="352" spans="1:10">
      <c r="A352" s="232"/>
      <c r="B352" s="232"/>
      <c r="C352" s="232"/>
      <c r="D352" s="233"/>
      <c r="E352" s="234"/>
      <c r="F352" s="234"/>
      <c r="G352" s="234"/>
      <c r="H352" s="233"/>
      <c r="I352" s="233"/>
      <c r="J352" s="234"/>
    </row>
    <row r="353" spans="1:10">
      <c r="A353" s="232"/>
      <c r="B353" s="232"/>
      <c r="C353" s="232"/>
      <c r="D353" s="233"/>
      <c r="E353" s="234"/>
      <c r="F353" s="234"/>
      <c r="G353" s="234"/>
      <c r="H353" s="233"/>
      <c r="I353" s="233"/>
      <c r="J353" s="234"/>
    </row>
    <row r="354" spans="1:10">
      <c r="A354" s="232"/>
      <c r="B354" s="232"/>
      <c r="C354" s="232"/>
      <c r="D354" s="233"/>
      <c r="E354" s="234"/>
      <c r="F354" s="234"/>
      <c r="G354" s="234"/>
      <c r="H354" s="233"/>
      <c r="I354" s="233"/>
      <c r="J354" s="234"/>
    </row>
    <row r="355" spans="1:10">
      <c r="A355" s="232"/>
      <c r="B355" s="232"/>
      <c r="C355" s="232"/>
      <c r="D355" s="233"/>
      <c r="E355" s="234"/>
      <c r="F355" s="234"/>
      <c r="G355" s="234"/>
      <c r="H355" s="233"/>
      <c r="I355" s="233"/>
      <c r="J355" s="234"/>
    </row>
    <row r="356" spans="1:10">
      <c r="A356" s="232"/>
      <c r="B356" s="232"/>
      <c r="C356" s="232"/>
      <c r="D356" s="233"/>
      <c r="E356" s="234"/>
      <c r="F356" s="234"/>
      <c r="G356" s="234"/>
      <c r="H356" s="233"/>
      <c r="I356" s="233"/>
      <c r="J356" s="234"/>
    </row>
    <row r="357" spans="1:10">
      <c r="A357" s="232"/>
      <c r="B357" s="232"/>
      <c r="C357" s="232"/>
      <c r="D357" s="233"/>
      <c r="E357" s="234"/>
      <c r="F357" s="234"/>
      <c r="G357" s="234"/>
      <c r="H357" s="233"/>
      <c r="I357" s="233"/>
      <c r="J357" s="234"/>
    </row>
    <row r="358" spans="1:10">
      <c r="A358" s="232"/>
      <c r="B358" s="232"/>
      <c r="C358" s="232"/>
      <c r="D358" s="233"/>
      <c r="E358" s="234"/>
      <c r="F358" s="234"/>
      <c r="G358" s="234"/>
      <c r="H358" s="233"/>
      <c r="I358" s="233"/>
      <c r="J358" s="234"/>
    </row>
    <row r="359" spans="1:10">
      <c r="A359" s="232"/>
      <c r="B359" s="232"/>
      <c r="C359" s="232"/>
      <c r="D359" s="233"/>
      <c r="E359" s="234"/>
      <c r="F359" s="234"/>
      <c r="G359" s="234"/>
      <c r="H359" s="233"/>
      <c r="I359" s="233"/>
      <c r="J359" s="234"/>
    </row>
    <row r="360" spans="1:10">
      <c r="A360" s="232"/>
      <c r="B360" s="232"/>
      <c r="C360" s="232"/>
      <c r="D360" s="233"/>
      <c r="E360" s="234"/>
      <c r="F360" s="234"/>
      <c r="G360" s="234"/>
      <c r="H360" s="233"/>
      <c r="I360" s="233"/>
      <c r="J360" s="234"/>
    </row>
    <row r="361" spans="1:10">
      <c r="A361" s="232"/>
      <c r="B361" s="232"/>
      <c r="C361" s="232"/>
      <c r="D361" s="233"/>
      <c r="E361" s="234"/>
      <c r="F361" s="234"/>
      <c r="G361" s="234"/>
      <c r="H361" s="233"/>
      <c r="I361" s="233"/>
      <c r="J361" s="234"/>
    </row>
    <row r="362" spans="1:10">
      <c r="A362" s="232"/>
      <c r="B362" s="232"/>
      <c r="C362" s="232"/>
      <c r="D362" s="233"/>
      <c r="E362" s="234"/>
      <c r="F362" s="234"/>
      <c r="G362" s="234"/>
      <c r="H362" s="233"/>
      <c r="I362" s="233"/>
      <c r="J362" s="234"/>
    </row>
    <row r="363" spans="1:10">
      <c r="A363" s="232"/>
      <c r="B363" s="232"/>
      <c r="C363" s="232"/>
      <c r="D363" s="233"/>
      <c r="E363" s="234"/>
      <c r="F363" s="234"/>
      <c r="G363" s="234"/>
      <c r="H363" s="233"/>
      <c r="I363" s="233"/>
      <c r="J363" s="234"/>
    </row>
    <row r="364" spans="1:10">
      <c r="A364" s="232"/>
      <c r="B364" s="232"/>
      <c r="C364" s="232"/>
      <c r="D364" s="233"/>
      <c r="E364" s="234"/>
      <c r="F364" s="234"/>
      <c r="G364" s="234"/>
      <c r="H364" s="233"/>
      <c r="I364" s="233"/>
      <c r="J364" s="234"/>
    </row>
    <row r="365" spans="1:10">
      <c r="A365" s="232"/>
      <c r="B365" s="232"/>
      <c r="C365" s="232"/>
      <c r="D365" s="233"/>
      <c r="E365" s="234"/>
      <c r="F365" s="234"/>
      <c r="G365" s="234"/>
      <c r="H365" s="233"/>
      <c r="I365" s="233"/>
      <c r="J365" s="234"/>
    </row>
    <row r="366" spans="1:10">
      <c r="A366" s="232"/>
      <c r="B366" s="232"/>
      <c r="C366" s="232"/>
      <c r="D366" s="233"/>
      <c r="E366" s="234"/>
      <c r="F366" s="234"/>
      <c r="G366" s="234"/>
      <c r="H366" s="233"/>
      <c r="I366" s="233"/>
      <c r="J366" s="234"/>
    </row>
    <row r="367" spans="1:10">
      <c r="A367" s="232"/>
      <c r="B367" s="232"/>
      <c r="C367" s="232"/>
      <c r="D367" s="233"/>
      <c r="E367" s="234"/>
      <c r="F367" s="234"/>
      <c r="G367" s="234"/>
      <c r="H367" s="233"/>
      <c r="I367" s="233"/>
      <c r="J367" s="234"/>
    </row>
    <row r="368" spans="1:10">
      <c r="A368" s="232"/>
      <c r="B368" s="232"/>
      <c r="C368" s="232"/>
      <c r="D368" s="233"/>
      <c r="E368" s="234"/>
      <c r="F368" s="234"/>
      <c r="G368" s="234"/>
      <c r="H368" s="233"/>
      <c r="I368" s="233"/>
      <c r="J368" s="234"/>
    </row>
    <row r="369" spans="1:10">
      <c r="A369" s="232"/>
      <c r="B369" s="232"/>
      <c r="C369" s="232"/>
      <c r="D369" s="233"/>
      <c r="E369" s="234"/>
      <c r="F369" s="234"/>
      <c r="G369" s="234"/>
      <c r="H369" s="233"/>
      <c r="I369" s="233"/>
      <c r="J369" s="234"/>
    </row>
    <row r="370" spans="1:10">
      <c r="A370" s="232"/>
      <c r="B370" s="232"/>
      <c r="C370" s="232"/>
      <c r="D370" s="233"/>
      <c r="E370" s="234"/>
      <c r="F370" s="234"/>
      <c r="G370" s="234"/>
      <c r="H370" s="233"/>
      <c r="I370" s="233"/>
      <c r="J370" s="234"/>
    </row>
    <row r="371" spans="1:10">
      <c r="A371" s="232"/>
      <c r="B371" s="232"/>
      <c r="C371" s="232"/>
      <c r="D371" s="233"/>
      <c r="E371" s="234"/>
      <c r="F371" s="234"/>
      <c r="G371" s="234"/>
      <c r="H371" s="233"/>
      <c r="I371" s="233"/>
      <c r="J371" s="234"/>
    </row>
    <row r="372" spans="1:10">
      <c r="A372" s="232"/>
      <c r="B372" s="232"/>
      <c r="C372" s="232"/>
      <c r="D372" s="233"/>
      <c r="E372" s="234"/>
      <c r="F372" s="234"/>
      <c r="G372" s="234"/>
      <c r="H372" s="233"/>
      <c r="I372" s="233"/>
      <c r="J372" s="234"/>
    </row>
    <row r="373" spans="1:10">
      <c r="A373" s="232"/>
      <c r="B373" s="232"/>
      <c r="C373" s="232"/>
      <c r="D373" s="233"/>
      <c r="E373" s="234"/>
      <c r="F373" s="234"/>
      <c r="G373" s="234"/>
      <c r="H373" s="233"/>
      <c r="I373" s="233"/>
      <c r="J373" s="234"/>
    </row>
    <row r="374" spans="1:10">
      <c r="A374" s="232"/>
      <c r="B374" s="232"/>
      <c r="C374" s="232"/>
      <c r="D374" s="233"/>
      <c r="E374" s="234"/>
      <c r="F374" s="234"/>
      <c r="G374" s="234"/>
      <c r="H374" s="233"/>
      <c r="I374" s="233"/>
      <c r="J374" s="234"/>
    </row>
    <row r="375" spans="1:10">
      <c r="A375" s="232"/>
      <c r="B375" s="232"/>
      <c r="C375" s="232"/>
      <c r="D375" s="233"/>
      <c r="E375" s="234"/>
      <c r="F375" s="234"/>
      <c r="G375" s="234"/>
      <c r="H375" s="233"/>
      <c r="I375" s="233"/>
      <c r="J375" s="234"/>
    </row>
    <row r="376" spans="1:10">
      <c r="A376" s="232"/>
      <c r="B376" s="232"/>
      <c r="C376" s="232"/>
      <c r="D376" s="233"/>
      <c r="E376" s="234"/>
      <c r="F376" s="234"/>
      <c r="G376" s="234"/>
      <c r="H376" s="233"/>
      <c r="I376" s="233"/>
      <c r="J376" s="234"/>
    </row>
    <row r="377" spans="1:10">
      <c r="A377" s="232"/>
      <c r="B377" s="232"/>
      <c r="C377" s="232"/>
      <c r="D377" s="233"/>
      <c r="E377" s="234"/>
      <c r="F377" s="234"/>
      <c r="G377" s="234"/>
      <c r="H377" s="233"/>
      <c r="I377" s="233"/>
      <c r="J377" s="234"/>
    </row>
    <row r="378" spans="1:10">
      <c r="A378" s="232"/>
      <c r="B378" s="232"/>
      <c r="C378" s="232"/>
      <c r="D378" s="233"/>
      <c r="E378" s="234"/>
      <c r="F378" s="234"/>
      <c r="G378" s="234"/>
      <c r="H378" s="233"/>
      <c r="I378" s="233"/>
      <c r="J378" s="234"/>
    </row>
    <row r="379" spans="1:10">
      <c r="A379" s="232"/>
      <c r="B379" s="232"/>
      <c r="C379" s="232"/>
      <c r="D379" s="233"/>
      <c r="E379" s="234"/>
      <c r="F379" s="234"/>
      <c r="G379" s="234"/>
      <c r="H379" s="233"/>
      <c r="I379" s="233"/>
      <c r="J379" s="234"/>
    </row>
    <row r="380" spans="1:10">
      <c r="A380" s="232"/>
      <c r="B380" s="232"/>
      <c r="C380" s="232"/>
      <c r="D380" s="233"/>
      <c r="E380" s="234"/>
      <c r="F380" s="234"/>
      <c r="G380" s="234"/>
      <c r="H380" s="233"/>
      <c r="I380" s="233"/>
      <c r="J380" s="234"/>
    </row>
    <row r="381" spans="1:10">
      <c r="A381" s="232"/>
      <c r="B381" s="232"/>
      <c r="C381" s="232"/>
      <c r="D381" s="233"/>
      <c r="E381" s="234"/>
      <c r="F381" s="234"/>
      <c r="G381" s="234"/>
      <c r="H381" s="233"/>
      <c r="I381" s="233"/>
      <c r="J381" s="234"/>
    </row>
    <row r="382" spans="1:10">
      <c r="A382" s="232"/>
      <c r="B382" s="232"/>
      <c r="C382" s="232"/>
      <c r="D382" s="233"/>
      <c r="E382" s="234"/>
      <c r="F382" s="234"/>
      <c r="G382" s="234"/>
      <c r="H382" s="233"/>
      <c r="I382" s="233"/>
      <c r="J382" s="234"/>
    </row>
    <row r="383" spans="1:10">
      <c r="A383" s="232"/>
      <c r="B383" s="232"/>
      <c r="C383" s="232"/>
      <c r="D383" s="233"/>
      <c r="E383" s="234"/>
      <c r="F383" s="234"/>
      <c r="G383" s="234"/>
      <c r="H383" s="233"/>
      <c r="I383" s="233"/>
      <c r="J383" s="234"/>
    </row>
    <row r="384" spans="1:10">
      <c r="A384" s="232"/>
      <c r="B384" s="232"/>
      <c r="C384" s="232"/>
      <c r="D384" s="233"/>
      <c r="E384" s="234"/>
      <c r="F384" s="234"/>
      <c r="G384" s="234"/>
      <c r="H384" s="233"/>
      <c r="I384" s="233"/>
      <c r="J384" s="234"/>
    </row>
    <row r="385" spans="1:10">
      <c r="A385" s="232"/>
      <c r="B385" s="232"/>
      <c r="C385" s="232"/>
      <c r="D385" s="233"/>
      <c r="E385" s="234"/>
      <c r="F385" s="234"/>
      <c r="G385" s="234"/>
      <c r="H385" s="233"/>
      <c r="I385" s="233"/>
      <c r="J385" s="234"/>
    </row>
    <row r="386" spans="1:10">
      <c r="A386" s="232"/>
      <c r="B386" s="232"/>
      <c r="C386" s="232"/>
      <c r="D386" s="233"/>
      <c r="E386" s="234"/>
      <c r="F386" s="234"/>
      <c r="G386" s="234"/>
      <c r="H386" s="233"/>
      <c r="I386" s="233"/>
      <c r="J386" s="234"/>
    </row>
    <row r="387" spans="1:10">
      <c r="A387" s="232"/>
      <c r="B387" s="232"/>
      <c r="C387" s="232"/>
      <c r="D387" s="233"/>
      <c r="E387" s="234"/>
      <c r="F387" s="234"/>
      <c r="G387" s="234"/>
      <c r="H387" s="233"/>
      <c r="I387" s="233"/>
      <c r="J387" s="234"/>
    </row>
    <row r="388" spans="1:10">
      <c r="A388" s="232"/>
      <c r="B388" s="232"/>
      <c r="C388" s="232"/>
      <c r="D388" s="233"/>
      <c r="E388" s="234"/>
      <c r="F388" s="234"/>
      <c r="G388" s="234"/>
      <c r="H388" s="233"/>
      <c r="I388" s="233"/>
      <c r="J388" s="234"/>
    </row>
    <row r="389" spans="1:10">
      <c r="A389" s="232"/>
      <c r="B389" s="232"/>
      <c r="C389" s="232"/>
      <c r="D389" s="233"/>
      <c r="E389" s="234"/>
      <c r="F389" s="234"/>
      <c r="G389" s="234"/>
      <c r="H389" s="233"/>
      <c r="I389" s="233"/>
      <c r="J389" s="234"/>
    </row>
    <row r="390" spans="1:10">
      <c r="A390" s="232"/>
      <c r="B390" s="232"/>
      <c r="C390" s="232"/>
      <c r="D390" s="233"/>
      <c r="E390" s="234"/>
      <c r="F390" s="234"/>
      <c r="G390" s="234"/>
      <c r="H390" s="233"/>
      <c r="I390" s="233"/>
      <c r="J390" s="234"/>
    </row>
    <row r="391" spans="1:10">
      <c r="A391" s="232"/>
      <c r="B391" s="232"/>
      <c r="C391" s="232"/>
      <c r="D391" s="233"/>
      <c r="E391" s="234"/>
      <c r="F391" s="234"/>
      <c r="G391" s="234"/>
      <c r="H391" s="233"/>
      <c r="I391" s="233"/>
      <c r="J391" s="234"/>
    </row>
    <row r="392" spans="1:10">
      <c r="A392" s="232"/>
      <c r="B392" s="232"/>
      <c r="C392" s="232"/>
      <c r="D392" s="233"/>
      <c r="E392" s="234"/>
      <c r="F392" s="234"/>
      <c r="G392" s="234"/>
      <c r="H392" s="233"/>
      <c r="I392" s="233"/>
      <c r="J392" s="234"/>
    </row>
    <row r="393" spans="1:10">
      <c r="A393" s="232"/>
      <c r="B393" s="232"/>
      <c r="C393" s="232"/>
      <c r="D393" s="233"/>
      <c r="E393" s="234"/>
      <c r="F393" s="234"/>
      <c r="G393" s="234"/>
      <c r="H393" s="233"/>
      <c r="I393" s="233"/>
      <c r="J393" s="234"/>
    </row>
    <row r="394" spans="1:10">
      <c r="A394" s="232"/>
      <c r="B394" s="232"/>
      <c r="C394" s="232"/>
      <c r="D394" s="233"/>
      <c r="E394" s="234"/>
      <c r="F394" s="234"/>
      <c r="G394" s="234"/>
      <c r="H394" s="233"/>
      <c r="I394" s="233"/>
      <c r="J394" s="234"/>
    </row>
    <row r="395" spans="1:10">
      <c r="A395" s="232"/>
      <c r="B395" s="232"/>
      <c r="C395" s="232"/>
      <c r="D395" s="233"/>
      <c r="E395" s="234"/>
      <c r="F395" s="234"/>
      <c r="G395" s="234"/>
      <c r="H395" s="233"/>
      <c r="I395" s="233"/>
      <c r="J395" s="234"/>
    </row>
    <row r="396" spans="1:10">
      <c r="A396" s="232"/>
      <c r="B396" s="232"/>
      <c r="C396" s="232"/>
      <c r="D396" s="233"/>
      <c r="E396" s="234"/>
      <c r="F396" s="234"/>
      <c r="G396" s="234"/>
      <c r="H396" s="233"/>
      <c r="I396" s="233"/>
      <c r="J396" s="234"/>
    </row>
    <row r="397" spans="1:10">
      <c r="A397" s="232"/>
      <c r="B397" s="232"/>
      <c r="C397" s="232"/>
      <c r="D397" s="233"/>
      <c r="E397" s="234"/>
      <c r="F397" s="234"/>
      <c r="G397" s="234"/>
      <c r="H397" s="233"/>
      <c r="I397" s="233"/>
      <c r="J397" s="234"/>
    </row>
    <row r="398" spans="1:10">
      <c r="A398" s="232"/>
      <c r="B398" s="232"/>
      <c r="C398" s="232"/>
      <c r="D398" s="233"/>
      <c r="E398" s="234"/>
      <c r="F398" s="234"/>
      <c r="G398" s="234"/>
      <c r="H398" s="233"/>
      <c r="I398" s="233"/>
      <c r="J398" s="234"/>
    </row>
    <row r="399" spans="1:10">
      <c r="A399" s="232"/>
      <c r="B399" s="232"/>
      <c r="C399" s="232"/>
      <c r="D399" s="233"/>
      <c r="E399" s="234"/>
      <c r="F399" s="234"/>
      <c r="G399" s="234"/>
      <c r="H399" s="233"/>
      <c r="I399" s="233"/>
      <c r="J399" s="234"/>
    </row>
    <row r="400" spans="1:10">
      <c r="A400" s="232"/>
      <c r="B400" s="232"/>
      <c r="C400" s="232"/>
      <c r="D400" s="233"/>
      <c r="E400" s="234"/>
      <c r="F400" s="234"/>
      <c r="G400" s="234"/>
      <c r="H400" s="233"/>
      <c r="I400" s="233"/>
      <c r="J400" s="234"/>
    </row>
    <row r="401" spans="1:10">
      <c r="A401" s="232"/>
      <c r="B401" s="232"/>
      <c r="C401" s="232"/>
      <c r="D401" s="233"/>
      <c r="E401" s="234"/>
      <c r="F401" s="234"/>
      <c r="G401" s="234"/>
      <c r="H401" s="233"/>
      <c r="I401" s="233"/>
      <c r="J401" s="234"/>
    </row>
    <row r="402" spans="1:10">
      <c r="A402" s="232"/>
      <c r="B402" s="232"/>
      <c r="C402" s="232"/>
      <c r="D402" s="233"/>
      <c r="E402" s="234"/>
      <c r="F402" s="234"/>
      <c r="G402" s="234"/>
      <c r="H402" s="233"/>
      <c r="I402" s="233"/>
      <c r="J402" s="234"/>
    </row>
    <row r="403" spans="1:10">
      <c r="A403" s="232"/>
      <c r="B403" s="232"/>
      <c r="C403" s="232"/>
      <c r="D403" s="233"/>
      <c r="E403" s="234"/>
      <c r="F403" s="234"/>
      <c r="G403" s="234"/>
      <c r="H403" s="233"/>
      <c r="I403" s="233"/>
      <c r="J403" s="234"/>
    </row>
    <row r="404" spans="1:10">
      <c r="A404" s="232"/>
      <c r="B404" s="232"/>
      <c r="C404" s="232"/>
      <c r="D404" s="233"/>
      <c r="E404" s="234"/>
      <c r="F404" s="234"/>
      <c r="G404" s="234"/>
      <c r="H404" s="233"/>
      <c r="I404" s="233"/>
      <c r="J404" s="234"/>
    </row>
    <row r="405" spans="1:10">
      <c r="A405" s="232"/>
      <c r="B405" s="232"/>
      <c r="C405" s="232"/>
      <c r="D405" s="233"/>
      <c r="E405" s="234"/>
      <c r="F405" s="234"/>
      <c r="G405" s="234"/>
      <c r="H405" s="233"/>
      <c r="I405" s="233"/>
      <c r="J405" s="234"/>
    </row>
    <row r="406" spans="1:10">
      <c r="A406" s="232"/>
      <c r="B406" s="232"/>
      <c r="C406" s="232"/>
      <c r="D406" s="233"/>
      <c r="E406" s="234"/>
      <c r="F406" s="234"/>
      <c r="G406" s="234"/>
      <c r="H406" s="233"/>
      <c r="I406" s="233"/>
      <c r="J406" s="234"/>
    </row>
    <row r="407" spans="1:10">
      <c r="A407" s="232"/>
      <c r="B407" s="232"/>
      <c r="C407" s="232"/>
      <c r="D407" s="233"/>
      <c r="E407" s="234"/>
      <c r="F407" s="234"/>
      <c r="G407" s="234"/>
      <c r="H407" s="233"/>
      <c r="I407" s="233"/>
      <c r="J407" s="234"/>
    </row>
    <row r="408" spans="1:10">
      <c r="A408" s="232"/>
      <c r="B408" s="232"/>
      <c r="C408" s="232"/>
      <c r="D408" s="233"/>
      <c r="E408" s="234"/>
      <c r="F408" s="234"/>
      <c r="G408" s="234"/>
      <c r="H408" s="233"/>
      <c r="I408" s="233"/>
      <c r="J408" s="234"/>
    </row>
    <row r="409" spans="1:10">
      <c r="A409" s="232"/>
      <c r="B409" s="232"/>
      <c r="C409" s="232"/>
      <c r="D409" s="233"/>
      <c r="E409" s="234"/>
      <c r="F409" s="234"/>
      <c r="G409" s="234"/>
      <c r="H409" s="233"/>
      <c r="I409" s="233"/>
      <c r="J409" s="234"/>
    </row>
    <row r="410" spans="1:10">
      <c r="A410" s="232"/>
      <c r="B410" s="232"/>
      <c r="C410" s="232"/>
      <c r="D410" s="233"/>
      <c r="E410" s="234"/>
      <c r="F410" s="234"/>
      <c r="G410" s="234"/>
      <c r="H410" s="233"/>
      <c r="I410" s="233"/>
      <c r="J410" s="234"/>
    </row>
    <row r="411" spans="1:10">
      <c r="A411" s="232"/>
      <c r="B411" s="232"/>
      <c r="C411" s="232"/>
      <c r="D411" s="233"/>
      <c r="E411" s="234"/>
      <c r="F411" s="234"/>
      <c r="G411" s="234"/>
      <c r="H411" s="233"/>
      <c r="I411" s="233"/>
      <c r="J411" s="234"/>
    </row>
    <row r="412" spans="1:10">
      <c r="A412" s="232"/>
      <c r="B412" s="232"/>
      <c r="C412" s="232"/>
      <c r="D412" s="233"/>
      <c r="E412" s="234"/>
      <c r="F412" s="234"/>
      <c r="G412" s="234"/>
      <c r="H412" s="233"/>
      <c r="I412" s="233"/>
      <c r="J412" s="234"/>
    </row>
    <row r="413" spans="1:10">
      <c r="A413" s="232"/>
      <c r="B413" s="232"/>
      <c r="C413" s="232"/>
      <c r="D413" s="233"/>
      <c r="E413" s="234"/>
      <c r="F413" s="234"/>
      <c r="G413" s="234"/>
      <c r="H413" s="233"/>
      <c r="I413" s="233"/>
      <c r="J413" s="234"/>
    </row>
    <row r="414" spans="1:10">
      <c r="A414" s="232"/>
      <c r="B414" s="232"/>
      <c r="C414" s="232"/>
      <c r="D414" s="233"/>
      <c r="E414" s="234"/>
      <c r="F414" s="234"/>
      <c r="G414" s="234"/>
      <c r="H414" s="233"/>
      <c r="I414" s="233"/>
      <c r="J414" s="234"/>
    </row>
    <row r="415" spans="1:10">
      <c r="A415" s="232"/>
      <c r="B415" s="232"/>
      <c r="C415" s="232"/>
      <c r="D415" s="233"/>
      <c r="E415" s="234"/>
      <c r="F415" s="234"/>
      <c r="G415" s="234"/>
      <c r="H415" s="233"/>
      <c r="I415" s="233"/>
      <c r="J415" s="234"/>
    </row>
    <row r="416" spans="1:10">
      <c r="A416" s="232"/>
      <c r="B416" s="232"/>
      <c r="C416" s="232"/>
      <c r="D416" s="233"/>
      <c r="E416" s="234"/>
      <c r="F416" s="234"/>
      <c r="G416" s="234"/>
      <c r="H416" s="233"/>
      <c r="I416" s="233"/>
      <c r="J416" s="234"/>
    </row>
    <row r="417" spans="1:10">
      <c r="A417" s="232"/>
      <c r="B417" s="232"/>
      <c r="C417" s="232"/>
      <c r="D417" s="233"/>
      <c r="E417" s="234"/>
      <c r="F417" s="234"/>
      <c r="G417" s="234"/>
      <c r="H417" s="233"/>
      <c r="I417" s="233"/>
      <c r="J417" s="234"/>
    </row>
    <row r="418" spans="1:10">
      <c r="A418" s="232"/>
      <c r="B418" s="232"/>
      <c r="C418" s="232"/>
      <c r="D418" s="233"/>
      <c r="E418" s="234"/>
      <c r="F418" s="234"/>
      <c r="G418" s="234"/>
      <c r="H418" s="233"/>
      <c r="I418" s="233"/>
      <c r="J418" s="234"/>
    </row>
    <row r="419" spans="1:10">
      <c r="A419" s="232"/>
      <c r="B419" s="232"/>
      <c r="C419" s="232"/>
      <c r="D419" s="233"/>
      <c r="E419" s="234"/>
      <c r="F419" s="234"/>
      <c r="G419" s="234"/>
      <c r="H419" s="233"/>
      <c r="I419" s="233"/>
      <c r="J419" s="234"/>
    </row>
    <row r="420" spans="1:10">
      <c r="A420" s="232"/>
      <c r="B420" s="232"/>
      <c r="C420" s="232"/>
      <c r="D420" s="233"/>
      <c r="E420" s="234"/>
      <c r="F420" s="234"/>
      <c r="G420" s="234"/>
      <c r="H420" s="233"/>
      <c r="I420" s="233"/>
      <c r="J420" s="234"/>
    </row>
    <row r="421" spans="1:10">
      <c r="A421" s="232"/>
      <c r="B421" s="232"/>
      <c r="C421" s="232"/>
      <c r="D421" s="233"/>
      <c r="E421" s="234"/>
      <c r="F421" s="234"/>
      <c r="G421" s="234"/>
      <c r="H421" s="233"/>
      <c r="I421" s="233"/>
      <c r="J421" s="234"/>
    </row>
    <row r="422" spans="1:10">
      <c r="A422" s="232"/>
      <c r="B422" s="232"/>
      <c r="C422" s="232"/>
      <c r="D422" s="233"/>
      <c r="E422" s="234"/>
      <c r="F422" s="234"/>
      <c r="G422" s="234"/>
      <c r="H422" s="233"/>
      <c r="I422" s="233"/>
      <c r="J422" s="234"/>
    </row>
    <row r="423" spans="1:10">
      <c r="A423" s="232"/>
      <c r="B423" s="232"/>
      <c r="C423" s="232"/>
      <c r="D423" s="233"/>
      <c r="E423" s="234"/>
      <c r="F423" s="234"/>
      <c r="G423" s="234"/>
      <c r="H423" s="233"/>
      <c r="I423" s="233"/>
      <c r="J423" s="234"/>
    </row>
    <row r="424" spans="1:10">
      <c r="A424" s="232"/>
      <c r="B424" s="232"/>
      <c r="C424" s="232"/>
      <c r="D424" s="233"/>
      <c r="E424" s="234"/>
      <c r="F424" s="234"/>
      <c r="G424" s="234"/>
      <c r="H424" s="233"/>
      <c r="I424" s="233"/>
      <c r="J424" s="234"/>
    </row>
    <row r="425" spans="1:10">
      <c r="A425" s="232"/>
      <c r="B425" s="232"/>
      <c r="C425" s="232"/>
      <c r="D425" s="233"/>
      <c r="E425" s="234"/>
      <c r="F425" s="234"/>
      <c r="G425" s="234"/>
      <c r="H425" s="233"/>
      <c r="I425" s="233"/>
      <c r="J425" s="234"/>
    </row>
    <row r="426" spans="1:10">
      <c r="A426" s="232"/>
      <c r="B426" s="232"/>
      <c r="C426" s="232"/>
      <c r="D426" s="233"/>
      <c r="E426" s="234"/>
      <c r="F426" s="234"/>
      <c r="G426" s="234"/>
      <c r="H426" s="233"/>
      <c r="I426" s="233"/>
      <c r="J426" s="234"/>
    </row>
    <row r="427" spans="1:10">
      <c r="A427" s="232"/>
      <c r="B427" s="232"/>
      <c r="C427" s="232"/>
      <c r="D427" s="233"/>
      <c r="E427" s="234"/>
      <c r="F427" s="234"/>
      <c r="G427" s="234"/>
      <c r="H427" s="233"/>
      <c r="I427" s="233"/>
      <c r="J427" s="234"/>
    </row>
    <row r="428" spans="1:10">
      <c r="A428" s="232"/>
      <c r="B428" s="232"/>
      <c r="C428" s="232"/>
      <c r="D428" s="233"/>
      <c r="E428" s="234"/>
      <c r="F428" s="234"/>
      <c r="G428" s="234"/>
      <c r="H428" s="233"/>
      <c r="I428" s="233"/>
      <c r="J428" s="234"/>
    </row>
    <row r="429" spans="1:10">
      <c r="A429" s="232"/>
      <c r="B429" s="232"/>
      <c r="C429" s="232"/>
      <c r="D429" s="233"/>
      <c r="E429" s="234"/>
      <c r="F429" s="234"/>
      <c r="G429" s="234"/>
      <c r="H429" s="233"/>
      <c r="I429" s="233"/>
      <c r="J429" s="234"/>
    </row>
    <row r="430" spans="1:10">
      <c r="A430" s="232"/>
      <c r="B430" s="232"/>
      <c r="C430" s="232"/>
      <c r="D430" s="233"/>
      <c r="E430" s="234"/>
      <c r="F430" s="234"/>
      <c r="G430" s="234"/>
      <c r="H430" s="233"/>
      <c r="I430" s="233"/>
      <c r="J430" s="234"/>
    </row>
    <row r="431" spans="1:10">
      <c r="A431" s="232"/>
      <c r="B431" s="232"/>
      <c r="C431" s="232"/>
      <c r="D431" s="233"/>
      <c r="E431" s="234"/>
      <c r="F431" s="234"/>
      <c r="G431" s="234"/>
      <c r="H431" s="233"/>
      <c r="I431" s="233"/>
      <c r="J431" s="234"/>
    </row>
    <row r="432" spans="1:10">
      <c r="A432" s="232"/>
      <c r="B432" s="232"/>
      <c r="C432" s="232"/>
      <c r="D432" s="233"/>
      <c r="E432" s="234"/>
      <c r="F432" s="234"/>
      <c r="G432" s="234"/>
      <c r="H432" s="233"/>
      <c r="I432" s="233"/>
      <c r="J432" s="234"/>
    </row>
    <row r="433" spans="1:10">
      <c r="A433" s="232"/>
      <c r="B433" s="232"/>
      <c r="C433" s="232"/>
      <c r="D433" s="233"/>
      <c r="E433" s="234"/>
      <c r="F433" s="234"/>
      <c r="G433" s="234"/>
      <c r="H433" s="233"/>
      <c r="I433" s="233"/>
      <c r="J433" s="234"/>
    </row>
    <row r="434" spans="1:10">
      <c r="A434" s="232"/>
      <c r="B434" s="232"/>
      <c r="C434" s="232"/>
      <c r="D434" s="233"/>
      <c r="E434" s="234"/>
      <c r="F434" s="234"/>
      <c r="G434" s="234"/>
      <c r="H434" s="233"/>
      <c r="I434" s="233"/>
      <c r="J434" s="234"/>
    </row>
    <row r="435" spans="1:10">
      <c r="A435" s="232"/>
      <c r="B435" s="232"/>
      <c r="C435" s="232"/>
      <c r="D435" s="233"/>
      <c r="E435" s="234"/>
      <c r="F435" s="234"/>
      <c r="G435" s="234"/>
      <c r="H435" s="233"/>
      <c r="I435" s="233"/>
      <c r="J435" s="234"/>
    </row>
    <row r="436" spans="1:10">
      <c r="A436" s="232"/>
      <c r="B436" s="232"/>
      <c r="C436" s="232"/>
      <c r="D436" s="233"/>
      <c r="E436" s="234"/>
      <c r="F436" s="234"/>
      <c r="G436" s="234"/>
      <c r="H436" s="233"/>
      <c r="I436" s="233"/>
      <c r="J436" s="234"/>
    </row>
    <row r="437" spans="1:10">
      <c r="A437" s="232"/>
      <c r="B437" s="232"/>
      <c r="C437" s="232"/>
      <c r="D437" s="233"/>
      <c r="E437" s="234"/>
      <c r="F437" s="234"/>
      <c r="G437" s="234"/>
      <c r="H437" s="233"/>
      <c r="I437" s="233"/>
      <c r="J437" s="234"/>
    </row>
    <row r="438" spans="1:10">
      <c r="A438" s="232"/>
      <c r="B438" s="232"/>
      <c r="C438" s="232"/>
      <c r="D438" s="233"/>
      <c r="E438" s="234"/>
      <c r="F438" s="234"/>
      <c r="G438" s="234"/>
      <c r="H438" s="233"/>
      <c r="I438" s="233"/>
      <c r="J438" s="234"/>
    </row>
    <row r="439" spans="1:10">
      <c r="A439" s="232"/>
      <c r="B439" s="232"/>
      <c r="C439" s="232"/>
      <c r="D439" s="233"/>
      <c r="E439" s="234"/>
      <c r="F439" s="234"/>
      <c r="G439" s="234"/>
      <c r="H439" s="233"/>
      <c r="I439" s="233"/>
      <c r="J439" s="234"/>
    </row>
    <row r="440" spans="1:10">
      <c r="A440" s="232"/>
      <c r="B440" s="232"/>
      <c r="C440" s="232"/>
      <c r="D440" s="233"/>
      <c r="E440" s="234"/>
      <c r="F440" s="234"/>
      <c r="G440" s="234"/>
      <c r="H440" s="233"/>
      <c r="I440" s="233"/>
      <c r="J440" s="234"/>
    </row>
    <row r="441" spans="1:10">
      <c r="A441" s="232"/>
      <c r="B441" s="232"/>
      <c r="C441" s="232"/>
      <c r="D441" s="233"/>
      <c r="E441" s="234"/>
      <c r="F441" s="234"/>
      <c r="G441" s="234"/>
      <c r="H441" s="233"/>
      <c r="I441" s="233"/>
      <c r="J441" s="234"/>
    </row>
    <row r="442" spans="1:10">
      <c r="A442" s="232"/>
      <c r="B442" s="232"/>
      <c r="C442" s="232"/>
      <c r="D442" s="233"/>
      <c r="E442" s="234"/>
      <c r="F442" s="234"/>
      <c r="G442" s="234"/>
      <c r="H442" s="233"/>
      <c r="I442" s="233"/>
      <c r="J442" s="234"/>
    </row>
    <row r="443" spans="1:10">
      <c r="A443" s="232"/>
      <c r="B443" s="232"/>
      <c r="C443" s="232"/>
      <c r="D443" s="233"/>
      <c r="E443" s="234"/>
      <c r="F443" s="234"/>
      <c r="G443" s="234"/>
      <c r="H443" s="233"/>
      <c r="I443" s="233"/>
      <c r="J443" s="234"/>
    </row>
    <row r="444" spans="1:10">
      <c r="A444" s="232"/>
      <c r="B444" s="232"/>
      <c r="C444" s="232"/>
      <c r="D444" s="233"/>
      <c r="E444" s="234"/>
      <c r="F444" s="234"/>
      <c r="G444" s="234"/>
      <c r="H444" s="233"/>
      <c r="I444" s="233"/>
      <c r="J444" s="234"/>
    </row>
    <row r="445" spans="1:10">
      <c r="A445" s="232"/>
      <c r="B445" s="232"/>
      <c r="C445" s="232"/>
      <c r="D445" s="233"/>
      <c r="E445" s="234"/>
      <c r="F445" s="234"/>
      <c r="G445" s="234"/>
      <c r="H445" s="233"/>
      <c r="I445" s="233"/>
      <c r="J445" s="234"/>
    </row>
    <row r="446" spans="1:10">
      <c r="A446" s="232"/>
      <c r="B446" s="232"/>
      <c r="C446" s="232"/>
      <c r="D446" s="233"/>
      <c r="E446" s="234"/>
      <c r="F446" s="234"/>
      <c r="G446" s="234"/>
      <c r="H446" s="233"/>
      <c r="I446" s="233"/>
      <c r="J446" s="234"/>
    </row>
    <row r="447" spans="1:10">
      <c r="A447" s="232"/>
      <c r="B447" s="232"/>
      <c r="C447" s="232"/>
      <c r="D447" s="233"/>
      <c r="E447" s="234"/>
      <c r="F447" s="234"/>
      <c r="G447" s="234"/>
      <c r="H447" s="233"/>
      <c r="I447" s="233"/>
      <c r="J447" s="234"/>
    </row>
    <row r="448" spans="1:10">
      <c r="A448" s="232"/>
      <c r="B448" s="232"/>
      <c r="C448" s="232"/>
      <c r="D448" s="233"/>
      <c r="E448" s="234"/>
      <c r="F448" s="234"/>
      <c r="G448" s="234"/>
      <c r="H448" s="233"/>
      <c r="I448" s="233"/>
      <c r="J448" s="234"/>
    </row>
    <row r="449" spans="1:10">
      <c r="A449" s="232"/>
      <c r="B449" s="232"/>
      <c r="C449" s="232"/>
      <c r="D449" s="233"/>
      <c r="E449" s="234"/>
      <c r="F449" s="234"/>
      <c r="G449" s="234"/>
      <c r="H449" s="233"/>
      <c r="I449" s="233"/>
      <c r="J449" s="234"/>
    </row>
    <row r="450" spans="1:10">
      <c r="A450" s="232"/>
      <c r="B450" s="232"/>
      <c r="C450" s="232"/>
      <c r="D450" s="233"/>
      <c r="E450" s="234"/>
      <c r="F450" s="234"/>
      <c r="G450" s="234"/>
      <c r="H450" s="233"/>
      <c r="I450" s="233"/>
      <c r="J450" s="234"/>
    </row>
    <row r="451" spans="1:10">
      <c r="A451" s="232"/>
      <c r="B451" s="232"/>
      <c r="C451" s="232"/>
      <c r="D451" s="233"/>
      <c r="E451" s="234"/>
      <c r="F451" s="234"/>
      <c r="G451" s="234"/>
      <c r="H451" s="233"/>
      <c r="I451" s="233"/>
      <c r="J451" s="234"/>
    </row>
    <row r="452" spans="1:10">
      <c r="A452" s="232"/>
      <c r="B452" s="232"/>
      <c r="C452" s="232"/>
      <c r="D452" s="233"/>
      <c r="E452" s="234"/>
      <c r="F452" s="234"/>
      <c r="G452" s="234"/>
      <c r="H452" s="233"/>
      <c r="I452" s="233"/>
      <c r="J452" s="234"/>
    </row>
    <row r="453" spans="1:10">
      <c r="A453" s="232"/>
      <c r="B453" s="232"/>
      <c r="C453" s="232"/>
      <c r="D453" s="233"/>
      <c r="E453" s="234"/>
      <c r="F453" s="234"/>
      <c r="G453" s="234"/>
      <c r="H453" s="233"/>
      <c r="I453" s="233"/>
      <c r="J453" s="234"/>
    </row>
    <row r="454" spans="1:10">
      <c r="A454" s="232"/>
      <c r="B454" s="232"/>
      <c r="C454" s="232"/>
      <c r="D454" s="233"/>
      <c r="E454" s="234"/>
      <c r="F454" s="234"/>
      <c r="G454" s="234"/>
      <c r="H454" s="233"/>
      <c r="I454" s="233"/>
      <c r="J454" s="234"/>
    </row>
    <row r="455" spans="1:10">
      <c r="A455" s="232"/>
      <c r="B455" s="232"/>
      <c r="C455" s="232"/>
      <c r="D455" s="233"/>
      <c r="E455" s="234"/>
      <c r="F455" s="234"/>
      <c r="G455" s="234"/>
      <c r="H455" s="233"/>
      <c r="I455" s="233"/>
      <c r="J455" s="234"/>
    </row>
    <row r="456" spans="1:10">
      <c r="A456" s="232"/>
      <c r="B456" s="232"/>
      <c r="C456" s="232"/>
      <c r="D456" s="233"/>
      <c r="E456" s="234"/>
      <c r="F456" s="234"/>
      <c r="G456" s="234"/>
      <c r="H456" s="233"/>
      <c r="I456" s="233"/>
      <c r="J456" s="234"/>
    </row>
    <row r="457" spans="1:10">
      <c r="A457" s="232"/>
      <c r="B457" s="232"/>
      <c r="C457" s="232"/>
      <c r="D457" s="233"/>
      <c r="E457" s="234"/>
      <c r="F457" s="234"/>
      <c r="G457" s="234"/>
      <c r="H457" s="233"/>
      <c r="I457" s="233"/>
      <c r="J457" s="234"/>
    </row>
    <row r="458" spans="1:10">
      <c r="A458" s="232"/>
      <c r="B458" s="232"/>
      <c r="C458" s="232"/>
      <c r="D458" s="233"/>
      <c r="E458" s="234"/>
      <c r="F458" s="234"/>
      <c r="G458" s="234"/>
      <c r="H458" s="233"/>
      <c r="I458" s="233"/>
      <c r="J458" s="234"/>
    </row>
    <row r="459" spans="1:10">
      <c r="A459" s="232"/>
      <c r="B459" s="232"/>
      <c r="C459" s="232"/>
      <c r="D459" s="233"/>
      <c r="E459" s="234"/>
      <c r="F459" s="234"/>
      <c r="G459" s="234"/>
      <c r="H459" s="233"/>
      <c r="I459" s="233"/>
      <c r="J459" s="234"/>
    </row>
    <row r="460" spans="1:10">
      <c r="A460" s="232"/>
      <c r="B460" s="232"/>
      <c r="C460" s="232"/>
      <c r="D460" s="233"/>
      <c r="E460" s="234"/>
      <c r="F460" s="234"/>
      <c r="G460" s="234"/>
      <c r="H460" s="233"/>
      <c r="I460" s="233"/>
      <c r="J460" s="234"/>
    </row>
    <row r="461" spans="1:10">
      <c r="A461" s="232"/>
      <c r="B461" s="232"/>
      <c r="C461" s="232"/>
      <c r="D461" s="233"/>
      <c r="E461" s="234"/>
      <c r="F461" s="234"/>
      <c r="G461" s="234"/>
      <c r="H461" s="233"/>
      <c r="I461" s="233"/>
      <c r="J461" s="234"/>
    </row>
    <row r="462" spans="1:10">
      <c r="A462" s="232"/>
      <c r="B462" s="232"/>
      <c r="C462" s="232"/>
      <c r="D462" s="233"/>
      <c r="E462" s="234"/>
      <c r="F462" s="234"/>
      <c r="G462" s="234"/>
      <c r="H462" s="233"/>
      <c r="I462" s="233"/>
      <c r="J462" s="234"/>
    </row>
    <row r="463" spans="1:10">
      <c r="A463" s="232"/>
      <c r="B463" s="232"/>
      <c r="C463" s="232"/>
      <c r="D463" s="233"/>
      <c r="E463" s="234"/>
      <c r="F463" s="234"/>
      <c r="G463" s="234"/>
      <c r="H463" s="233"/>
      <c r="I463" s="233"/>
      <c r="J463" s="234"/>
    </row>
    <row r="464" spans="1:10">
      <c r="A464" s="232"/>
      <c r="B464" s="232"/>
      <c r="C464" s="232"/>
      <c r="D464" s="233"/>
      <c r="E464" s="234"/>
      <c r="F464" s="234"/>
      <c r="G464" s="234"/>
      <c r="H464" s="233"/>
      <c r="I464" s="233"/>
      <c r="J464" s="234"/>
    </row>
    <row r="465" spans="1:10">
      <c r="A465" s="232"/>
      <c r="B465" s="232"/>
      <c r="C465" s="232"/>
      <c r="D465" s="233"/>
      <c r="E465" s="234"/>
      <c r="F465" s="234"/>
      <c r="G465" s="234"/>
      <c r="H465" s="233"/>
      <c r="I465" s="233"/>
      <c r="J465" s="234"/>
    </row>
    <row r="466" spans="1:10">
      <c r="A466" s="232"/>
      <c r="B466" s="232"/>
      <c r="C466" s="232"/>
      <c r="D466" s="233"/>
      <c r="E466" s="234"/>
      <c r="F466" s="234"/>
      <c r="G466" s="234"/>
      <c r="H466" s="233"/>
      <c r="I466" s="233"/>
      <c r="J466" s="234"/>
    </row>
    <row r="467" spans="1:10">
      <c r="A467" s="232"/>
      <c r="B467" s="232"/>
      <c r="C467" s="232"/>
      <c r="D467" s="233"/>
      <c r="E467" s="234"/>
      <c r="F467" s="234"/>
      <c r="G467" s="234"/>
      <c r="H467" s="233"/>
      <c r="I467" s="233"/>
      <c r="J467" s="234"/>
    </row>
    <row r="468" spans="1:10">
      <c r="A468" s="232"/>
      <c r="B468" s="232"/>
      <c r="C468" s="232"/>
      <c r="D468" s="233"/>
      <c r="E468" s="234"/>
      <c r="F468" s="234"/>
      <c r="G468" s="234"/>
      <c r="H468" s="233"/>
      <c r="I468" s="233"/>
      <c r="J468" s="234"/>
    </row>
    <row r="469" spans="1:10">
      <c r="A469" s="232"/>
      <c r="B469" s="232"/>
      <c r="C469" s="232"/>
      <c r="D469" s="233"/>
      <c r="E469" s="234"/>
      <c r="F469" s="234"/>
      <c r="G469" s="234"/>
      <c r="H469" s="233"/>
      <c r="I469" s="233"/>
      <c r="J469" s="234"/>
    </row>
    <row r="470" spans="1:10">
      <c r="A470" s="232"/>
      <c r="B470" s="232"/>
      <c r="C470" s="232"/>
      <c r="D470" s="233"/>
      <c r="E470" s="234"/>
      <c r="F470" s="234"/>
      <c r="G470" s="234"/>
      <c r="H470" s="233"/>
      <c r="I470" s="233"/>
      <c r="J470" s="234"/>
    </row>
    <row r="471" spans="1:10">
      <c r="A471" s="232"/>
      <c r="B471" s="232"/>
      <c r="C471" s="232"/>
      <c r="D471" s="233"/>
      <c r="E471" s="234"/>
      <c r="F471" s="234"/>
      <c r="G471" s="234"/>
      <c r="H471" s="233"/>
      <c r="I471" s="233"/>
      <c r="J471" s="234"/>
    </row>
    <row r="472" spans="1:10">
      <c r="A472" s="232"/>
      <c r="B472" s="232"/>
      <c r="C472" s="232"/>
      <c r="D472" s="233"/>
      <c r="E472" s="234"/>
      <c r="F472" s="234"/>
      <c r="G472" s="234"/>
      <c r="H472" s="233"/>
      <c r="I472" s="233"/>
      <c r="J472" s="234"/>
    </row>
    <row r="473" spans="1:10">
      <c r="A473" s="232"/>
      <c r="B473" s="232"/>
      <c r="C473" s="232"/>
      <c r="D473" s="233"/>
      <c r="E473" s="234"/>
      <c r="F473" s="234"/>
      <c r="G473" s="234"/>
      <c r="H473" s="233"/>
      <c r="I473" s="233"/>
      <c r="J473" s="234"/>
    </row>
    <row r="474" spans="1:10">
      <c r="A474" s="232"/>
      <c r="B474" s="232"/>
      <c r="C474" s="232"/>
      <c r="D474" s="233"/>
      <c r="E474" s="234"/>
      <c r="F474" s="234"/>
      <c r="G474" s="234"/>
      <c r="H474" s="233"/>
      <c r="I474" s="233"/>
      <c r="J474" s="234"/>
    </row>
    <row r="475" spans="1:10">
      <c r="A475" s="232"/>
      <c r="B475" s="232"/>
      <c r="C475" s="232"/>
      <c r="D475" s="233"/>
      <c r="E475" s="234"/>
      <c r="F475" s="234"/>
      <c r="G475" s="234"/>
      <c r="H475" s="233"/>
      <c r="I475" s="233"/>
      <c r="J475" s="234"/>
    </row>
    <row r="476" spans="1:10">
      <c r="A476" s="232"/>
      <c r="B476" s="232"/>
      <c r="C476" s="232"/>
      <c r="D476" s="233"/>
      <c r="E476" s="234"/>
      <c r="F476" s="234"/>
      <c r="G476" s="234"/>
      <c r="H476" s="233"/>
      <c r="I476" s="233"/>
      <c r="J476" s="234"/>
    </row>
    <row r="477" spans="1:10">
      <c r="A477" s="232"/>
      <c r="B477" s="232"/>
      <c r="C477" s="232"/>
      <c r="D477" s="233"/>
      <c r="E477" s="234"/>
      <c r="F477" s="234"/>
      <c r="G477" s="234"/>
      <c r="H477" s="233"/>
      <c r="I477" s="233"/>
      <c r="J477" s="234"/>
    </row>
    <row r="478" spans="1:10">
      <c r="A478" s="232"/>
      <c r="B478" s="232"/>
      <c r="C478" s="232"/>
      <c r="D478" s="233"/>
      <c r="E478" s="234"/>
      <c r="F478" s="234"/>
      <c r="G478" s="234"/>
      <c r="H478" s="233"/>
      <c r="I478" s="233"/>
      <c r="J478" s="234"/>
    </row>
    <row r="479" spans="1:10">
      <c r="A479" s="232"/>
      <c r="B479" s="232"/>
      <c r="C479" s="232"/>
      <c r="D479" s="233"/>
      <c r="E479" s="234"/>
      <c r="F479" s="234"/>
      <c r="G479" s="234"/>
      <c r="H479" s="233"/>
      <c r="I479" s="233"/>
      <c r="J479" s="234"/>
    </row>
    <row r="480" spans="1:10">
      <c r="A480" s="232"/>
      <c r="B480" s="232"/>
      <c r="C480" s="232"/>
      <c r="D480" s="233"/>
      <c r="E480" s="234"/>
      <c r="F480" s="234"/>
      <c r="G480" s="234"/>
      <c r="H480" s="233"/>
      <c r="I480" s="233"/>
      <c r="J480" s="234"/>
    </row>
    <row r="481" spans="1:10">
      <c r="A481" s="232"/>
      <c r="B481" s="232"/>
      <c r="C481" s="232"/>
      <c r="D481" s="233"/>
      <c r="E481" s="234"/>
      <c r="F481" s="234"/>
      <c r="G481" s="234"/>
      <c r="H481" s="233"/>
      <c r="I481" s="233"/>
      <c r="J481" s="234"/>
    </row>
    <row r="482" spans="1:10">
      <c r="A482" s="232"/>
      <c r="B482" s="232"/>
      <c r="C482" s="232"/>
      <c r="D482" s="233"/>
      <c r="E482" s="234"/>
      <c r="F482" s="234"/>
      <c r="G482" s="234"/>
      <c r="H482" s="233"/>
      <c r="I482" s="233"/>
      <c r="J482" s="234"/>
    </row>
    <row r="483" spans="1:10">
      <c r="A483" s="232"/>
      <c r="B483" s="232"/>
      <c r="C483" s="232"/>
      <c r="D483" s="233"/>
      <c r="E483" s="234"/>
      <c r="F483" s="234"/>
      <c r="G483" s="234"/>
      <c r="H483" s="233"/>
      <c r="I483" s="233"/>
      <c r="J483" s="234"/>
    </row>
    <row r="484" spans="1:10">
      <c r="A484" s="232"/>
      <c r="B484" s="232"/>
      <c r="C484" s="232"/>
      <c r="D484" s="233"/>
      <c r="E484" s="234"/>
      <c r="F484" s="234"/>
      <c r="G484" s="234"/>
      <c r="H484" s="233"/>
      <c r="I484" s="233"/>
      <c r="J484" s="234"/>
    </row>
    <row r="485" spans="1:10">
      <c r="A485" s="232"/>
      <c r="B485" s="232"/>
      <c r="C485" s="232"/>
      <c r="D485" s="233"/>
      <c r="E485" s="234"/>
      <c r="F485" s="234"/>
      <c r="G485" s="234"/>
      <c r="H485" s="233"/>
      <c r="I485" s="233"/>
      <c r="J485" s="234"/>
    </row>
    <row r="486" spans="1:10">
      <c r="A486" s="232"/>
      <c r="B486" s="232"/>
      <c r="C486" s="232"/>
      <c r="D486" s="233"/>
      <c r="E486" s="234"/>
      <c r="F486" s="234"/>
      <c r="G486" s="234"/>
      <c r="H486" s="233"/>
      <c r="I486" s="233"/>
      <c r="J486" s="234"/>
    </row>
    <row r="487" spans="1:10">
      <c r="A487" s="232"/>
      <c r="B487" s="232"/>
      <c r="C487" s="232"/>
      <c r="D487" s="233"/>
      <c r="E487" s="234"/>
      <c r="F487" s="234"/>
      <c r="G487" s="234"/>
      <c r="H487" s="233"/>
      <c r="I487" s="233"/>
      <c r="J487" s="234"/>
    </row>
    <row r="488" spans="1:10">
      <c r="A488" s="232"/>
      <c r="B488" s="232"/>
      <c r="C488" s="232"/>
      <c r="D488" s="233"/>
      <c r="E488" s="234"/>
      <c r="F488" s="234"/>
      <c r="G488" s="234"/>
      <c r="H488" s="233"/>
      <c r="I488" s="233"/>
      <c r="J488" s="234"/>
    </row>
    <row r="489" spans="1:10">
      <c r="A489" s="232"/>
      <c r="B489" s="232"/>
      <c r="C489" s="232"/>
      <c r="D489" s="233"/>
      <c r="E489" s="234"/>
      <c r="F489" s="234"/>
      <c r="G489" s="234"/>
      <c r="H489" s="233"/>
      <c r="I489" s="233"/>
      <c r="J489" s="234"/>
    </row>
    <row r="490" spans="1:10">
      <c r="A490" s="232"/>
      <c r="B490" s="232"/>
      <c r="C490" s="232"/>
      <c r="D490" s="233"/>
      <c r="E490" s="234"/>
      <c r="F490" s="234"/>
      <c r="G490" s="234"/>
      <c r="H490" s="233"/>
      <c r="I490" s="233"/>
      <c r="J490" s="234"/>
    </row>
    <row r="491" spans="1:10">
      <c r="A491" s="232"/>
      <c r="B491" s="232"/>
      <c r="C491" s="232"/>
      <c r="D491" s="233"/>
      <c r="E491" s="234"/>
      <c r="F491" s="234"/>
      <c r="G491" s="234"/>
      <c r="H491" s="233"/>
      <c r="I491" s="233"/>
      <c r="J491" s="234"/>
    </row>
    <row r="492" spans="1:10">
      <c r="A492" s="232"/>
      <c r="B492" s="232"/>
      <c r="C492" s="232"/>
      <c r="D492" s="233"/>
      <c r="E492" s="234"/>
      <c r="F492" s="234"/>
      <c r="G492" s="234"/>
      <c r="H492" s="233"/>
      <c r="I492" s="233"/>
      <c r="J492" s="234"/>
    </row>
    <row r="493" spans="1:10">
      <c r="A493" s="232"/>
      <c r="B493" s="232"/>
      <c r="C493" s="232"/>
      <c r="D493" s="233"/>
      <c r="E493" s="234"/>
      <c r="F493" s="234"/>
      <c r="G493" s="234"/>
      <c r="H493" s="233"/>
      <c r="I493" s="233"/>
      <c r="J493" s="234"/>
    </row>
    <row r="494" spans="1:10">
      <c r="A494" s="232"/>
      <c r="B494" s="232"/>
      <c r="C494" s="232"/>
      <c r="D494" s="233"/>
      <c r="E494" s="234"/>
      <c r="F494" s="234"/>
      <c r="G494" s="234"/>
      <c r="H494" s="233"/>
      <c r="I494" s="233"/>
      <c r="J494" s="234"/>
    </row>
    <row r="495" spans="1:10">
      <c r="A495" s="232"/>
      <c r="B495" s="232"/>
      <c r="C495" s="232"/>
      <c r="D495" s="233"/>
      <c r="E495" s="234"/>
      <c r="F495" s="234"/>
      <c r="G495" s="234"/>
      <c r="H495" s="233"/>
      <c r="I495" s="233"/>
      <c r="J495" s="234"/>
    </row>
    <row r="496" spans="1:10">
      <c r="A496" s="232"/>
      <c r="B496" s="232"/>
      <c r="C496" s="232"/>
      <c r="D496" s="233"/>
      <c r="E496" s="234"/>
      <c r="F496" s="234"/>
      <c r="G496" s="234"/>
      <c r="H496" s="233"/>
      <c r="I496" s="233"/>
      <c r="J496" s="234"/>
    </row>
    <row r="497" spans="1:10">
      <c r="A497" s="232"/>
      <c r="B497" s="232"/>
      <c r="C497" s="232"/>
      <c r="D497" s="233"/>
      <c r="E497" s="234"/>
      <c r="F497" s="234"/>
      <c r="G497" s="234"/>
      <c r="H497" s="233"/>
      <c r="I497" s="233"/>
      <c r="J497" s="234"/>
    </row>
    <row r="498" spans="1:10">
      <c r="A498" s="232"/>
      <c r="B498" s="232"/>
      <c r="C498" s="232"/>
      <c r="D498" s="233"/>
      <c r="E498" s="234"/>
      <c r="F498" s="234"/>
      <c r="G498" s="234"/>
      <c r="H498" s="233"/>
      <c r="I498" s="233"/>
      <c r="J498" s="234"/>
    </row>
    <row r="499" spans="1:10">
      <c r="A499" s="232"/>
      <c r="B499" s="232"/>
      <c r="C499" s="232"/>
      <c r="D499" s="233"/>
      <c r="E499" s="234"/>
      <c r="F499" s="234"/>
      <c r="G499" s="234"/>
      <c r="H499" s="233"/>
      <c r="I499" s="233"/>
      <c r="J499" s="234"/>
    </row>
    <row r="500" spans="1:10">
      <c r="A500" s="232"/>
      <c r="B500" s="232"/>
      <c r="C500" s="232"/>
      <c r="D500" s="233"/>
      <c r="E500" s="234"/>
      <c r="F500" s="234"/>
      <c r="G500" s="234"/>
      <c r="H500" s="233"/>
      <c r="I500" s="233"/>
      <c r="J500" s="234"/>
    </row>
    <row r="501" spans="1:10">
      <c r="A501" s="232"/>
      <c r="B501" s="232"/>
      <c r="C501" s="232"/>
      <c r="D501" s="233"/>
      <c r="E501" s="234"/>
      <c r="F501" s="234"/>
      <c r="G501" s="234"/>
      <c r="H501" s="233"/>
      <c r="I501" s="233"/>
      <c r="J501" s="234"/>
    </row>
    <row r="502" spans="1:10">
      <c r="A502" s="232"/>
      <c r="B502" s="232"/>
      <c r="C502" s="232"/>
      <c r="D502" s="233"/>
      <c r="E502" s="234"/>
      <c r="F502" s="234"/>
      <c r="G502" s="234"/>
      <c r="H502" s="233"/>
      <c r="I502" s="233"/>
      <c r="J502" s="234"/>
    </row>
    <row r="503" spans="1:10">
      <c r="A503" s="232"/>
      <c r="B503" s="232"/>
      <c r="C503" s="232"/>
      <c r="D503" s="233"/>
      <c r="E503" s="234"/>
      <c r="F503" s="234"/>
      <c r="G503" s="234"/>
      <c r="H503" s="233"/>
      <c r="I503" s="233"/>
      <c r="J503" s="234"/>
    </row>
    <row r="504" spans="1:10">
      <c r="A504" s="232"/>
      <c r="B504" s="232"/>
      <c r="C504" s="232"/>
      <c r="D504" s="233"/>
      <c r="E504" s="234"/>
      <c r="F504" s="234"/>
      <c r="G504" s="234"/>
      <c r="H504" s="233"/>
      <c r="I504" s="233"/>
      <c r="J504" s="234"/>
    </row>
    <row r="505" spans="1:10">
      <c r="A505" s="232"/>
      <c r="B505" s="232"/>
      <c r="C505" s="232"/>
      <c r="D505" s="233"/>
      <c r="E505" s="234"/>
      <c r="F505" s="234"/>
      <c r="G505" s="234"/>
      <c r="H505" s="233"/>
      <c r="I505" s="233"/>
      <c r="J505" s="234"/>
    </row>
    <row r="506" spans="1:10">
      <c r="A506" s="232"/>
      <c r="B506" s="232"/>
      <c r="C506" s="232"/>
      <c r="D506" s="233"/>
      <c r="E506" s="234"/>
      <c r="F506" s="234"/>
      <c r="G506" s="234"/>
      <c r="H506" s="233"/>
      <c r="I506" s="233"/>
      <c r="J506" s="234"/>
    </row>
    <row r="507" spans="1:10">
      <c r="A507" s="232"/>
      <c r="B507" s="232"/>
      <c r="C507" s="232"/>
      <c r="D507" s="233"/>
      <c r="E507" s="234"/>
      <c r="F507" s="234"/>
      <c r="G507" s="234"/>
      <c r="H507" s="233"/>
      <c r="I507" s="233"/>
      <c r="J507" s="234"/>
    </row>
    <row r="508" spans="1:10">
      <c r="A508" s="232"/>
      <c r="B508" s="232"/>
      <c r="C508" s="232"/>
      <c r="D508" s="233"/>
      <c r="E508" s="234"/>
      <c r="F508" s="234"/>
      <c r="G508" s="234"/>
      <c r="H508" s="233"/>
      <c r="I508" s="233"/>
      <c r="J508" s="234"/>
    </row>
    <row r="509" spans="1:10">
      <c r="A509" s="232"/>
      <c r="B509" s="232"/>
      <c r="C509" s="232"/>
      <c r="D509" s="233"/>
      <c r="E509" s="234"/>
      <c r="F509" s="234"/>
      <c r="G509" s="234"/>
      <c r="H509" s="233"/>
      <c r="I509" s="233"/>
      <c r="J509" s="234"/>
    </row>
    <row r="510" spans="1:10">
      <c r="A510" s="232"/>
      <c r="B510" s="232"/>
      <c r="C510" s="232"/>
      <c r="D510" s="233"/>
      <c r="E510" s="234"/>
      <c r="F510" s="234"/>
      <c r="G510" s="234"/>
      <c r="H510" s="233"/>
      <c r="I510" s="233"/>
      <c r="J510" s="234"/>
    </row>
    <row r="511" spans="1:10">
      <c r="A511" s="232"/>
      <c r="B511" s="232"/>
      <c r="C511" s="232"/>
      <c r="D511" s="233"/>
      <c r="E511" s="234"/>
      <c r="F511" s="234"/>
      <c r="G511" s="234"/>
      <c r="H511" s="233"/>
      <c r="I511" s="233"/>
      <c r="J511" s="234"/>
    </row>
    <row r="512" spans="1:10">
      <c r="A512" s="232"/>
      <c r="B512" s="232"/>
      <c r="C512" s="232"/>
      <c r="D512" s="233"/>
      <c r="E512" s="234"/>
      <c r="F512" s="234"/>
      <c r="G512" s="234"/>
      <c r="H512" s="233"/>
      <c r="I512" s="233"/>
      <c r="J512" s="234"/>
    </row>
    <row r="513" spans="1:10">
      <c r="A513" s="232"/>
      <c r="B513" s="232"/>
      <c r="C513" s="232"/>
      <c r="D513" s="233"/>
      <c r="E513" s="234"/>
      <c r="F513" s="234"/>
      <c r="G513" s="234"/>
      <c r="H513" s="233"/>
      <c r="I513" s="233"/>
      <c r="J513" s="234"/>
    </row>
    <row r="514" spans="1:10">
      <c r="A514" s="232"/>
      <c r="B514" s="232"/>
      <c r="C514" s="232"/>
      <c r="D514" s="233"/>
      <c r="E514" s="234"/>
      <c r="F514" s="234"/>
      <c r="G514" s="234"/>
      <c r="H514" s="233"/>
      <c r="I514" s="233"/>
      <c r="J514" s="234"/>
    </row>
    <row r="515" spans="1:10">
      <c r="A515" s="232"/>
      <c r="B515" s="232"/>
      <c r="C515" s="232"/>
      <c r="D515" s="233"/>
      <c r="E515" s="234"/>
      <c r="F515" s="234"/>
      <c r="G515" s="234"/>
      <c r="H515" s="233"/>
      <c r="I515" s="233"/>
      <c r="J515" s="234"/>
    </row>
    <row r="516" spans="1:10">
      <c r="A516" s="232"/>
      <c r="B516" s="232"/>
      <c r="C516" s="232"/>
      <c r="D516" s="233"/>
      <c r="E516" s="234"/>
      <c r="F516" s="234"/>
      <c r="G516" s="234"/>
      <c r="H516" s="233"/>
      <c r="I516" s="233"/>
      <c r="J516" s="234"/>
    </row>
    <row r="517" spans="1:10">
      <c r="A517" s="232"/>
      <c r="B517" s="232"/>
      <c r="C517" s="232"/>
      <c r="D517" s="233"/>
      <c r="E517" s="234"/>
      <c r="F517" s="234"/>
      <c r="G517" s="234"/>
      <c r="H517" s="233"/>
      <c r="I517" s="233"/>
      <c r="J517" s="234"/>
    </row>
    <row r="518" spans="1:10">
      <c r="A518" s="232"/>
      <c r="B518" s="232"/>
      <c r="C518" s="232"/>
      <c r="D518" s="233"/>
      <c r="E518" s="234"/>
      <c r="F518" s="234"/>
      <c r="G518" s="234"/>
      <c r="H518" s="233"/>
      <c r="I518" s="233"/>
      <c r="J518" s="234"/>
    </row>
    <row r="519" spans="1:10">
      <c r="A519" s="232"/>
      <c r="B519" s="232"/>
      <c r="C519" s="232"/>
      <c r="D519" s="233"/>
      <c r="E519" s="234"/>
      <c r="F519" s="234"/>
      <c r="G519" s="234"/>
      <c r="H519" s="233"/>
      <c r="I519" s="233"/>
      <c r="J519" s="234"/>
    </row>
    <row r="520" spans="1:10">
      <c r="A520" s="232"/>
      <c r="B520" s="232"/>
      <c r="C520" s="232"/>
      <c r="D520" s="233"/>
      <c r="E520" s="234"/>
      <c r="F520" s="234"/>
      <c r="G520" s="234"/>
      <c r="H520" s="233"/>
      <c r="I520" s="233"/>
      <c r="J520" s="234"/>
    </row>
    <row r="521" spans="1:10">
      <c r="A521" s="232"/>
      <c r="B521" s="232"/>
      <c r="C521" s="232"/>
      <c r="D521" s="233"/>
      <c r="E521" s="234"/>
      <c r="F521" s="234"/>
      <c r="G521" s="234"/>
      <c r="H521" s="233"/>
      <c r="I521" s="233"/>
      <c r="J521" s="234"/>
    </row>
    <row r="522" spans="1:10">
      <c r="A522" s="232"/>
      <c r="B522" s="232"/>
      <c r="C522" s="232"/>
      <c r="D522" s="233"/>
      <c r="E522" s="234"/>
      <c r="F522" s="234"/>
      <c r="G522" s="234"/>
      <c r="H522" s="233"/>
      <c r="I522" s="233"/>
      <c r="J522" s="234"/>
    </row>
    <row r="523" spans="1:10">
      <c r="A523" s="232"/>
      <c r="B523" s="232"/>
      <c r="C523" s="232"/>
      <c r="D523" s="233"/>
      <c r="E523" s="234"/>
      <c r="F523" s="234"/>
      <c r="G523" s="234"/>
      <c r="H523" s="233"/>
      <c r="I523" s="233"/>
      <c r="J523" s="234"/>
    </row>
    <row r="524" spans="1:10">
      <c r="A524" s="232"/>
      <c r="B524" s="232"/>
      <c r="C524" s="232"/>
      <c r="D524" s="233"/>
      <c r="E524" s="234"/>
      <c r="F524" s="234"/>
      <c r="G524" s="234"/>
      <c r="H524" s="233"/>
      <c r="I524" s="233"/>
      <c r="J524" s="234"/>
    </row>
    <row r="525" spans="1:10">
      <c r="A525" s="232"/>
      <c r="B525" s="232"/>
      <c r="C525" s="232"/>
      <c r="D525" s="233"/>
      <c r="E525" s="234"/>
      <c r="F525" s="234"/>
      <c r="G525" s="234"/>
      <c r="H525" s="233"/>
      <c r="I525" s="233"/>
      <c r="J525" s="234"/>
    </row>
    <row r="526" spans="1:10">
      <c r="A526" s="232"/>
      <c r="B526" s="232"/>
      <c r="C526" s="232"/>
      <c r="D526" s="233"/>
      <c r="E526" s="234"/>
      <c r="F526" s="234"/>
      <c r="G526" s="234"/>
      <c r="H526" s="233"/>
      <c r="I526" s="233"/>
      <c r="J526" s="234"/>
    </row>
    <row r="527" spans="1:10">
      <c r="A527" s="232"/>
      <c r="B527" s="232"/>
      <c r="C527" s="232"/>
      <c r="D527" s="233"/>
      <c r="E527" s="234"/>
      <c r="F527" s="234"/>
      <c r="G527" s="234"/>
      <c r="H527" s="233"/>
      <c r="I527" s="233"/>
      <c r="J527" s="234"/>
    </row>
    <row r="528" spans="1:10">
      <c r="A528" s="232"/>
      <c r="B528" s="232"/>
      <c r="C528" s="232"/>
      <c r="D528" s="233"/>
      <c r="E528" s="234"/>
      <c r="F528" s="234"/>
      <c r="G528" s="234"/>
      <c r="H528" s="233"/>
      <c r="I528" s="233"/>
      <c r="J528" s="234"/>
    </row>
    <row r="529" spans="1:10">
      <c r="A529" s="232"/>
      <c r="B529" s="232"/>
      <c r="C529" s="232"/>
      <c r="D529" s="233"/>
      <c r="E529" s="234"/>
      <c r="F529" s="234"/>
      <c r="G529" s="234"/>
      <c r="H529" s="233"/>
      <c r="I529" s="233"/>
      <c r="J529" s="234"/>
    </row>
    <row r="530" spans="1:10">
      <c r="A530" s="232"/>
      <c r="B530" s="232"/>
      <c r="C530" s="232"/>
      <c r="D530" s="233"/>
      <c r="E530" s="234"/>
      <c r="F530" s="234"/>
      <c r="G530" s="234"/>
      <c r="H530" s="233"/>
      <c r="I530" s="233"/>
      <c r="J530" s="234"/>
    </row>
    <row r="531" spans="1:10">
      <c r="A531" s="232"/>
      <c r="B531" s="232"/>
      <c r="C531" s="232"/>
      <c r="D531" s="233"/>
      <c r="E531" s="234"/>
      <c r="F531" s="234"/>
      <c r="G531" s="234"/>
      <c r="H531" s="233"/>
      <c r="I531" s="233"/>
      <c r="J531" s="234"/>
    </row>
    <row r="532" spans="1:10">
      <c r="A532" s="232"/>
      <c r="B532" s="232"/>
      <c r="C532" s="232"/>
      <c r="D532" s="233"/>
      <c r="E532" s="234"/>
      <c r="F532" s="234"/>
      <c r="G532" s="234"/>
      <c r="H532" s="233"/>
      <c r="I532" s="233"/>
      <c r="J532" s="234"/>
    </row>
    <row r="533" spans="1:10">
      <c r="A533" s="232"/>
      <c r="B533" s="232"/>
      <c r="C533" s="232"/>
      <c r="D533" s="233"/>
      <c r="E533" s="234"/>
      <c r="F533" s="234"/>
      <c r="G533" s="234"/>
      <c r="H533" s="233"/>
      <c r="I533" s="233"/>
      <c r="J533" s="234"/>
    </row>
    <row r="534" spans="1:10">
      <c r="A534" s="232"/>
      <c r="B534" s="232"/>
      <c r="C534" s="232"/>
      <c r="D534" s="233"/>
      <c r="E534" s="234"/>
      <c r="F534" s="234"/>
      <c r="G534" s="234"/>
      <c r="H534" s="233"/>
      <c r="I534" s="233"/>
      <c r="J534" s="234"/>
    </row>
    <row r="535" spans="1:10">
      <c r="A535" s="232"/>
      <c r="B535" s="232"/>
      <c r="C535" s="232"/>
      <c r="D535" s="233"/>
      <c r="E535" s="234"/>
      <c r="F535" s="234"/>
      <c r="G535" s="234"/>
      <c r="H535" s="233"/>
      <c r="I535" s="233"/>
      <c r="J535" s="234"/>
    </row>
    <row r="536" spans="1:10">
      <c r="A536" s="232"/>
      <c r="B536" s="232"/>
      <c r="C536" s="232"/>
      <c r="D536" s="233"/>
      <c r="E536" s="234"/>
      <c r="F536" s="234"/>
      <c r="G536" s="234"/>
      <c r="H536" s="233"/>
      <c r="I536" s="233"/>
      <c r="J536" s="234"/>
    </row>
    <row r="537" spans="1:10">
      <c r="A537" s="232"/>
      <c r="B537" s="232"/>
      <c r="C537" s="232"/>
      <c r="D537" s="233"/>
      <c r="E537" s="234"/>
      <c r="F537" s="234"/>
      <c r="G537" s="234"/>
      <c r="H537" s="233"/>
      <c r="I537" s="233"/>
      <c r="J537" s="234"/>
    </row>
    <row r="538" spans="1:10">
      <c r="A538" s="232"/>
      <c r="B538" s="232"/>
      <c r="C538" s="232"/>
      <c r="D538" s="233"/>
      <c r="E538" s="234"/>
      <c r="F538" s="234"/>
      <c r="G538" s="234"/>
      <c r="H538" s="233"/>
      <c r="I538" s="233"/>
      <c r="J538" s="234"/>
    </row>
    <row r="539" spans="1:10">
      <c r="A539" s="232"/>
      <c r="B539" s="232"/>
      <c r="C539" s="232"/>
      <c r="D539" s="233"/>
      <c r="E539" s="234"/>
      <c r="F539" s="234"/>
      <c r="G539" s="234"/>
      <c r="H539" s="233"/>
      <c r="I539" s="233"/>
      <c r="J539" s="234"/>
    </row>
    <row r="540" spans="1:10">
      <c r="A540" s="232"/>
      <c r="B540" s="232"/>
      <c r="C540" s="232"/>
      <c r="D540" s="233"/>
      <c r="E540" s="234"/>
      <c r="F540" s="234"/>
      <c r="G540" s="234"/>
      <c r="H540" s="233"/>
      <c r="I540" s="233"/>
      <c r="J540" s="234"/>
    </row>
    <row r="541" spans="1:10">
      <c r="A541" s="232"/>
      <c r="B541" s="232"/>
      <c r="C541" s="232"/>
      <c r="D541" s="233"/>
      <c r="E541" s="234"/>
      <c r="F541" s="234"/>
      <c r="G541" s="234"/>
      <c r="H541" s="233"/>
      <c r="I541" s="233"/>
      <c r="J541" s="234"/>
    </row>
    <row r="542" spans="1:10">
      <c r="A542" s="232"/>
      <c r="B542" s="232"/>
      <c r="C542" s="232"/>
      <c r="D542" s="233"/>
      <c r="E542" s="234"/>
      <c r="F542" s="234"/>
      <c r="G542" s="234"/>
      <c r="H542" s="233"/>
      <c r="I542" s="233"/>
      <c r="J542" s="234"/>
    </row>
    <row r="543" spans="1:10">
      <c r="A543" s="232"/>
      <c r="B543" s="232"/>
      <c r="C543" s="232"/>
      <c r="D543" s="233"/>
      <c r="E543" s="234"/>
      <c r="F543" s="234"/>
      <c r="G543" s="234"/>
      <c r="H543" s="233"/>
      <c r="I543" s="233"/>
      <c r="J543" s="234"/>
    </row>
    <row r="544" spans="1:10">
      <c r="A544" s="232"/>
      <c r="B544" s="232"/>
      <c r="C544" s="232"/>
      <c r="D544" s="233"/>
      <c r="E544" s="234"/>
      <c r="F544" s="234"/>
      <c r="G544" s="234"/>
      <c r="H544" s="233"/>
      <c r="I544" s="233"/>
      <c r="J544" s="234"/>
    </row>
    <row r="545" spans="1:10">
      <c r="A545" s="232"/>
      <c r="B545" s="232"/>
      <c r="C545" s="232"/>
      <c r="D545" s="233"/>
      <c r="E545" s="234"/>
      <c r="F545" s="234"/>
      <c r="G545" s="234"/>
      <c r="H545" s="233"/>
      <c r="I545" s="233"/>
      <c r="J545" s="234"/>
    </row>
    <row r="546" spans="1:10">
      <c r="A546" s="232"/>
      <c r="B546" s="232"/>
      <c r="C546" s="232"/>
      <c r="D546" s="233"/>
      <c r="E546" s="234"/>
      <c r="F546" s="234"/>
      <c r="G546" s="234"/>
      <c r="H546" s="233"/>
      <c r="I546" s="233"/>
      <c r="J546" s="234"/>
    </row>
    <row r="547" spans="1:10">
      <c r="A547" s="232"/>
      <c r="B547" s="232"/>
      <c r="C547" s="232"/>
      <c r="D547" s="233"/>
      <c r="E547" s="234"/>
      <c r="F547" s="234"/>
      <c r="G547" s="234"/>
      <c r="H547" s="233"/>
      <c r="I547" s="233"/>
      <c r="J547" s="234"/>
    </row>
    <row r="548" spans="1:10">
      <c r="A548" s="232"/>
      <c r="B548" s="232"/>
      <c r="C548" s="232"/>
      <c r="D548" s="233"/>
      <c r="E548" s="234"/>
      <c r="F548" s="234"/>
      <c r="G548" s="234"/>
      <c r="H548" s="233"/>
      <c r="I548" s="233"/>
      <c r="J548" s="234"/>
    </row>
    <row r="549" spans="1:10">
      <c r="A549" s="232"/>
      <c r="B549" s="232"/>
      <c r="C549" s="232"/>
      <c r="D549" s="233"/>
      <c r="E549" s="234"/>
      <c r="F549" s="234"/>
      <c r="G549" s="234"/>
      <c r="H549" s="233"/>
      <c r="I549" s="233"/>
      <c r="J549" s="234"/>
    </row>
    <row r="550" spans="1:10">
      <c r="A550" s="232"/>
      <c r="B550" s="232"/>
      <c r="C550" s="232"/>
      <c r="D550" s="233"/>
      <c r="E550" s="234"/>
      <c r="F550" s="234"/>
      <c r="G550" s="234"/>
      <c r="H550" s="233"/>
      <c r="I550" s="233"/>
      <c r="J550" s="234"/>
    </row>
    <row r="551" spans="1:10">
      <c r="A551" s="232"/>
      <c r="B551" s="232"/>
      <c r="C551" s="232"/>
      <c r="D551" s="233"/>
      <c r="E551" s="234"/>
      <c r="F551" s="234"/>
      <c r="G551" s="234"/>
      <c r="H551" s="233"/>
      <c r="I551" s="233"/>
      <c r="J551" s="234"/>
    </row>
    <row r="552" spans="1:10">
      <c r="A552" s="232"/>
      <c r="B552" s="232"/>
      <c r="C552" s="232"/>
      <c r="D552" s="233"/>
      <c r="E552" s="234"/>
      <c r="F552" s="234"/>
      <c r="G552" s="234"/>
      <c r="H552" s="233"/>
      <c r="I552" s="233"/>
      <c r="J552" s="234"/>
    </row>
    <row r="553" spans="1:10">
      <c r="A553" s="232"/>
      <c r="B553" s="232"/>
      <c r="C553" s="232"/>
      <c r="D553" s="233"/>
      <c r="E553" s="234"/>
      <c r="F553" s="234"/>
      <c r="G553" s="234"/>
      <c r="H553" s="233"/>
      <c r="I553" s="233"/>
      <c r="J553" s="234"/>
    </row>
    <row r="554" spans="1:10">
      <c r="A554" s="232"/>
      <c r="B554" s="232"/>
      <c r="C554" s="232"/>
      <c r="D554" s="233"/>
      <c r="E554" s="234"/>
      <c r="F554" s="234"/>
      <c r="G554" s="234"/>
      <c r="H554" s="233"/>
      <c r="I554" s="233"/>
      <c r="J554" s="234"/>
    </row>
    <row r="555" spans="1:10">
      <c r="A555" s="232"/>
      <c r="B555" s="232"/>
      <c r="C555" s="232"/>
      <c r="D555" s="233"/>
      <c r="E555" s="234"/>
      <c r="F555" s="234"/>
      <c r="G555" s="234"/>
      <c r="H555" s="233"/>
      <c r="I555" s="233"/>
      <c r="J555" s="234"/>
    </row>
    <row r="556" spans="1:10">
      <c r="A556" s="232"/>
      <c r="B556" s="232"/>
      <c r="C556" s="232"/>
      <c r="D556" s="233"/>
      <c r="E556" s="234"/>
      <c r="F556" s="234"/>
      <c r="G556" s="234"/>
      <c r="H556" s="233"/>
      <c r="I556" s="233"/>
      <c r="J556" s="234"/>
    </row>
    <row r="557" spans="1:10">
      <c r="A557" s="232"/>
      <c r="B557" s="232"/>
      <c r="C557" s="232"/>
      <c r="D557" s="233"/>
      <c r="E557" s="234"/>
      <c r="F557" s="234"/>
      <c r="G557" s="234"/>
      <c r="H557" s="233"/>
      <c r="I557" s="233"/>
      <c r="J557" s="234"/>
    </row>
    <row r="558" spans="1:10">
      <c r="A558" s="232"/>
      <c r="B558" s="232"/>
      <c r="C558" s="232"/>
      <c r="D558" s="233"/>
      <c r="E558" s="234"/>
      <c r="F558" s="234"/>
      <c r="G558" s="234"/>
      <c r="H558" s="233"/>
      <c r="I558" s="233"/>
      <c r="J558" s="234"/>
    </row>
    <row r="559" spans="1:10">
      <c r="A559" s="232"/>
      <c r="B559" s="232"/>
      <c r="C559" s="232"/>
      <c r="D559" s="233"/>
      <c r="E559" s="234"/>
      <c r="F559" s="234"/>
      <c r="G559" s="234"/>
      <c r="H559" s="233"/>
      <c r="I559" s="233"/>
      <c r="J559" s="234"/>
    </row>
    <row r="560" spans="1:10">
      <c r="A560" s="232"/>
      <c r="B560" s="232"/>
      <c r="C560" s="232"/>
      <c r="D560" s="233"/>
      <c r="E560" s="234"/>
      <c r="F560" s="234"/>
      <c r="G560" s="234"/>
      <c r="H560" s="233"/>
      <c r="I560" s="233"/>
      <c r="J560" s="234"/>
    </row>
    <row r="561" spans="1:10">
      <c r="A561" s="232"/>
      <c r="B561" s="232"/>
      <c r="C561" s="232"/>
      <c r="D561" s="233"/>
      <c r="E561" s="234"/>
      <c r="F561" s="234"/>
      <c r="G561" s="234"/>
      <c r="H561" s="233"/>
      <c r="I561" s="233"/>
      <c r="J561" s="234"/>
    </row>
    <row r="562" spans="1:10">
      <c r="A562" s="232"/>
      <c r="B562" s="232"/>
      <c r="C562" s="232"/>
      <c r="D562" s="233"/>
      <c r="E562" s="234"/>
      <c r="F562" s="234"/>
      <c r="G562" s="234"/>
      <c r="H562" s="233"/>
      <c r="I562" s="233"/>
      <c r="J562" s="234"/>
    </row>
    <row r="563" spans="1:10">
      <c r="A563" s="232"/>
      <c r="B563" s="232"/>
      <c r="C563" s="232"/>
      <c r="D563" s="233"/>
      <c r="E563" s="234"/>
      <c r="F563" s="234"/>
      <c r="G563" s="234"/>
      <c r="H563" s="233"/>
      <c r="I563" s="233"/>
      <c r="J563" s="234"/>
    </row>
    <row r="564" spans="1:10">
      <c r="A564" s="232"/>
      <c r="B564" s="232"/>
      <c r="C564" s="232"/>
      <c r="D564" s="233"/>
      <c r="E564" s="234"/>
      <c r="F564" s="234"/>
      <c r="G564" s="234"/>
      <c r="H564" s="233"/>
      <c r="I564" s="233"/>
      <c r="J564" s="234"/>
    </row>
    <row r="565" spans="1:10">
      <c r="A565" s="232"/>
      <c r="B565" s="232"/>
      <c r="C565" s="232"/>
      <c r="D565" s="233"/>
      <c r="E565" s="234"/>
      <c r="F565" s="234"/>
      <c r="G565" s="234"/>
      <c r="H565" s="233"/>
      <c r="I565" s="233"/>
      <c r="J565" s="234"/>
    </row>
    <row r="566" spans="1:10">
      <c r="A566" s="232"/>
      <c r="B566" s="232"/>
      <c r="C566" s="232"/>
      <c r="D566" s="233"/>
      <c r="E566" s="234"/>
      <c r="F566" s="234"/>
      <c r="G566" s="234"/>
      <c r="H566" s="233"/>
      <c r="I566" s="233"/>
      <c r="J566" s="234"/>
    </row>
    <row r="567" spans="1:10">
      <c r="A567" s="232"/>
      <c r="B567" s="232"/>
      <c r="C567" s="232"/>
      <c r="D567" s="233"/>
      <c r="E567" s="234"/>
      <c r="F567" s="234"/>
      <c r="G567" s="234"/>
      <c r="H567" s="233"/>
      <c r="I567" s="233"/>
      <c r="J567" s="234"/>
    </row>
    <row r="568" spans="1:10">
      <c r="A568" s="232"/>
      <c r="B568" s="232"/>
      <c r="C568" s="232"/>
      <c r="D568" s="233"/>
      <c r="E568" s="234"/>
      <c r="F568" s="234"/>
      <c r="G568" s="234"/>
      <c r="H568" s="233"/>
      <c r="I568" s="233"/>
      <c r="J568" s="234"/>
    </row>
    <row r="569" spans="1:10">
      <c r="A569" s="232"/>
      <c r="B569" s="232"/>
      <c r="C569" s="232"/>
      <c r="D569" s="233"/>
      <c r="E569" s="234"/>
      <c r="F569" s="234"/>
      <c r="G569" s="234"/>
      <c r="H569" s="233"/>
      <c r="I569" s="233"/>
      <c r="J569" s="234"/>
    </row>
    <row r="570" spans="1:10">
      <c r="A570" s="232"/>
      <c r="B570" s="232"/>
      <c r="C570" s="232"/>
      <c r="D570" s="233"/>
      <c r="E570" s="234"/>
      <c r="F570" s="234"/>
      <c r="G570" s="234"/>
      <c r="H570" s="233"/>
      <c r="I570" s="233"/>
      <c r="J570" s="234"/>
    </row>
    <row r="571" spans="1:10">
      <c r="A571" s="232"/>
      <c r="B571" s="232"/>
      <c r="C571" s="232"/>
      <c r="D571" s="233"/>
      <c r="E571" s="234"/>
      <c r="F571" s="234"/>
      <c r="G571" s="234"/>
      <c r="H571" s="233"/>
      <c r="I571" s="233"/>
      <c r="J571" s="234"/>
    </row>
    <row r="572" spans="1:10">
      <c r="A572" s="232"/>
      <c r="B572" s="232"/>
      <c r="C572" s="232"/>
      <c r="D572" s="233"/>
      <c r="E572" s="234"/>
      <c r="F572" s="234"/>
      <c r="G572" s="234"/>
      <c r="H572" s="233"/>
      <c r="I572" s="233"/>
      <c r="J572" s="234"/>
    </row>
    <row r="573" spans="1:10">
      <c r="A573" s="232"/>
      <c r="B573" s="232"/>
      <c r="C573" s="232"/>
      <c r="D573" s="233"/>
      <c r="E573" s="234"/>
      <c r="F573" s="234"/>
      <c r="G573" s="234"/>
      <c r="H573" s="233"/>
      <c r="I573" s="233"/>
      <c r="J573" s="234"/>
    </row>
    <row r="574" spans="1:10">
      <c r="A574" s="232"/>
      <c r="B574" s="232"/>
      <c r="C574" s="232"/>
      <c r="D574" s="233"/>
      <c r="E574" s="234"/>
      <c r="F574" s="234"/>
      <c r="G574" s="234"/>
      <c r="H574" s="233"/>
      <c r="I574" s="233"/>
      <c r="J574" s="234"/>
    </row>
    <row r="575" spans="1:10">
      <c r="A575" s="232"/>
      <c r="B575" s="232"/>
      <c r="C575" s="232"/>
      <c r="D575" s="233"/>
      <c r="E575" s="234"/>
      <c r="F575" s="234"/>
      <c r="G575" s="234"/>
      <c r="H575" s="233"/>
      <c r="I575" s="233"/>
      <c r="J575" s="234"/>
    </row>
    <row r="576" spans="1:10">
      <c r="A576" s="232"/>
      <c r="B576" s="232"/>
      <c r="C576" s="232"/>
      <c r="D576" s="233"/>
      <c r="E576" s="234"/>
      <c r="F576" s="234"/>
      <c r="G576" s="234"/>
      <c r="H576" s="233"/>
      <c r="I576" s="233"/>
      <c r="J576" s="234"/>
    </row>
    <row r="577" spans="1:10">
      <c r="A577" s="232"/>
      <c r="B577" s="232"/>
      <c r="C577" s="232"/>
      <c r="D577" s="233"/>
      <c r="E577" s="234"/>
      <c r="F577" s="234"/>
      <c r="G577" s="234"/>
      <c r="H577" s="233"/>
      <c r="I577" s="233"/>
      <c r="J577" s="234"/>
    </row>
    <row r="578" spans="1:10">
      <c r="A578" s="232"/>
      <c r="B578" s="232"/>
      <c r="C578" s="232"/>
      <c r="D578" s="233"/>
      <c r="E578" s="234"/>
      <c r="F578" s="234"/>
      <c r="G578" s="234"/>
      <c r="H578" s="233"/>
      <c r="I578" s="233"/>
      <c r="J578" s="234"/>
    </row>
    <row r="579" spans="1:10">
      <c r="A579" s="232"/>
      <c r="B579" s="232"/>
      <c r="C579" s="232"/>
      <c r="D579" s="233"/>
      <c r="E579" s="234"/>
      <c r="F579" s="234"/>
      <c r="G579" s="234"/>
      <c r="H579" s="233"/>
      <c r="I579" s="233"/>
      <c r="J579" s="234"/>
    </row>
    <row r="580" spans="1:10">
      <c r="A580" s="232"/>
      <c r="B580" s="232"/>
      <c r="C580" s="232"/>
      <c r="D580" s="233"/>
      <c r="E580" s="234"/>
      <c r="F580" s="234"/>
      <c r="G580" s="234"/>
      <c r="H580" s="233"/>
      <c r="I580" s="233"/>
      <c r="J580" s="234"/>
    </row>
    <row r="581" spans="1:10">
      <c r="A581" s="232"/>
      <c r="B581" s="232"/>
      <c r="C581" s="232"/>
      <c r="D581" s="233"/>
      <c r="E581" s="234"/>
      <c r="F581" s="234"/>
      <c r="G581" s="234"/>
      <c r="H581" s="233"/>
      <c r="I581" s="233"/>
      <c r="J581" s="234"/>
    </row>
    <row r="582" spans="1:10">
      <c r="A582" s="232"/>
      <c r="B582" s="232"/>
      <c r="C582" s="232"/>
      <c r="D582" s="233"/>
      <c r="E582" s="234"/>
      <c r="F582" s="234"/>
      <c r="G582" s="234"/>
      <c r="H582" s="233"/>
      <c r="I582" s="233"/>
      <c r="J582" s="234"/>
    </row>
    <row r="583" spans="1:10">
      <c r="A583" s="232"/>
      <c r="B583" s="232"/>
      <c r="C583" s="232"/>
      <c r="D583" s="233"/>
      <c r="E583" s="234"/>
      <c r="F583" s="234"/>
      <c r="G583" s="234"/>
      <c r="H583" s="233"/>
      <c r="I583" s="233"/>
      <c r="J583" s="234"/>
    </row>
    <row r="584" spans="1:10">
      <c r="A584" s="232"/>
      <c r="B584" s="232"/>
      <c r="C584" s="232"/>
      <c r="D584" s="233"/>
      <c r="E584" s="234"/>
      <c r="F584" s="234"/>
      <c r="G584" s="234"/>
      <c r="H584" s="233"/>
      <c r="I584" s="233"/>
      <c r="J584" s="234"/>
    </row>
    <row r="585" spans="1:10">
      <c r="A585" s="232"/>
      <c r="B585" s="232"/>
      <c r="C585" s="232"/>
      <c r="D585" s="233"/>
      <c r="E585" s="234"/>
      <c r="F585" s="234"/>
      <c r="G585" s="234"/>
      <c r="H585" s="233"/>
      <c r="I585" s="233"/>
      <c r="J585" s="234"/>
    </row>
    <row r="586" spans="1:10">
      <c r="A586" s="232"/>
      <c r="B586" s="232"/>
      <c r="C586" s="232"/>
      <c r="D586" s="233"/>
      <c r="E586" s="234"/>
      <c r="F586" s="234"/>
      <c r="G586" s="234"/>
      <c r="H586" s="233"/>
      <c r="I586" s="233"/>
      <c r="J586" s="234"/>
    </row>
    <row r="587" spans="1:10">
      <c r="A587" s="232"/>
      <c r="B587" s="232"/>
      <c r="C587" s="232"/>
      <c r="D587" s="233"/>
      <c r="E587" s="234"/>
      <c r="F587" s="234"/>
      <c r="G587" s="234"/>
      <c r="H587" s="233"/>
      <c r="I587" s="233"/>
      <c r="J587" s="234"/>
    </row>
    <row r="588" spans="1:10">
      <c r="A588" s="232"/>
      <c r="B588" s="232"/>
      <c r="C588" s="232"/>
      <c r="D588" s="233"/>
      <c r="E588" s="234"/>
      <c r="F588" s="234"/>
      <c r="G588" s="234"/>
      <c r="H588" s="233"/>
      <c r="I588" s="233"/>
      <c r="J588" s="234"/>
    </row>
    <row r="589" spans="1:10">
      <c r="A589" s="232"/>
      <c r="B589" s="232"/>
      <c r="C589" s="232"/>
      <c r="D589" s="233"/>
      <c r="E589" s="234"/>
      <c r="F589" s="234"/>
      <c r="G589" s="234"/>
      <c r="H589" s="233"/>
      <c r="I589" s="233"/>
      <c r="J589" s="234"/>
    </row>
    <row r="590" spans="1:10">
      <c r="A590" s="232"/>
      <c r="B590" s="232"/>
      <c r="C590" s="232"/>
      <c r="D590" s="233"/>
      <c r="E590" s="234"/>
      <c r="F590" s="234"/>
      <c r="G590" s="234"/>
      <c r="H590" s="233"/>
      <c r="I590" s="233"/>
      <c r="J590" s="234"/>
    </row>
    <row r="591" spans="1:10">
      <c r="A591" s="232"/>
      <c r="B591" s="232"/>
      <c r="C591" s="232"/>
      <c r="D591" s="233"/>
      <c r="E591" s="234"/>
      <c r="F591" s="234"/>
      <c r="G591" s="234"/>
      <c r="H591" s="233"/>
      <c r="I591" s="233"/>
      <c r="J591" s="234"/>
    </row>
    <row r="592" spans="1:10">
      <c r="A592" s="232"/>
      <c r="B592" s="232"/>
      <c r="C592" s="232"/>
      <c r="D592" s="233"/>
      <c r="E592" s="234"/>
      <c r="F592" s="234"/>
      <c r="G592" s="234"/>
      <c r="H592" s="233"/>
      <c r="I592" s="233"/>
      <c r="J592" s="234"/>
    </row>
    <row r="593" spans="1:10">
      <c r="A593" s="232"/>
      <c r="B593" s="232"/>
      <c r="C593" s="232"/>
      <c r="D593" s="233"/>
      <c r="E593" s="234"/>
      <c r="F593" s="234"/>
      <c r="G593" s="234"/>
      <c r="H593" s="233"/>
      <c r="I593" s="233"/>
      <c r="J593" s="234"/>
    </row>
    <row r="594" spans="1:10">
      <c r="A594" s="232"/>
      <c r="B594" s="232"/>
      <c r="C594" s="232"/>
      <c r="D594" s="233"/>
      <c r="E594" s="234"/>
      <c r="F594" s="234"/>
      <c r="G594" s="234"/>
      <c r="H594" s="233"/>
      <c r="I594" s="233"/>
      <c r="J594" s="234"/>
    </row>
    <row r="595" spans="1:10">
      <c r="A595" s="232"/>
      <c r="B595" s="232"/>
      <c r="C595" s="232"/>
      <c r="D595" s="233"/>
      <c r="E595" s="234"/>
      <c r="F595" s="234"/>
      <c r="G595" s="234"/>
      <c r="H595" s="233"/>
      <c r="I595" s="233"/>
      <c r="J595" s="234"/>
    </row>
    <row r="596" spans="1:10">
      <c r="A596" s="232"/>
      <c r="B596" s="232"/>
      <c r="C596" s="232"/>
      <c r="D596" s="233"/>
      <c r="E596" s="234"/>
      <c r="F596" s="234"/>
      <c r="G596" s="234"/>
      <c r="H596" s="233"/>
      <c r="I596" s="233"/>
      <c r="J596" s="234"/>
    </row>
    <row r="597" spans="1:10">
      <c r="A597" s="232"/>
      <c r="B597" s="232"/>
      <c r="C597" s="232"/>
      <c r="D597" s="233"/>
      <c r="E597" s="234"/>
      <c r="F597" s="234"/>
      <c r="G597" s="234"/>
      <c r="H597" s="233"/>
      <c r="I597" s="233"/>
      <c r="J597" s="234"/>
    </row>
    <row r="598" spans="1:10">
      <c r="A598" s="232"/>
      <c r="B598" s="232"/>
      <c r="C598" s="232"/>
      <c r="D598" s="233"/>
      <c r="E598" s="234"/>
      <c r="F598" s="234"/>
      <c r="G598" s="234"/>
      <c r="H598" s="233"/>
      <c r="I598" s="233"/>
      <c r="J598" s="234"/>
    </row>
    <row r="599" spans="1:10">
      <c r="A599" s="232"/>
      <c r="B599" s="232"/>
      <c r="C599" s="232"/>
      <c r="D599" s="233"/>
      <c r="E599" s="234"/>
      <c r="F599" s="234"/>
      <c r="G599" s="234"/>
      <c r="H599" s="233"/>
      <c r="I599" s="233"/>
      <c r="J599" s="234"/>
    </row>
    <row r="600" spans="1:10">
      <c r="A600" s="232"/>
      <c r="B600" s="232"/>
      <c r="C600" s="232"/>
      <c r="D600" s="233"/>
      <c r="E600" s="234"/>
      <c r="F600" s="234"/>
      <c r="G600" s="234"/>
      <c r="H600" s="233"/>
      <c r="I600" s="233"/>
      <c r="J600" s="234"/>
    </row>
    <row r="601" spans="1:10">
      <c r="A601" s="232"/>
      <c r="B601" s="232"/>
      <c r="C601" s="232"/>
      <c r="D601" s="233"/>
      <c r="E601" s="234"/>
      <c r="F601" s="234"/>
      <c r="G601" s="234"/>
      <c r="H601" s="233"/>
      <c r="I601" s="233"/>
      <c r="J601" s="234"/>
    </row>
    <row r="602" spans="1:10">
      <c r="A602" s="232"/>
      <c r="B602" s="232"/>
      <c r="C602" s="232"/>
      <c r="D602" s="233"/>
      <c r="E602" s="234"/>
      <c r="F602" s="234"/>
      <c r="G602" s="234"/>
      <c r="H602" s="233"/>
      <c r="I602" s="233"/>
      <c r="J602" s="234"/>
    </row>
    <row r="603" spans="1:10">
      <c r="A603" s="232"/>
      <c r="B603" s="232"/>
      <c r="C603" s="232"/>
      <c r="D603" s="233"/>
      <c r="E603" s="234"/>
      <c r="F603" s="234"/>
      <c r="G603" s="234"/>
      <c r="H603" s="233"/>
      <c r="I603" s="233"/>
      <c r="J603" s="234"/>
    </row>
    <row r="604" spans="1:10">
      <c r="A604" s="232"/>
      <c r="B604" s="232"/>
      <c r="C604" s="232"/>
      <c r="D604" s="233"/>
      <c r="E604" s="234"/>
      <c r="F604" s="234"/>
      <c r="G604" s="234"/>
      <c r="H604" s="233"/>
      <c r="I604" s="233"/>
      <c r="J604" s="234"/>
    </row>
    <row r="605" spans="1:10">
      <c r="A605" s="232"/>
      <c r="B605" s="232"/>
      <c r="C605" s="232"/>
      <c r="D605" s="233"/>
      <c r="E605" s="234"/>
      <c r="F605" s="234"/>
      <c r="G605" s="234"/>
      <c r="H605" s="233"/>
      <c r="I605" s="233"/>
      <c r="J605" s="234"/>
    </row>
    <row r="606" spans="1:10">
      <c r="A606" s="232"/>
      <c r="B606" s="232"/>
      <c r="C606" s="232"/>
      <c r="D606" s="233"/>
      <c r="E606" s="234"/>
      <c r="F606" s="234"/>
      <c r="G606" s="234"/>
      <c r="H606" s="233"/>
      <c r="I606" s="233"/>
      <c r="J606" s="234"/>
    </row>
    <row r="607" spans="1:10">
      <c r="A607" s="232"/>
      <c r="B607" s="232"/>
      <c r="C607" s="232"/>
      <c r="D607" s="233"/>
      <c r="E607" s="234"/>
      <c r="F607" s="234"/>
      <c r="G607" s="234"/>
      <c r="H607" s="233"/>
      <c r="I607" s="233"/>
      <c r="J607" s="234"/>
    </row>
    <row r="608" spans="1:10">
      <c r="A608" s="232"/>
      <c r="B608" s="232"/>
      <c r="C608" s="232"/>
      <c r="D608" s="233"/>
      <c r="E608" s="234"/>
      <c r="F608" s="234"/>
      <c r="G608" s="234"/>
      <c r="H608" s="233"/>
      <c r="I608" s="233"/>
      <c r="J608" s="234"/>
    </row>
    <row r="609" spans="1:10">
      <c r="A609" s="232"/>
      <c r="B609" s="232"/>
      <c r="C609" s="232"/>
      <c r="D609" s="233"/>
      <c r="E609" s="234"/>
      <c r="F609" s="234"/>
      <c r="G609" s="234"/>
      <c r="H609" s="233"/>
      <c r="I609" s="233"/>
      <c r="J609" s="234"/>
    </row>
    <row r="610" spans="1:10">
      <c r="A610" s="232"/>
      <c r="B610" s="232"/>
      <c r="C610" s="232"/>
      <c r="D610" s="233"/>
      <c r="E610" s="234"/>
      <c r="F610" s="234"/>
      <c r="G610" s="234"/>
      <c r="H610" s="233"/>
      <c r="I610" s="233"/>
      <c r="J610" s="234"/>
    </row>
    <row r="611" spans="1:10">
      <c r="A611" s="232"/>
      <c r="B611" s="232"/>
      <c r="C611" s="232"/>
      <c r="D611" s="233"/>
      <c r="E611" s="234"/>
      <c r="F611" s="234"/>
      <c r="G611" s="234"/>
      <c r="H611" s="233"/>
      <c r="I611" s="233"/>
      <c r="J611" s="234"/>
    </row>
    <row r="612" spans="1:10">
      <c r="A612" s="232"/>
      <c r="B612" s="232"/>
      <c r="C612" s="232"/>
      <c r="D612" s="233"/>
      <c r="E612" s="234"/>
      <c r="F612" s="234"/>
      <c r="G612" s="234"/>
      <c r="H612" s="233"/>
      <c r="I612" s="233"/>
      <c r="J612" s="234"/>
    </row>
    <row r="613" spans="1:10">
      <c r="A613" s="232"/>
      <c r="B613" s="232"/>
      <c r="C613" s="232"/>
      <c r="D613" s="233"/>
      <c r="E613" s="234"/>
      <c r="F613" s="234"/>
      <c r="G613" s="234"/>
      <c r="H613" s="233"/>
      <c r="I613" s="233"/>
      <c r="J613" s="234"/>
    </row>
    <row r="614" spans="1:10">
      <c r="A614" s="232"/>
      <c r="B614" s="232"/>
      <c r="C614" s="232"/>
      <c r="D614" s="233"/>
      <c r="E614" s="234"/>
      <c r="F614" s="234"/>
      <c r="G614" s="234"/>
      <c r="H614" s="233"/>
      <c r="I614" s="233"/>
      <c r="J614" s="234"/>
    </row>
    <row r="615" spans="1:10">
      <c r="A615" s="232"/>
      <c r="B615" s="232"/>
      <c r="C615" s="232"/>
      <c r="D615" s="233"/>
      <c r="E615" s="234"/>
      <c r="F615" s="234"/>
      <c r="G615" s="234"/>
      <c r="H615" s="233"/>
      <c r="I615" s="233"/>
      <c r="J615" s="234"/>
    </row>
    <row r="616" spans="1:10">
      <c r="A616" s="232"/>
      <c r="B616" s="232"/>
      <c r="C616" s="232"/>
      <c r="D616" s="233"/>
      <c r="E616" s="234"/>
      <c r="F616" s="234"/>
      <c r="G616" s="234"/>
      <c r="H616" s="233"/>
      <c r="I616" s="233"/>
      <c r="J616" s="234"/>
    </row>
    <row r="617" spans="1:10">
      <c r="A617" s="232"/>
      <c r="B617" s="232"/>
      <c r="C617" s="232"/>
      <c r="D617" s="233"/>
      <c r="E617" s="234"/>
      <c r="F617" s="234"/>
      <c r="G617" s="234"/>
      <c r="H617" s="233"/>
      <c r="I617" s="233"/>
      <c r="J617" s="234"/>
    </row>
    <row r="618" spans="1:10">
      <c r="A618" s="232"/>
      <c r="B618" s="232"/>
      <c r="C618" s="232"/>
      <c r="D618" s="233"/>
      <c r="E618" s="234"/>
      <c r="F618" s="234"/>
      <c r="G618" s="234"/>
      <c r="H618" s="233"/>
      <c r="I618" s="233"/>
      <c r="J618" s="234"/>
    </row>
    <row r="619" spans="1:10">
      <c r="A619" s="232"/>
      <c r="B619" s="232"/>
      <c r="C619" s="232"/>
      <c r="D619" s="233"/>
      <c r="E619" s="234"/>
      <c r="F619" s="234"/>
      <c r="G619" s="234"/>
      <c r="H619" s="233"/>
      <c r="I619" s="233"/>
      <c r="J619" s="234"/>
    </row>
    <row r="620" spans="1:10">
      <c r="A620" s="232"/>
      <c r="B620" s="232"/>
      <c r="C620" s="232"/>
      <c r="D620" s="233"/>
      <c r="E620" s="234"/>
      <c r="F620" s="234"/>
      <c r="G620" s="234"/>
      <c r="H620" s="233"/>
      <c r="I620" s="233"/>
      <c r="J620" s="234"/>
    </row>
    <row r="621" spans="1:10">
      <c r="A621" s="232"/>
      <c r="B621" s="232"/>
      <c r="C621" s="232"/>
      <c r="D621" s="233"/>
      <c r="E621" s="234"/>
      <c r="F621" s="234"/>
      <c r="G621" s="234"/>
      <c r="H621" s="233"/>
      <c r="I621" s="233"/>
      <c r="J621" s="234"/>
    </row>
    <row r="622" spans="1:10">
      <c r="A622" s="232"/>
      <c r="B622" s="232"/>
      <c r="C622" s="232"/>
      <c r="D622" s="233"/>
      <c r="E622" s="234"/>
      <c r="F622" s="234"/>
      <c r="G622" s="234"/>
      <c r="H622" s="233"/>
      <c r="I622" s="233"/>
      <c r="J622" s="234"/>
    </row>
    <row r="623" spans="1:10">
      <c r="A623" s="232"/>
      <c r="B623" s="232"/>
      <c r="C623" s="232"/>
      <c r="D623" s="233"/>
      <c r="E623" s="234"/>
      <c r="F623" s="234"/>
      <c r="G623" s="234"/>
      <c r="H623" s="233"/>
      <c r="I623" s="233"/>
      <c r="J623" s="234"/>
    </row>
    <row r="624" spans="1:10">
      <c r="A624" s="232"/>
      <c r="B624" s="232"/>
      <c r="C624" s="232"/>
      <c r="D624" s="233"/>
      <c r="E624" s="234"/>
      <c r="F624" s="234"/>
      <c r="G624" s="234"/>
      <c r="H624" s="233"/>
      <c r="I624" s="233"/>
      <c r="J624" s="234"/>
    </row>
    <row r="625" spans="1:10">
      <c r="A625" s="232"/>
      <c r="B625" s="232"/>
      <c r="C625" s="232"/>
      <c r="D625" s="233"/>
      <c r="E625" s="234"/>
      <c r="F625" s="234"/>
      <c r="G625" s="234"/>
      <c r="H625" s="233"/>
      <c r="I625" s="233"/>
      <c r="J625" s="234"/>
    </row>
    <row r="626" spans="1:10">
      <c r="A626" s="232"/>
      <c r="B626" s="232"/>
      <c r="C626" s="232"/>
      <c r="D626" s="233"/>
      <c r="E626" s="234"/>
      <c r="F626" s="234"/>
      <c r="G626" s="234"/>
      <c r="H626" s="233"/>
      <c r="I626" s="233"/>
      <c r="J626" s="234"/>
    </row>
    <row r="627" spans="1:10">
      <c r="A627" s="232"/>
      <c r="B627" s="232"/>
      <c r="C627" s="232"/>
      <c r="D627" s="233"/>
      <c r="E627" s="234"/>
      <c r="F627" s="234"/>
      <c r="G627" s="234"/>
      <c r="H627" s="233"/>
      <c r="I627" s="233"/>
      <c r="J627" s="234"/>
    </row>
    <row r="628" spans="1:10">
      <c r="A628" s="232"/>
      <c r="B628" s="232"/>
      <c r="C628" s="232"/>
      <c r="D628" s="233"/>
      <c r="E628" s="234"/>
      <c r="F628" s="234"/>
      <c r="G628" s="234"/>
      <c r="H628" s="233"/>
      <c r="I628" s="233"/>
      <c r="J628" s="234"/>
    </row>
    <row r="629" spans="1:10">
      <c r="A629" s="232"/>
      <c r="B629" s="232"/>
      <c r="C629" s="232"/>
      <c r="D629" s="233"/>
      <c r="E629" s="234"/>
      <c r="F629" s="234"/>
      <c r="G629" s="234"/>
      <c r="H629" s="233"/>
      <c r="I629" s="233"/>
      <c r="J629" s="234"/>
    </row>
    <row r="630" spans="1:10">
      <c r="A630" s="232"/>
      <c r="B630" s="232"/>
      <c r="C630" s="232"/>
      <c r="D630" s="233"/>
      <c r="E630" s="234"/>
      <c r="F630" s="234"/>
      <c r="G630" s="234"/>
      <c r="H630" s="233"/>
      <c r="I630" s="233"/>
      <c r="J630" s="234"/>
    </row>
    <row r="631" spans="1:10">
      <c r="A631" s="232"/>
      <c r="B631" s="232"/>
      <c r="C631" s="232"/>
      <c r="D631" s="233"/>
      <c r="E631" s="234"/>
      <c r="F631" s="234"/>
      <c r="G631" s="234"/>
      <c r="H631" s="233"/>
      <c r="I631" s="233"/>
      <c r="J631" s="234"/>
    </row>
    <row r="632" spans="1:10">
      <c r="A632" s="232"/>
      <c r="B632" s="232"/>
      <c r="C632" s="232"/>
      <c r="D632" s="233"/>
      <c r="E632" s="234"/>
      <c r="F632" s="234"/>
      <c r="G632" s="234"/>
      <c r="H632" s="233"/>
      <c r="I632" s="233"/>
      <c r="J632" s="234"/>
    </row>
    <row r="633" spans="1:10">
      <c r="A633" s="232"/>
      <c r="B633" s="232"/>
      <c r="C633" s="232"/>
      <c r="D633" s="233"/>
      <c r="E633" s="234"/>
      <c r="F633" s="234"/>
      <c r="G633" s="234"/>
      <c r="H633" s="233"/>
      <c r="I633" s="233"/>
      <c r="J633" s="234"/>
    </row>
    <row r="634" spans="1:10">
      <c r="A634" s="232"/>
      <c r="B634" s="232"/>
      <c r="C634" s="232"/>
      <c r="D634" s="233"/>
      <c r="E634" s="234"/>
      <c r="F634" s="234"/>
      <c r="G634" s="234"/>
      <c r="H634" s="233"/>
      <c r="I634" s="233"/>
      <c r="J634" s="234"/>
    </row>
    <row r="635" spans="1:10">
      <c r="A635" s="232"/>
      <c r="B635" s="232"/>
      <c r="C635" s="232"/>
      <c r="D635" s="233"/>
      <c r="E635" s="234"/>
      <c r="F635" s="234"/>
      <c r="G635" s="234"/>
      <c r="H635" s="233"/>
      <c r="I635" s="233"/>
      <c r="J635" s="234"/>
    </row>
    <row r="636" spans="1:10">
      <c r="A636" s="232"/>
      <c r="B636" s="232"/>
      <c r="C636" s="232"/>
      <c r="D636" s="233"/>
      <c r="E636" s="234"/>
      <c r="F636" s="234"/>
      <c r="G636" s="234"/>
      <c r="H636" s="233"/>
      <c r="I636" s="233"/>
      <c r="J636" s="234"/>
    </row>
    <row r="637" spans="1:10">
      <c r="A637" s="232"/>
      <c r="B637" s="232"/>
      <c r="C637" s="232"/>
      <c r="D637" s="233"/>
      <c r="E637" s="234"/>
      <c r="F637" s="234"/>
      <c r="G637" s="234"/>
      <c r="H637" s="233"/>
      <c r="I637" s="233"/>
      <c r="J637" s="234"/>
    </row>
    <row r="638" spans="1:10">
      <c r="A638" s="232"/>
      <c r="B638" s="232"/>
      <c r="C638" s="232"/>
      <c r="D638" s="233"/>
      <c r="E638" s="234"/>
      <c r="F638" s="234"/>
      <c r="G638" s="234"/>
      <c r="H638" s="233"/>
      <c r="I638" s="233"/>
      <c r="J638" s="234"/>
    </row>
    <row r="639" spans="1:10">
      <c r="A639" s="232"/>
      <c r="B639" s="232"/>
      <c r="C639" s="232"/>
      <c r="D639" s="233"/>
      <c r="E639" s="234"/>
      <c r="F639" s="234"/>
      <c r="G639" s="234"/>
      <c r="H639" s="233"/>
      <c r="I639" s="233"/>
      <c r="J639" s="234"/>
    </row>
    <row r="640" spans="1:10">
      <c r="A640" s="232"/>
      <c r="B640" s="232"/>
      <c r="C640" s="232"/>
      <c r="D640" s="233"/>
      <c r="E640" s="234"/>
      <c r="F640" s="234"/>
      <c r="G640" s="234"/>
      <c r="H640" s="233"/>
      <c r="I640" s="233"/>
      <c r="J640" s="234"/>
    </row>
    <row r="641" spans="1:10">
      <c r="A641" s="232"/>
      <c r="B641" s="232"/>
      <c r="C641" s="232"/>
      <c r="D641" s="233"/>
      <c r="E641" s="234"/>
      <c r="F641" s="234"/>
      <c r="G641" s="234"/>
      <c r="H641" s="233"/>
      <c r="I641" s="233"/>
      <c r="J641" s="234"/>
    </row>
    <row r="642" spans="1:10">
      <c r="A642" s="232"/>
      <c r="B642" s="232"/>
      <c r="C642" s="232"/>
      <c r="D642" s="233"/>
      <c r="E642" s="234"/>
      <c r="F642" s="234"/>
      <c r="G642" s="234"/>
      <c r="H642" s="233"/>
      <c r="I642" s="233"/>
      <c r="J642" s="234"/>
    </row>
    <row r="643" spans="1:10">
      <c r="A643" s="232"/>
      <c r="B643" s="232"/>
      <c r="C643" s="232"/>
      <c r="D643" s="233"/>
      <c r="E643" s="234"/>
      <c r="F643" s="234"/>
      <c r="G643" s="234"/>
      <c r="H643" s="233"/>
      <c r="I643" s="233"/>
      <c r="J643" s="234"/>
    </row>
    <row r="644" spans="1:10">
      <c r="A644" s="232"/>
      <c r="B644" s="232"/>
      <c r="C644" s="232"/>
      <c r="D644" s="233"/>
      <c r="E644" s="234"/>
      <c r="F644" s="234"/>
      <c r="G644" s="234"/>
      <c r="H644" s="233"/>
      <c r="I644" s="233"/>
      <c r="J644" s="234"/>
    </row>
    <row r="645" spans="1:10">
      <c r="A645" s="232"/>
      <c r="B645" s="232"/>
      <c r="C645" s="232"/>
      <c r="D645" s="233"/>
      <c r="E645" s="234"/>
      <c r="F645" s="234"/>
      <c r="G645" s="234"/>
      <c r="H645" s="233"/>
      <c r="I645" s="233"/>
      <c r="J645" s="234"/>
    </row>
    <row r="646" spans="1:10">
      <c r="A646" s="232"/>
      <c r="B646" s="232"/>
      <c r="C646" s="232"/>
      <c r="D646" s="233"/>
      <c r="E646" s="234"/>
      <c r="F646" s="234"/>
      <c r="G646" s="234"/>
      <c r="H646" s="233"/>
      <c r="I646" s="233"/>
      <c r="J646" s="234"/>
    </row>
    <row r="647" spans="1:10">
      <c r="A647" s="232"/>
      <c r="B647" s="232"/>
      <c r="C647" s="232"/>
      <c r="D647" s="233"/>
      <c r="E647" s="234"/>
      <c r="F647" s="234"/>
      <c r="G647" s="234"/>
      <c r="H647" s="233"/>
      <c r="I647" s="233"/>
      <c r="J647" s="234"/>
    </row>
    <row r="648" spans="1:10">
      <c r="A648" s="232"/>
      <c r="B648" s="232"/>
      <c r="C648" s="232"/>
      <c r="D648" s="233"/>
      <c r="E648" s="234"/>
      <c r="F648" s="234"/>
      <c r="G648" s="234"/>
      <c r="H648" s="233"/>
      <c r="I648" s="233"/>
      <c r="J648" s="234"/>
    </row>
    <row r="649" spans="1:10">
      <c r="A649" s="232"/>
      <c r="B649" s="232"/>
      <c r="C649" s="232"/>
      <c r="D649" s="233"/>
      <c r="E649" s="234"/>
      <c r="F649" s="234"/>
      <c r="G649" s="234"/>
      <c r="H649" s="233"/>
      <c r="I649" s="233"/>
      <c r="J649" s="234"/>
    </row>
    <row r="650" spans="1:10">
      <c r="A650" s="232"/>
      <c r="B650" s="232"/>
      <c r="C650" s="232"/>
      <c r="D650" s="233"/>
      <c r="E650" s="234"/>
      <c r="F650" s="234"/>
      <c r="G650" s="234"/>
      <c r="H650" s="233"/>
      <c r="I650" s="233"/>
      <c r="J650" s="234"/>
    </row>
    <row r="651" spans="1:10">
      <c r="A651" s="232"/>
      <c r="B651" s="232"/>
      <c r="C651" s="232"/>
      <c r="D651" s="233"/>
      <c r="E651" s="234"/>
      <c r="F651" s="234"/>
      <c r="G651" s="234"/>
      <c r="H651" s="233"/>
      <c r="I651" s="233"/>
      <c r="J651" s="234"/>
    </row>
    <row r="652" spans="1:10">
      <c r="A652" s="232"/>
      <c r="B652" s="232"/>
      <c r="C652" s="232"/>
      <c r="D652" s="233"/>
      <c r="E652" s="234"/>
      <c r="F652" s="234"/>
      <c r="G652" s="234"/>
      <c r="H652" s="233"/>
      <c r="I652" s="233"/>
      <c r="J652" s="234"/>
    </row>
    <row r="653" spans="1:10">
      <c r="A653" s="232"/>
      <c r="B653" s="232"/>
      <c r="C653" s="232"/>
      <c r="D653" s="233"/>
      <c r="E653" s="234"/>
      <c r="F653" s="234"/>
      <c r="G653" s="234"/>
      <c r="H653" s="233"/>
      <c r="I653" s="233"/>
      <c r="J653" s="234"/>
    </row>
    <row r="654" spans="1:10">
      <c r="A654" s="232"/>
      <c r="B654" s="232"/>
      <c r="C654" s="232"/>
      <c r="D654" s="233"/>
      <c r="E654" s="234"/>
      <c r="F654" s="234"/>
      <c r="G654" s="234"/>
      <c r="H654" s="233"/>
      <c r="I654" s="233"/>
      <c r="J654" s="234"/>
    </row>
    <row r="655" spans="1:10">
      <c r="A655" s="232"/>
      <c r="B655" s="232"/>
      <c r="C655" s="232"/>
      <c r="D655" s="233"/>
      <c r="E655" s="234"/>
      <c r="F655" s="234"/>
      <c r="G655" s="234"/>
      <c r="H655" s="233"/>
      <c r="I655" s="233"/>
      <c r="J655" s="234"/>
    </row>
    <row r="656" spans="1:10">
      <c r="A656" s="232"/>
      <c r="B656" s="232"/>
      <c r="C656" s="232"/>
      <c r="D656" s="233"/>
      <c r="E656" s="234"/>
      <c r="F656" s="234"/>
      <c r="G656" s="234"/>
      <c r="H656" s="233"/>
      <c r="I656" s="233"/>
      <c r="J656" s="234"/>
    </row>
    <row r="657" spans="1:10">
      <c r="A657" s="232"/>
      <c r="B657" s="232"/>
      <c r="C657" s="232"/>
      <c r="D657" s="233"/>
      <c r="E657" s="234"/>
      <c r="F657" s="234"/>
      <c r="G657" s="234"/>
      <c r="H657" s="233"/>
      <c r="I657" s="233"/>
      <c r="J657" s="234"/>
    </row>
    <row r="658" spans="1:10">
      <c r="A658" s="232"/>
      <c r="B658" s="232"/>
      <c r="C658" s="232"/>
      <c r="D658" s="233"/>
      <c r="E658" s="234"/>
      <c r="F658" s="234"/>
      <c r="G658" s="234"/>
      <c r="H658" s="233"/>
      <c r="I658" s="233"/>
      <c r="J658" s="234"/>
    </row>
    <row r="659" spans="1:10">
      <c r="A659" s="232"/>
      <c r="B659" s="232"/>
      <c r="C659" s="232"/>
      <c r="D659" s="233"/>
      <c r="E659" s="234"/>
      <c r="F659" s="234"/>
      <c r="G659" s="234"/>
      <c r="H659" s="233"/>
      <c r="I659" s="233"/>
      <c r="J659" s="234"/>
    </row>
    <row r="660" spans="1:10">
      <c r="A660" s="232"/>
      <c r="B660" s="232"/>
      <c r="C660" s="232"/>
      <c r="D660" s="233"/>
      <c r="E660" s="234"/>
      <c r="F660" s="234"/>
      <c r="G660" s="234"/>
      <c r="H660" s="233"/>
      <c r="I660" s="233"/>
      <c r="J660" s="234"/>
    </row>
    <row r="661" spans="1:10">
      <c r="A661" s="232"/>
      <c r="B661" s="232"/>
      <c r="C661" s="232"/>
      <c r="D661" s="233"/>
      <c r="E661" s="234"/>
      <c r="F661" s="234"/>
      <c r="G661" s="234"/>
      <c r="H661" s="233"/>
      <c r="I661" s="233"/>
      <c r="J661" s="234"/>
    </row>
    <row r="662" spans="1:10">
      <c r="A662" s="232"/>
      <c r="B662" s="232"/>
      <c r="C662" s="232"/>
      <c r="D662" s="233"/>
      <c r="E662" s="234"/>
      <c r="F662" s="234"/>
      <c r="G662" s="234"/>
      <c r="H662" s="233"/>
      <c r="I662" s="233"/>
      <c r="J662" s="234"/>
    </row>
    <row r="663" spans="1:10">
      <c r="A663" s="232"/>
      <c r="B663" s="232"/>
      <c r="C663" s="232"/>
      <c r="D663" s="233"/>
      <c r="E663" s="234"/>
      <c r="F663" s="234"/>
      <c r="G663" s="234"/>
      <c r="H663" s="233"/>
      <c r="I663" s="233"/>
      <c r="J663" s="234"/>
    </row>
    <row r="664" spans="1:10">
      <c r="A664" s="232"/>
      <c r="B664" s="232"/>
      <c r="C664" s="232"/>
      <c r="D664" s="233"/>
      <c r="E664" s="234"/>
      <c r="F664" s="234"/>
      <c r="G664" s="234"/>
      <c r="H664" s="233"/>
      <c r="I664" s="233"/>
      <c r="J664" s="234"/>
    </row>
    <row r="665" spans="1:10">
      <c r="A665" s="232"/>
      <c r="B665" s="232"/>
      <c r="C665" s="232"/>
      <c r="D665" s="233"/>
      <c r="E665" s="234"/>
      <c r="F665" s="234"/>
      <c r="G665" s="234"/>
      <c r="H665" s="233"/>
      <c r="I665" s="233"/>
      <c r="J665" s="234"/>
    </row>
    <row r="666" spans="1:10">
      <c r="A666" s="232"/>
      <c r="B666" s="232"/>
      <c r="C666" s="232"/>
      <c r="D666" s="233"/>
      <c r="E666" s="234"/>
      <c r="F666" s="234"/>
      <c r="G666" s="234"/>
      <c r="H666" s="233"/>
      <c r="I666" s="233"/>
      <c r="J666" s="234"/>
    </row>
    <row r="667" spans="1:10">
      <c r="A667" s="232"/>
      <c r="B667" s="232"/>
      <c r="C667" s="232"/>
      <c r="D667" s="233"/>
      <c r="E667" s="234"/>
      <c r="F667" s="234"/>
      <c r="G667" s="234"/>
      <c r="H667" s="233"/>
      <c r="I667" s="233"/>
      <c r="J667" s="234"/>
    </row>
    <row r="668" spans="1:10">
      <c r="A668" s="232"/>
      <c r="B668" s="232"/>
      <c r="C668" s="232"/>
      <c r="D668" s="233"/>
      <c r="E668" s="234"/>
      <c r="F668" s="234"/>
      <c r="G668" s="234"/>
      <c r="H668" s="233"/>
      <c r="I668" s="233"/>
      <c r="J668" s="234"/>
    </row>
    <row r="669" spans="1:10">
      <c r="A669" s="232"/>
      <c r="B669" s="232"/>
      <c r="C669" s="232"/>
      <c r="D669" s="233"/>
      <c r="E669" s="234"/>
      <c r="F669" s="234"/>
      <c r="G669" s="234"/>
      <c r="H669" s="233"/>
      <c r="I669" s="233"/>
      <c r="J669" s="234"/>
    </row>
    <row r="670" spans="1:10">
      <c r="A670" s="232"/>
      <c r="B670" s="232"/>
      <c r="C670" s="232"/>
      <c r="D670" s="233"/>
      <c r="E670" s="234"/>
      <c r="F670" s="234"/>
      <c r="G670" s="234"/>
      <c r="H670" s="233"/>
      <c r="I670" s="233"/>
      <c r="J670" s="234"/>
    </row>
    <row r="671" spans="1:10">
      <c r="A671" s="232"/>
      <c r="B671" s="232"/>
      <c r="C671" s="232"/>
      <c r="D671" s="233"/>
      <c r="E671" s="234"/>
      <c r="F671" s="234"/>
      <c r="G671" s="234"/>
      <c r="H671" s="233"/>
      <c r="I671" s="233"/>
      <c r="J671" s="234"/>
    </row>
    <row r="672" spans="1:10">
      <c r="A672" s="232"/>
      <c r="B672" s="232"/>
      <c r="C672" s="232"/>
      <c r="D672" s="233"/>
      <c r="E672" s="234"/>
      <c r="F672" s="234"/>
      <c r="G672" s="234"/>
      <c r="H672" s="233"/>
      <c r="I672" s="233"/>
      <c r="J672" s="234"/>
    </row>
    <row r="673" spans="1:10">
      <c r="A673" s="232"/>
      <c r="B673" s="232"/>
      <c r="C673" s="232"/>
      <c r="D673" s="233"/>
      <c r="E673" s="234"/>
      <c r="F673" s="234"/>
      <c r="G673" s="234"/>
      <c r="H673" s="233"/>
      <c r="I673" s="233"/>
      <c r="J673" s="234"/>
    </row>
    <row r="674" spans="1:10">
      <c r="A674" s="232"/>
      <c r="B674" s="232"/>
      <c r="C674" s="232"/>
      <c r="D674" s="233"/>
      <c r="E674" s="234"/>
      <c r="F674" s="234"/>
      <c r="G674" s="234"/>
      <c r="H674" s="233"/>
      <c r="I674" s="233"/>
      <c r="J674" s="234"/>
    </row>
    <row r="675" spans="1:10">
      <c r="A675" s="232"/>
      <c r="B675" s="232"/>
      <c r="C675" s="232"/>
      <c r="D675" s="233"/>
      <c r="E675" s="234"/>
      <c r="F675" s="234"/>
      <c r="G675" s="234"/>
      <c r="H675" s="233"/>
      <c r="I675" s="233"/>
      <c r="J675" s="234"/>
    </row>
    <row r="676" spans="1:10">
      <c r="A676" s="232"/>
      <c r="B676" s="232"/>
      <c r="C676" s="232"/>
      <c r="D676" s="233"/>
      <c r="E676" s="234"/>
      <c r="F676" s="234"/>
      <c r="G676" s="234"/>
      <c r="H676" s="233"/>
      <c r="I676" s="233"/>
      <c r="J676" s="234"/>
    </row>
    <row r="677" spans="1:10">
      <c r="A677" s="232"/>
      <c r="B677" s="232"/>
      <c r="C677" s="232"/>
      <c r="D677" s="233"/>
      <c r="E677" s="234"/>
      <c r="F677" s="234"/>
      <c r="G677" s="234"/>
      <c r="H677" s="233"/>
      <c r="I677" s="233"/>
      <c r="J677" s="234"/>
    </row>
    <row r="678" spans="1:10">
      <c r="A678" s="232"/>
      <c r="B678" s="232"/>
      <c r="C678" s="232"/>
      <c r="D678" s="233"/>
      <c r="E678" s="234"/>
      <c r="F678" s="234"/>
      <c r="G678" s="234"/>
      <c r="H678" s="233"/>
      <c r="I678" s="233"/>
      <c r="J678" s="234"/>
    </row>
    <row r="679" spans="1:10">
      <c r="A679" s="232"/>
      <c r="B679" s="232"/>
      <c r="C679" s="232"/>
      <c r="D679" s="233"/>
      <c r="E679" s="234"/>
      <c r="F679" s="234"/>
      <c r="G679" s="234"/>
      <c r="H679" s="233"/>
      <c r="I679" s="233"/>
      <c r="J679" s="234"/>
    </row>
    <row r="680" spans="1:10">
      <c r="A680" s="232"/>
      <c r="B680" s="232"/>
      <c r="C680" s="232"/>
      <c r="D680" s="233"/>
      <c r="E680" s="234"/>
      <c r="F680" s="234"/>
      <c r="G680" s="234"/>
      <c r="H680" s="233"/>
      <c r="I680" s="233"/>
      <c r="J680" s="234"/>
    </row>
    <row r="681" spans="1:10">
      <c r="A681" s="232"/>
      <c r="B681" s="232"/>
      <c r="C681" s="232"/>
      <c r="D681" s="233"/>
      <c r="E681" s="234"/>
      <c r="F681" s="234"/>
      <c r="G681" s="234"/>
      <c r="H681" s="233"/>
      <c r="I681" s="233"/>
      <c r="J681" s="234"/>
    </row>
    <row r="682" spans="1:10">
      <c r="A682" s="232"/>
      <c r="B682" s="232"/>
      <c r="C682" s="232"/>
      <c r="D682" s="233"/>
      <c r="E682" s="234"/>
      <c r="F682" s="234"/>
      <c r="G682" s="234"/>
      <c r="H682" s="233"/>
      <c r="I682" s="233"/>
      <c r="J682" s="234"/>
    </row>
    <row r="683" spans="1:10">
      <c r="A683" s="232"/>
      <c r="B683" s="232"/>
      <c r="C683" s="232"/>
      <c r="D683" s="233"/>
      <c r="E683" s="234"/>
      <c r="F683" s="234"/>
      <c r="G683" s="234"/>
      <c r="H683" s="233"/>
      <c r="I683" s="233"/>
      <c r="J683" s="234"/>
    </row>
    <row r="684" spans="1:10">
      <c r="A684" s="232"/>
      <c r="B684" s="232"/>
      <c r="C684" s="232"/>
      <c r="D684" s="233"/>
      <c r="E684" s="234"/>
      <c r="F684" s="234"/>
      <c r="G684" s="234"/>
      <c r="H684" s="233"/>
      <c r="I684" s="233"/>
      <c r="J684" s="234"/>
    </row>
    <row r="685" spans="1:10">
      <c r="A685" s="232"/>
      <c r="B685" s="232"/>
      <c r="C685" s="232"/>
      <c r="D685" s="233"/>
      <c r="E685" s="234"/>
      <c r="F685" s="234"/>
      <c r="G685" s="234"/>
      <c r="H685" s="233"/>
      <c r="I685" s="233"/>
      <c r="J685" s="234"/>
    </row>
    <row r="686" spans="1:10">
      <c r="A686" s="232"/>
      <c r="B686" s="232"/>
      <c r="C686" s="232"/>
      <c r="D686" s="233"/>
      <c r="E686" s="234"/>
      <c r="F686" s="234"/>
      <c r="G686" s="234"/>
      <c r="H686" s="233"/>
      <c r="I686" s="233"/>
      <c r="J686" s="234"/>
    </row>
    <row r="687" spans="1:10">
      <c r="A687" s="232"/>
      <c r="B687" s="232"/>
      <c r="C687" s="232"/>
      <c r="D687" s="233"/>
      <c r="E687" s="234"/>
      <c r="F687" s="234"/>
      <c r="G687" s="234"/>
      <c r="H687" s="233"/>
      <c r="I687" s="233"/>
      <c r="J687" s="234"/>
    </row>
    <row r="688" spans="1:10">
      <c r="A688" s="232"/>
      <c r="B688" s="232"/>
      <c r="C688" s="232"/>
      <c r="D688" s="233"/>
      <c r="E688" s="234"/>
      <c r="F688" s="234"/>
      <c r="G688" s="234"/>
      <c r="H688" s="233"/>
      <c r="I688" s="233"/>
      <c r="J688" s="234"/>
    </row>
    <row r="689" spans="1:10">
      <c r="A689" s="232"/>
      <c r="B689" s="232"/>
      <c r="C689" s="232"/>
      <c r="D689" s="233"/>
      <c r="E689" s="234"/>
      <c r="F689" s="234"/>
      <c r="G689" s="234"/>
      <c r="H689" s="233"/>
      <c r="I689" s="233"/>
      <c r="J689" s="234"/>
    </row>
    <row r="690" spans="1:10">
      <c r="A690" s="232"/>
      <c r="B690" s="232"/>
      <c r="C690" s="232"/>
      <c r="D690" s="233"/>
      <c r="E690" s="234"/>
      <c r="F690" s="234"/>
      <c r="G690" s="234"/>
      <c r="H690" s="233"/>
      <c r="I690" s="233"/>
      <c r="J690" s="234"/>
    </row>
    <row r="691" spans="1:10">
      <c r="A691" s="232"/>
      <c r="B691" s="232"/>
      <c r="C691" s="232"/>
      <c r="D691" s="233"/>
      <c r="E691" s="234"/>
      <c r="F691" s="234"/>
      <c r="G691" s="234"/>
      <c r="H691" s="233"/>
      <c r="I691" s="233"/>
      <c r="J691" s="234"/>
    </row>
    <row r="692" spans="1:10">
      <c r="A692" s="232"/>
      <c r="B692" s="232"/>
      <c r="C692" s="232"/>
      <c r="D692" s="233"/>
      <c r="E692" s="234"/>
      <c r="F692" s="234"/>
      <c r="G692" s="234"/>
      <c r="H692" s="233"/>
      <c r="I692" s="233"/>
      <c r="J692" s="234"/>
    </row>
    <row r="693" spans="1:10">
      <c r="A693" s="232"/>
      <c r="B693" s="232"/>
      <c r="C693" s="232"/>
      <c r="D693" s="233"/>
      <c r="E693" s="234"/>
      <c r="F693" s="234"/>
      <c r="G693" s="234"/>
      <c r="H693" s="233"/>
      <c r="I693" s="233"/>
      <c r="J693" s="234"/>
    </row>
    <row r="694" spans="1:10">
      <c r="A694" s="232"/>
      <c r="B694" s="232"/>
      <c r="C694" s="232"/>
      <c r="D694" s="233"/>
      <c r="E694" s="234"/>
      <c r="F694" s="234"/>
      <c r="G694" s="234"/>
      <c r="H694" s="233"/>
      <c r="I694" s="233"/>
      <c r="J694" s="234"/>
    </row>
    <row r="695" spans="1:10">
      <c r="A695" s="232"/>
      <c r="B695" s="232"/>
      <c r="C695" s="232"/>
      <c r="D695" s="233"/>
      <c r="E695" s="234"/>
      <c r="F695" s="234"/>
      <c r="G695" s="234"/>
      <c r="H695" s="233"/>
      <c r="I695" s="233"/>
      <c r="J695" s="234"/>
    </row>
    <row r="696" spans="1:10">
      <c r="A696" s="232"/>
      <c r="B696" s="232"/>
      <c r="C696" s="232"/>
      <c r="D696" s="233"/>
      <c r="E696" s="234"/>
      <c r="F696" s="234"/>
      <c r="G696" s="234"/>
      <c r="H696" s="233"/>
      <c r="I696" s="233"/>
      <c r="J696" s="234"/>
    </row>
    <row r="697" spans="1:10">
      <c r="A697" s="232"/>
      <c r="B697" s="232"/>
      <c r="C697" s="232"/>
      <c r="D697" s="233"/>
      <c r="E697" s="234"/>
      <c r="F697" s="234"/>
      <c r="G697" s="234"/>
      <c r="H697" s="233"/>
      <c r="I697" s="233"/>
      <c r="J697" s="234"/>
    </row>
    <row r="698" spans="1:10">
      <c r="A698" s="232"/>
      <c r="B698" s="232"/>
      <c r="C698" s="232"/>
      <c r="D698" s="233"/>
      <c r="E698" s="234"/>
      <c r="F698" s="234"/>
      <c r="G698" s="234"/>
      <c r="H698" s="233"/>
      <c r="I698" s="233"/>
      <c r="J698" s="234"/>
    </row>
    <row r="699" spans="1:10">
      <c r="A699" s="232"/>
      <c r="B699" s="232"/>
      <c r="C699" s="232"/>
      <c r="D699" s="233"/>
      <c r="E699" s="234"/>
      <c r="F699" s="234"/>
      <c r="G699" s="234"/>
      <c r="H699" s="233"/>
      <c r="I699" s="233"/>
      <c r="J699" s="234"/>
    </row>
    <row r="700" spans="1:10">
      <c r="A700" s="232"/>
      <c r="B700" s="232"/>
      <c r="C700" s="232"/>
      <c r="D700" s="233"/>
      <c r="E700" s="234"/>
      <c r="F700" s="234"/>
      <c r="G700" s="234"/>
      <c r="H700" s="233"/>
      <c r="I700" s="233"/>
      <c r="J700" s="234"/>
    </row>
    <row r="701" spans="1:10">
      <c r="A701" s="232"/>
      <c r="B701" s="232"/>
      <c r="C701" s="232"/>
      <c r="D701" s="233"/>
      <c r="E701" s="234"/>
      <c r="F701" s="234"/>
      <c r="G701" s="234"/>
      <c r="H701" s="233"/>
      <c r="I701" s="233"/>
      <c r="J701" s="234"/>
    </row>
    <row r="702" spans="1:10">
      <c r="A702" s="232"/>
      <c r="B702" s="232"/>
      <c r="C702" s="232"/>
      <c r="D702" s="233"/>
      <c r="E702" s="234"/>
      <c r="F702" s="234"/>
      <c r="G702" s="234"/>
      <c r="H702" s="233"/>
      <c r="I702" s="233"/>
      <c r="J702" s="234"/>
    </row>
    <row r="703" spans="1:10">
      <c r="A703" s="232"/>
      <c r="B703" s="232"/>
      <c r="C703" s="232"/>
      <c r="D703" s="233"/>
      <c r="E703" s="234"/>
      <c r="F703" s="234"/>
      <c r="G703" s="234"/>
      <c r="H703" s="233"/>
      <c r="I703" s="233"/>
      <c r="J703" s="234"/>
    </row>
    <row r="704" spans="1:10">
      <c r="A704" s="232"/>
      <c r="B704" s="232"/>
      <c r="C704" s="232"/>
      <c r="D704" s="233"/>
      <c r="E704" s="234"/>
      <c r="F704" s="234"/>
      <c r="G704" s="234"/>
      <c r="H704" s="233"/>
      <c r="I704" s="233"/>
      <c r="J704" s="234"/>
    </row>
    <row r="705" spans="1:10">
      <c r="A705" s="232"/>
      <c r="B705" s="232"/>
      <c r="C705" s="232"/>
      <c r="D705" s="233"/>
      <c r="E705" s="234"/>
      <c r="F705" s="234"/>
      <c r="G705" s="234"/>
      <c r="H705" s="233"/>
      <c r="I705" s="233"/>
      <c r="J705" s="234"/>
    </row>
    <row r="706" spans="1:10">
      <c r="A706" s="232"/>
      <c r="B706" s="232"/>
      <c r="C706" s="232"/>
      <c r="D706" s="233"/>
      <c r="E706" s="234"/>
      <c r="F706" s="234"/>
      <c r="G706" s="234"/>
      <c r="H706" s="233"/>
      <c r="I706" s="233"/>
      <c r="J706" s="234"/>
    </row>
    <row r="707" spans="1:10">
      <c r="A707" s="232"/>
      <c r="B707" s="232"/>
      <c r="C707" s="232"/>
      <c r="D707" s="233"/>
      <c r="E707" s="234"/>
      <c r="F707" s="234"/>
      <c r="G707" s="234"/>
      <c r="H707" s="233"/>
      <c r="I707" s="233"/>
      <c r="J707" s="234"/>
    </row>
    <row r="708" spans="1:10">
      <c r="A708" s="232"/>
      <c r="B708" s="232"/>
      <c r="C708" s="232"/>
      <c r="D708" s="233"/>
      <c r="E708" s="234"/>
      <c r="F708" s="234"/>
      <c r="G708" s="234"/>
      <c r="H708" s="233"/>
      <c r="I708" s="233"/>
      <c r="J708" s="234"/>
    </row>
    <row r="709" spans="1:10">
      <c r="A709" s="232"/>
      <c r="B709" s="232"/>
      <c r="C709" s="232"/>
      <c r="D709" s="233"/>
      <c r="E709" s="234"/>
      <c r="F709" s="234"/>
      <c r="G709" s="234"/>
      <c r="H709" s="233"/>
      <c r="I709" s="233"/>
      <c r="J709" s="234"/>
    </row>
    <row r="710" spans="1:10">
      <c r="A710" s="232"/>
      <c r="B710" s="232"/>
      <c r="C710" s="232"/>
      <c r="D710" s="233"/>
      <c r="E710" s="234"/>
      <c r="F710" s="234"/>
      <c r="G710" s="234"/>
      <c r="H710" s="233"/>
      <c r="I710" s="233"/>
      <c r="J710" s="234"/>
    </row>
    <row r="711" spans="1:10">
      <c r="A711" s="232"/>
      <c r="B711" s="232"/>
      <c r="C711" s="232"/>
      <c r="D711" s="233"/>
      <c r="E711" s="234"/>
      <c r="F711" s="234"/>
      <c r="G711" s="234"/>
      <c r="H711" s="233"/>
      <c r="I711" s="233"/>
      <c r="J711" s="234"/>
    </row>
    <row r="712" spans="1:10">
      <c r="A712" s="232"/>
      <c r="B712" s="232"/>
      <c r="C712" s="232"/>
      <c r="D712" s="233"/>
      <c r="E712" s="234"/>
      <c r="F712" s="234"/>
      <c r="G712" s="234"/>
      <c r="H712" s="233"/>
      <c r="I712" s="233"/>
      <c r="J712" s="234"/>
    </row>
    <row r="713" spans="1:10">
      <c r="A713" s="232"/>
      <c r="B713" s="232"/>
      <c r="C713" s="232"/>
      <c r="D713" s="233"/>
      <c r="E713" s="234"/>
      <c r="F713" s="234"/>
      <c r="G713" s="234"/>
      <c r="H713" s="233"/>
      <c r="I713" s="233"/>
      <c r="J713" s="234"/>
    </row>
    <row r="714" spans="1:10">
      <c r="A714" s="232"/>
      <c r="B714" s="232"/>
      <c r="C714" s="232"/>
      <c r="D714" s="233"/>
      <c r="E714" s="234"/>
      <c r="F714" s="234"/>
      <c r="G714" s="234"/>
      <c r="H714" s="233"/>
      <c r="I714" s="233"/>
      <c r="J714" s="234"/>
    </row>
    <row r="715" spans="1:10">
      <c r="A715" s="232"/>
      <c r="B715" s="232"/>
      <c r="C715" s="232"/>
      <c r="D715" s="233"/>
      <c r="E715" s="234"/>
      <c r="F715" s="234"/>
      <c r="G715" s="234"/>
      <c r="H715" s="233"/>
      <c r="I715" s="233"/>
      <c r="J715" s="234"/>
    </row>
    <row r="716" spans="1:10">
      <c r="A716" s="232"/>
      <c r="B716" s="232"/>
      <c r="C716" s="232"/>
      <c r="D716" s="233"/>
      <c r="E716" s="234"/>
      <c r="F716" s="234"/>
      <c r="G716" s="234"/>
      <c r="H716" s="233"/>
      <c r="I716" s="233"/>
      <c r="J716" s="234"/>
    </row>
    <row r="717" spans="1:10">
      <c r="A717" s="232"/>
      <c r="B717" s="232"/>
      <c r="C717" s="232"/>
      <c r="D717" s="233"/>
      <c r="E717" s="234"/>
      <c r="F717" s="234"/>
      <c r="G717" s="234"/>
      <c r="H717" s="233"/>
      <c r="I717" s="233"/>
      <c r="J717" s="234"/>
    </row>
    <row r="718" spans="1:10">
      <c r="A718" s="232"/>
      <c r="B718" s="232"/>
      <c r="C718" s="232"/>
      <c r="D718" s="233"/>
      <c r="E718" s="234"/>
      <c r="F718" s="234"/>
      <c r="G718" s="234"/>
      <c r="H718" s="233"/>
      <c r="I718" s="233"/>
      <c r="J718" s="234"/>
    </row>
    <row r="719" spans="1:10">
      <c r="A719" s="232"/>
      <c r="B719" s="232"/>
      <c r="C719" s="232"/>
      <c r="D719" s="233"/>
      <c r="E719" s="234"/>
      <c r="F719" s="234"/>
      <c r="G719" s="234"/>
      <c r="H719" s="233"/>
      <c r="I719" s="233"/>
      <c r="J719" s="234"/>
    </row>
    <row r="720" spans="1:10">
      <c r="A720" s="232"/>
      <c r="B720" s="232"/>
      <c r="C720" s="232"/>
      <c r="D720" s="233"/>
      <c r="E720" s="234"/>
      <c r="F720" s="234"/>
      <c r="G720" s="234"/>
      <c r="H720" s="233"/>
      <c r="I720" s="233"/>
      <c r="J720" s="234"/>
    </row>
    <row r="721" spans="1:10">
      <c r="A721" s="232"/>
      <c r="B721" s="232"/>
      <c r="C721" s="232"/>
      <c r="D721" s="233"/>
      <c r="E721" s="234"/>
      <c r="F721" s="234"/>
      <c r="G721" s="234"/>
      <c r="H721" s="233"/>
      <c r="I721" s="233"/>
      <c r="J721" s="234"/>
    </row>
    <row r="722" spans="1:10">
      <c r="A722" s="232"/>
      <c r="B722" s="232"/>
      <c r="C722" s="232"/>
      <c r="D722" s="233"/>
      <c r="E722" s="234"/>
      <c r="F722" s="234"/>
      <c r="G722" s="234"/>
      <c r="H722" s="233"/>
      <c r="I722" s="233"/>
      <c r="J722" s="234"/>
    </row>
    <row r="723" spans="1:10">
      <c r="A723" s="232"/>
      <c r="B723" s="232"/>
      <c r="C723" s="232"/>
      <c r="D723" s="233"/>
      <c r="E723" s="234"/>
      <c r="F723" s="234"/>
      <c r="G723" s="234"/>
      <c r="H723" s="233"/>
      <c r="I723" s="233"/>
      <c r="J723" s="234"/>
    </row>
    <row r="724" spans="1:10">
      <c r="A724" s="232"/>
      <c r="B724" s="232"/>
      <c r="C724" s="232"/>
      <c r="D724" s="233"/>
      <c r="E724" s="234"/>
      <c r="F724" s="234"/>
      <c r="G724" s="234"/>
      <c r="H724" s="233"/>
      <c r="I724" s="233"/>
      <c r="J724" s="234"/>
    </row>
    <row r="725" spans="1:10">
      <c r="A725" s="232"/>
      <c r="B725" s="232"/>
      <c r="C725" s="232"/>
      <c r="D725" s="233"/>
      <c r="E725" s="234"/>
      <c r="F725" s="234"/>
      <c r="G725" s="234"/>
      <c r="H725" s="233"/>
      <c r="I725" s="233"/>
      <c r="J725" s="234"/>
    </row>
    <row r="726" spans="1:10">
      <c r="A726" s="232"/>
      <c r="B726" s="232"/>
      <c r="C726" s="232"/>
      <c r="D726" s="233"/>
      <c r="E726" s="234"/>
      <c r="F726" s="234"/>
      <c r="G726" s="234"/>
      <c r="H726" s="233"/>
      <c r="I726" s="233"/>
      <c r="J726" s="234"/>
    </row>
    <row r="727" spans="1:10">
      <c r="A727" s="232"/>
      <c r="B727" s="232"/>
      <c r="C727" s="232"/>
      <c r="D727" s="233"/>
      <c r="E727" s="234"/>
      <c r="F727" s="234"/>
      <c r="G727" s="234"/>
      <c r="H727" s="233"/>
      <c r="I727" s="233"/>
      <c r="J727" s="234"/>
    </row>
    <row r="728" spans="1:10">
      <c r="A728" s="232"/>
      <c r="B728" s="232"/>
      <c r="C728" s="232"/>
      <c r="D728" s="233"/>
      <c r="E728" s="234"/>
      <c r="F728" s="234"/>
      <c r="G728" s="234"/>
      <c r="H728" s="233"/>
      <c r="I728" s="233"/>
      <c r="J728" s="234"/>
    </row>
    <row r="729" spans="1:10">
      <c r="A729" s="232"/>
      <c r="B729" s="232"/>
      <c r="C729" s="232"/>
      <c r="D729" s="233"/>
      <c r="E729" s="234"/>
      <c r="F729" s="234"/>
      <c r="G729" s="234"/>
      <c r="H729" s="233"/>
      <c r="I729" s="233"/>
      <c r="J729" s="234"/>
    </row>
    <row r="730" spans="1:10">
      <c r="A730" s="232"/>
      <c r="B730" s="232"/>
      <c r="C730" s="232"/>
      <c r="D730" s="233"/>
      <c r="E730" s="234"/>
      <c r="F730" s="234"/>
      <c r="G730" s="234"/>
      <c r="H730" s="233"/>
      <c r="I730" s="233"/>
      <c r="J730" s="234"/>
    </row>
    <row r="731" spans="1:10">
      <c r="A731" s="232"/>
      <c r="B731" s="232"/>
      <c r="C731" s="232"/>
      <c r="D731" s="233"/>
      <c r="E731" s="234"/>
      <c r="F731" s="234"/>
      <c r="G731" s="234"/>
      <c r="H731" s="233"/>
      <c r="I731" s="233"/>
      <c r="J731" s="234"/>
    </row>
    <row r="732" spans="1:10">
      <c r="A732" s="232"/>
      <c r="B732" s="232"/>
      <c r="C732" s="232"/>
      <c r="D732" s="233"/>
      <c r="E732" s="234"/>
      <c r="F732" s="234"/>
      <c r="G732" s="234"/>
      <c r="H732" s="233"/>
      <c r="I732" s="233"/>
      <c r="J732" s="234"/>
    </row>
    <row r="733" spans="1:10">
      <c r="A733" s="232"/>
      <c r="B733" s="232"/>
      <c r="C733" s="232"/>
      <c r="D733" s="233"/>
      <c r="E733" s="234"/>
      <c r="F733" s="234"/>
      <c r="G733" s="234"/>
      <c r="H733" s="233"/>
      <c r="I733" s="233"/>
      <c r="J733" s="234"/>
    </row>
    <row r="734" spans="1:10">
      <c r="A734" s="232"/>
      <c r="B734" s="232"/>
      <c r="C734" s="232"/>
      <c r="D734" s="233"/>
      <c r="E734" s="234"/>
      <c r="F734" s="234"/>
      <c r="G734" s="234"/>
      <c r="H734" s="233"/>
      <c r="I734" s="233"/>
      <c r="J734" s="234"/>
    </row>
    <row r="735" spans="1:10">
      <c r="A735" s="232"/>
      <c r="B735" s="232"/>
      <c r="C735" s="232"/>
      <c r="D735" s="233"/>
      <c r="E735" s="234"/>
      <c r="F735" s="234"/>
      <c r="G735" s="234"/>
      <c r="H735" s="233"/>
      <c r="I735" s="233"/>
      <c r="J735" s="234"/>
    </row>
    <row r="736" spans="1:10">
      <c r="A736" s="232"/>
      <c r="B736" s="232"/>
      <c r="C736" s="232"/>
      <c r="D736" s="233"/>
      <c r="E736" s="234"/>
      <c r="F736" s="234"/>
      <c r="G736" s="234"/>
      <c r="H736" s="233"/>
      <c r="I736" s="233"/>
      <c r="J736" s="234"/>
    </row>
    <row r="737" spans="1:10">
      <c r="A737" s="232"/>
      <c r="B737" s="232"/>
      <c r="C737" s="232"/>
      <c r="D737" s="233"/>
      <c r="E737" s="234"/>
      <c r="F737" s="234"/>
      <c r="G737" s="234"/>
      <c r="H737" s="233"/>
      <c r="I737" s="233"/>
      <c r="J737" s="234"/>
    </row>
    <row r="738" spans="1:10">
      <c r="A738" s="232"/>
      <c r="B738" s="232"/>
      <c r="C738" s="232"/>
      <c r="D738" s="233"/>
      <c r="E738" s="234"/>
      <c r="F738" s="234"/>
      <c r="G738" s="234"/>
      <c r="H738" s="233"/>
      <c r="I738" s="233"/>
      <c r="J738" s="234"/>
    </row>
    <row r="739" spans="1:10">
      <c r="A739" s="232"/>
      <c r="B739" s="232"/>
      <c r="C739" s="232"/>
      <c r="D739" s="233"/>
      <c r="E739" s="234"/>
      <c r="F739" s="234"/>
      <c r="G739" s="234"/>
      <c r="H739" s="233"/>
      <c r="I739" s="233"/>
      <c r="J739" s="234"/>
    </row>
    <row r="740" spans="1:10">
      <c r="A740" s="232"/>
      <c r="B740" s="232"/>
      <c r="C740" s="232"/>
      <c r="D740" s="233"/>
      <c r="E740" s="234"/>
      <c r="F740" s="234"/>
      <c r="G740" s="234"/>
      <c r="H740" s="233"/>
      <c r="I740" s="233"/>
      <c r="J740" s="234"/>
    </row>
    <row r="741" spans="1:10">
      <c r="A741" s="232"/>
      <c r="B741" s="232"/>
      <c r="C741" s="232"/>
      <c r="D741" s="233"/>
      <c r="E741" s="234"/>
      <c r="F741" s="234"/>
      <c r="G741" s="234"/>
      <c r="H741" s="233"/>
      <c r="I741" s="233"/>
      <c r="J741" s="234"/>
    </row>
    <row r="742" spans="1:10">
      <c r="A742" s="232"/>
      <c r="B742" s="232"/>
      <c r="C742" s="232"/>
      <c r="D742" s="233"/>
      <c r="E742" s="234"/>
      <c r="F742" s="234"/>
      <c r="G742" s="234"/>
      <c r="H742" s="233"/>
      <c r="I742" s="233"/>
      <c r="J742" s="234"/>
    </row>
    <row r="743" spans="1:10">
      <c r="A743" s="232"/>
      <c r="B743" s="232"/>
      <c r="C743" s="232"/>
      <c r="D743" s="233"/>
      <c r="E743" s="234"/>
      <c r="F743" s="234"/>
      <c r="G743" s="234"/>
      <c r="H743" s="233"/>
      <c r="I743" s="233"/>
      <c r="J743" s="234"/>
    </row>
    <row r="744" spans="1:10">
      <c r="A744" s="232"/>
      <c r="B744" s="232"/>
      <c r="C744" s="232"/>
      <c r="D744" s="233"/>
      <c r="E744" s="234"/>
      <c r="F744" s="234"/>
      <c r="G744" s="234"/>
      <c r="H744" s="233"/>
      <c r="I744" s="233"/>
      <c r="J744" s="234"/>
    </row>
    <row r="745" spans="1:10">
      <c r="A745" s="232"/>
      <c r="B745" s="232"/>
      <c r="C745" s="232"/>
      <c r="D745" s="233"/>
      <c r="E745" s="234"/>
      <c r="F745" s="234"/>
      <c r="G745" s="234"/>
      <c r="H745" s="233"/>
      <c r="I745" s="233"/>
      <c r="J745" s="234"/>
    </row>
    <row r="746" spans="1:10">
      <c r="A746" s="232"/>
      <c r="B746" s="232"/>
      <c r="C746" s="232"/>
      <c r="D746" s="233"/>
      <c r="E746" s="234"/>
      <c r="F746" s="234"/>
      <c r="G746" s="234"/>
      <c r="H746" s="233"/>
      <c r="I746" s="233"/>
      <c r="J746" s="234"/>
    </row>
    <row r="747" spans="1:10">
      <c r="A747" s="232"/>
      <c r="B747" s="232"/>
      <c r="C747" s="232"/>
      <c r="D747" s="233"/>
      <c r="E747" s="234"/>
      <c r="F747" s="234"/>
      <c r="G747" s="234"/>
      <c r="H747" s="233"/>
      <c r="I747" s="233"/>
      <c r="J747" s="234"/>
    </row>
    <row r="748" spans="1:10">
      <c r="A748" s="232"/>
      <c r="B748" s="232"/>
      <c r="C748" s="232"/>
      <c r="D748" s="233"/>
      <c r="E748" s="234"/>
      <c r="F748" s="234"/>
      <c r="G748" s="234"/>
      <c r="H748" s="233"/>
      <c r="I748" s="233"/>
      <c r="J748" s="234"/>
    </row>
    <row r="749" spans="1:10">
      <c r="A749" s="232"/>
      <c r="B749" s="232"/>
      <c r="C749" s="232"/>
      <c r="D749" s="233"/>
      <c r="E749" s="234"/>
      <c r="F749" s="234"/>
      <c r="G749" s="234"/>
      <c r="H749" s="233"/>
      <c r="I749" s="233"/>
      <c r="J749" s="234"/>
    </row>
    <row r="750" spans="1:10">
      <c r="A750" s="232"/>
      <c r="B750" s="232"/>
      <c r="C750" s="232"/>
      <c r="D750" s="233"/>
      <c r="E750" s="234"/>
      <c r="F750" s="234"/>
      <c r="G750" s="234"/>
      <c r="H750" s="233"/>
      <c r="I750" s="233"/>
      <c r="J750" s="234"/>
    </row>
    <row r="751" spans="1:10">
      <c r="A751" s="232"/>
      <c r="B751" s="232"/>
      <c r="C751" s="232"/>
      <c r="D751" s="233"/>
      <c r="E751" s="234"/>
      <c r="F751" s="234"/>
      <c r="G751" s="234"/>
      <c r="H751" s="233"/>
      <c r="I751" s="233"/>
      <c r="J751" s="234"/>
    </row>
    <row r="752" spans="1:10">
      <c r="A752" s="232"/>
      <c r="B752" s="232"/>
      <c r="C752" s="232"/>
      <c r="D752" s="233"/>
      <c r="E752" s="234"/>
      <c r="F752" s="234"/>
      <c r="G752" s="234"/>
      <c r="H752" s="233"/>
      <c r="I752" s="233"/>
      <c r="J752" s="234"/>
    </row>
    <row r="753" spans="1:10">
      <c r="A753" s="232"/>
      <c r="B753" s="232"/>
      <c r="C753" s="232"/>
      <c r="D753" s="233"/>
      <c r="E753" s="234"/>
      <c r="F753" s="234"/>
      <c r="G753" s="234"/>
      <c r="H753" s="233"/>
      <c r="I753" s="233"/>
      <c r="J753" s="234"/>
    </row>
    <row r="754" spans="1:10">
      <c r="A754" s="232"/>
      <c r="B754" s="232"/>
      <c r="C754" s="232"/>
      <c r="D754" s="233"/>
      <c r="E754" s="234"/>
      <c r="F754" s="234"/>
      <c r="G754" s="234"/>
      <c r="H754" s="233"/>
      <c r="I754" s="233"/>
      <c r="J754" s="234"/>
    </row>
    <row r="755" spans="1:10">
      <c r="A755" s="232"/>
      <c r="B755" s="232"/>
      <c r="C755" s="232"/>
      <c r="D755" s="233"/>
      <c r="E755" s="234"/>
      <c r="F755" s="234"/>
      <c r="G755" s="234"/>
      <c r="H755" s="233"/>
      <c r="I755" s="233"/>
      <c r="J755" s="234"/>
    </row>
    <row r="756" spans="1:10">
      <c r="A756" s="232"/>
      <c r="B756" s="232"/>
      <c r="C756" s="232"/>
      <c r="D756" s="233"/>
      <c r="E756" s="234"/>
      <c r="F756" s="234"/>
      <c r="G756" s="234"/>
      <c r="H756" s="233"/>
      <c r="I756" s="233"/>
      <c r="J756" s="234"/>
    </row>
    <row r="757" spans="1:10">
      <c r="A757" s="232"/>
      <c r="B757" s="232"/>
      <c r="C757" s="232"/>
      <c r="D757" s="233"/>
      <c r="E757" s="234"/>
      <c r="F757" s="234"/>
      <c r="G757" s="234"/>
      <c r="H757" s="233"/>
      <c r="I757" s="233"/>
      <c r="J757" s="234"/>
    </row>
    <row r="758" spans="1:10">
      <c r="A758" s="232"/>
      <c r="B758" s="232"/>
      <c r="C758" s="232"/>
      <c r="D758" s="233"/>
      <c r="E758" s="234"/>
      <c r="F758" s="234"/>
      <c r="G758" s="234"/>
      <c r="H758" s="233"/>
      <c r="I758" s="233"/>
      <c r="J758" s="234"/>
    </row>
    <row r="759" spans="1:10">
      <c r="A759" s="232"/>
      <c r="B759" s="232"/>
      <c r="C759" s="232"/>
      <c r="D759" s="233"/>
      <c r="E759" s="234"/>
      <c r="F759" s="234"/>
      <c r="G759" s="234"/>
      <c r="H759" s="233"/>
      <c r="I759" s="233"/>
      <c r="J759" s="234"/>
    </row>
    <row r="760" spans="1:10">
      <c r="A760" s="232"/>
      <c r="B760" s="232"/>
      <c r="C760" s="232"/>
      <c r="D760" s="233"/>
      <c r="E760" s="234"/>
      <c r="F760" s="234"/>
      <c r="G760" s="234"/>
      <c r="H760" s="233"/>
      <c r="I760" s="233"/>
      <c r="J760" s="234"/>
    </row>
    <row r="761" spans="1:10">
      <c r="A761" s="232"/>
      <c r="B761" s="232"/>
      <c r="C761" s="232"/>
      <c r="D761" s="233"/>
      <c r="E761" s="234"/>
      <c r="F761" s="234"/>
      <c r="G761" s="234"/>
      <c r="H761" s="233"/>
      <c r="I761" s="233"/>
      <c r="J761" s="234"/>
    </row>
    <row r="762" spans="1:10">
      <c r="A762" s="232"/>
      <c r="B762" s="232"/>
      <c r="C762" s="232"/>
      <c r="D762" s="233"/>
      <c r="E762" s="234"/>
      <c r="F762" s="234"/>
      <c r="G762" s="234"/>
      <c r="H762" s="233"/>
      <c r="I762" s="233"/>
      <c r="J762" s="234"/>
    </row>
    <row r="763" spans="1:10">
      <c r="A763" s="232"/>
      <c r="B763" s="232"/>
      <c r="C763" s="232"/>
      <c r="D763" s="233"/>
      <c r="E763" s="234"/>
      <c r="F763" s="234"/>
      <c r="G763" s="234"/>
      <c r="H763" s="233"/>
      <c r="I763" s="233"/>
      <c r="J763" s="234"/>
    </row>
    <row r="764" spans="1:10">
      <c r="A764" s="232"/>
      <c r="B764" s="232"/>
      <c r="C764" s="232"/>
      <c r="D764" s="233"/>
      <c r="E764" s="234"/>
      <c r="F764" s="234"/>
      <c r="G764" s="234"/>
      <c r="H764" s="233"/>
      <c r="I764" s="233"/>
      <c r="J764" s="234"/>
    </row>
    <row r="765" spans="1:10">
      <c r="A765" s="232"/>
      <c r="B765" s="232"/>
      <c r="C765" s="232"/>
      <c r="D765" s="233"/>
      <c r="E765" s="234"/>
      <c r="F765" s="234"/>
      <c r="G765" s="234"/>
      <c r="H765" s="233"/>
      <c r="I765" s="233"/>
      <c r="J765" s="234"/>
    </row>
    <row r="766" spans="1:10">
      <c r="A766" s="232"/>
      <c r="B766" s="232"/>
      <c r="C766" s="232"/>
      <c r="D766" s="233"/>
      <c r="E766" s="234"/>
      <c r="F766" s="234"/>
      <c r="G766" s="234"/>
      <c r="H766" s="233"/>
      <c r="I766" s="233"/>
      <c r="J766" s="234"/>
    </row>
    <row r="767" spans="1:10">
      <c r="A767" s="232"/>
      <c r="B767" s="232"/>
      <c r="C767" s="232"/>
      <c r="D767" s="233"/>
      <c r="E767" s="234"/>
      <c r="F767" s="234"/>
      <c r="G767" s="234"/>
      <c r="H767" s="233"/>
      <c r="I767" s="233"/>
      <c r="J767" s="234"/>
    </row>
    <row r="768" spans="1:10">
      <c r="A768" s="232"/>
      <c r="B768" s="232"/>
      <c r="C768" s="232"/>
      <c r="D768" s="233"/>
      <c r="E768" s="234"/>
      <c r="F768" s="234"/>
      <c r="G768" s="234"/>
      <c r="H768" s="233"/>
      <c r="I768" s="233"/>
      <c r="J768" s="234"/>
    </row>
    <row r="769" spans="1:10">
      <c r="A769" s="232"/>
      <c r="B769" s="232"/>
      <c r="C769" s="232"/>
      <c r="D769" s="233"/>
      <c r="E769" s="234"/>
      <c r="F769" s="234"/>
      <c r="G769" s="234"/>
      <c r="H769" s="233"/>
      <c r="I769" s="233"/>
      <c r="J769" s="234"/>
    </row>
    <row r="770" spans="1:10">
      <c r="A770" s="232"/>
      <c r="B770" s="232"/>
      <c r="C770" s="232"/>
      <c r="D770" s="233"/>
      <c r="E770" s="234"/>
      <c r="F770" s="234"/>
      <c r="G770" s="234"/>
      <c r="H770" s="233"/>
      <c r="I770" s="233"/>
      <c r="J770" s="234"/>
    </row>
    <row r="771" spans="1:10">
      <c r="A771" s="232"/>
      <c r="B771" s="232"/>
      <c r="C771" s="232"/>
      <c r="D771" s="233"/>
      <c r="E771" s="234"/>
      <c r="F771" s="234"/>
      <c r="G771" s="234"/>
      <c r="H771" s="233"/>
      <c r="I771" s="233"/>
      <c r="J771" s="234"/>
    </row>
    <row r="772" spans="1:10">
      <c r="A772" s="232"/>
      <c r="B772" s="232"/>
      <c r="C772" s="232"/>
      <c r="D772" s="233"/>
      <c r="E772" s="234"/>
      <c r="F772" s="234"/>
      <c r="G772" s="234"/>
      <c r="H772" s="233"/>
      <c r="I772" s="233"/>
      <c r="J772" s="234"/>
    </row>
    <row r="773" spans="1:10">
      <c r="A773" s="232"/>
      <c r="B773" s="232"/>
      <c r="C773" s="232"/>
      <c r="D773" s="233"/>
      <c r="E773" s="234"/>
      <c r="F773" s="234"/>
      <c r="G773" s="234"/>
      <c r="H773" s="233"/>
      <c r="I773" s="233"/>
      <c r="J773" s="234"/>
    </row>
    <row r="774" spans="1:10">
      <c r="A774" s="232"/>
      <c r="B774" s="232"/>
      <c r="C774" s="232"/>
      <c r="D774" s="233"/>
      <c r="E774" s="234"/>
      <c r="F774" s="234"/>
      <c r="G774" s="234"/>
      <c r="H774" s="233"/>
      <c r="I774" s="233"/>
      <c r="J774" s="234"/>
    </row>
    <row r="775" spans="1:10">
      <c r="A775" s="232"/>
      <c r="B775" s="232"/>
      <c r="C775" s="232"/>
      <c r="D775" s="233"/>
      <c r="E775" s="234"/>
      <c r="F775" s="234"/>
      <c r="G775" s="234"/>
      <c r="H775" s="233"/>
      <c r="I775" s="233"/>
      <c r="J775" s="234"/>
    </row>
    <row r="776" spans="1:10">
      <c r="A776" s="232"/>
      <c r="B776" s="232"/>
      <c r="C776" s="232"/>
      <c r="D776" s="233"/>
      <c r="E776" s="234"/>
      <c r="F776" s="234"/>
      <c r="G776" s="234"/>
      <c r="H776" s="233"/>
      <c r="I776" s="233"/>
      <c r="J776" s="234"/>
    </row>
    <row r="777" spans="1:10">
      <c r="A777" s="232"/>
      <c r="B777" s="232"/>
      <c r="C777" s="232"/>
      <c r="D777" s="233"/>
      <c r="E777" s="234"/>
      <c r="F777" s="234"/>
      <c r="G777" s="234"/>
      <c r="H777" s="233"/>
      <c r="I777" s="233"/>
      <c r="J777" s="234"/>
    </row>
    <row r="778" spans="1:10">
      <c r="A778" s="232"/>
      <c r="B778" s="232"/>
      <c r="C778" s="232"/>
      <c r="D778" s="233"/>
      <c r="E778" s="234"/>
      <c r="F778" s="234"/>
      <c r="G778" s="234"/>
      <c r="H778" s="233"/>
      <c r="I778" s="233"/>
      <c r="J778" s="234"/>
    </row>
    <row r="779" spans="1:10">
      <c r="A779" s="232"/>
      <c r="B779" s="232"/>
      <c r="C779" s="232"/>
      <c r="D779" s="233"/>
      <c r="E779" s="234"/>
      <c r="F779" s="234"/>
      <c r="G779" s="234"/>
      <c r="H779" s="233"/>
      <c r="I779" s="233"/>
      <c r="J779" s="234"/>
    </row>
    <row r="780" spans="1:10">
      <c r="A780" s="232"/>
      <c r="B780" s="232"/>
      <c r="C780" s="232"/>
      <c r="D780" s="233"/>
      <c r="E780" s="234"/>
      <c r="F780" s="234"/>
      <c r="G780" s="234"/>
      <c r="H780" s="233"/>
      <c r="I780" s="233"/>
      <c r="J780" s="234"/>
    </row>
    <row r="781" spans="1:10">
      <c r="A781" s="232"/>
      <c r="B781" s="232"/>
      <c r="C781" s="232"/>
      <c r="D781" s="233"/>
      <c r="E781" s="234"/>
      <c r="F781" s="234"/>
      <c r="G781" s="234"/>
      <c r="H781" s="233"/>
      <c r="I781" s="233"/>
      <c r="J781" s="234"/>
    </row>
    <row r="782" spans="1:10">
      <c r="A782" s="232"/>
      <c r="B782" s="232"/>
      <c r="C782" s="232"/>
      <c r="D782" s="233"/>
      <c r="E782" s="234"/>
      <c r="F782" s="234"/>
      <c r="G782" s="234"/>
      <c r="H782" s="233"/>
      <c r="I782" s="233"/>
      <c r="J782" s="234"/>
    </row>
    <row r="783" spans="1:10">
      <c r="A783" s="232"/>
      <c r="B783" s="232"/>
      <c r="C783" s="232"/>
      <c r="D783" s="233"/>
      <c r="E783" s="234"/>
      <c r="F783" s="234"/>
      <c r="G783" s="234"/>
      <c r="H783" s="233"/>
      <c r="I783" s="233"/>
      <c r="J783" s="234"/>
    </row>
    <row r="784" spans="1:10">
      <c r="A784" s="232"/>
      <c r="B784" s="232"/>
      <c r="C784" s="232"/>
      <c r="D784" s="233"/>
      <c r="E784" s="234"/>
      <c r="F784" s="234"/>
      <c r="G784" s="234"/>
      <c r="H784" s="233"/>
      <c r="I784" s="233"/>
      <c r="J784" s="234"/>
    </row>
    <row r="785" spans="1:10">
      <c r="A785" s="232"/>
      <c r="B785" s="232"/>
      <c r="C785" s="232"/>
      <c r="D785" s="233"/>
      <c r="E785" s="234"/>
      <c r="F785" s="234"/>
      <c r="G785" s="234"/>
      <c r="H785" s="233"/>
      <c r="I785" s="233"/>
      <c r="J785" s="234"/>
    </row>
    <row r="786" spans="1:10">
      <c r="A786" s="232"/>
      <c r="B786" s="232"/>
      <c r="C786" s="232"/>
      <c r="D786" s="233"/>
      <c r="E786" s="234"/>
      <c r="F786" s="234"/>
      <c r="G786" s="234"/>
      <c r="H786" s="233"/>
      <c r="I786" s="233"/>
      <c r="J786" s="234"/>
    </row>
    <row r="787" spans="1:10">
      <c r="A787" s="232"/>
      <c r="B787" s="232"/>
      <c r="C787" s="232"/>
      <c r="D787" s="233"/>
      <c r="E787" s="234"/>
      <c r="F787" s="234"/>
      <c r="G787" s="234"/>
      <c r="H787" s="233"/>
      <c r="I787" s="233"/>
      <c r="J787" s="234"/>
    </row>
    <row r="788" spans="1:10">
      <c r="A788" s="232"/>
      <c r="B788" s="232"/>
      <c r="C788" s="232"/>
      <c r="D788" s="233"/>
      <c r="E788" s="234"/>
      <c r="F788" s="234"/>
      <c r="G788" s="234"/>
      <c r="H788" s="233"/>
      <c r="I788" s="233"/>
      <c r="J788" s="234"/>
    </row>
    <row r="789" spans="1:10">
      <c r="A789" s="232"/>
      <c r="B789" s="232"/>
      <c r="C789" s="232"/>
      <c r="D789" s="233"/>
      <c r="E789" s="234"/>
      <c r="F789" s="234"/>
      <c r="G789" s="234"/>
      <c r="H789" s="233"/>
      <c r="I789" s="233"/>
      <c r="J789" s="234"/>
    </row>
    <row r="790" spans="1:10">
      <c r="A790" s="232"/>
      <c r="B790" s="232"/>
      <c r="C790" s="232"/>
      <c r="D790" s="233"/>
      <c r="E790" s="234"/>
      <c r="F790" s="234"/>
      <c r="G790" s="234"/>
      <c r="H790" s="233"/>
      <c r="I790" s="233"/>
      <c r="J790" s="234"/>
    </row>
    <row r="791" spans="1:10">
      <c r="A791" s="232"/>
      <c r="B791" s="232"/>
      <c r="C791" s="232"/>
      <c r="D791" s="233"/>
      <c r="E791" s="234"/>
      <c r="F791" s="234"/>
      <c r="G791" s="234"/>
      <c r="H791" s="233"/>
      <c r="I791" s="233"/>
      <c r="J791" s="234"/>
    </row>
    <row r="792" spans="1:10">
      <c r="A792" s="232"/>
      <c r="B792" s="232"/>
      <c r="C792" s="232"/>
      <c r="D792" s="233"/>
      <c r="E792" s="234"/>
      <c r="F792" s="234"/>
      <c r="G792" s="234"/>
      <c r="H792" s="233"/>
      <c r="I792" s="233"/>
      <c r="J792" s="234"/>
    </row>
    <row r="793" spans="1:10">
      <c r="A793" s="232"/>
      <c r="B793" s="232"/>
      <c r="C793" s="232"/>
      <c r="D793" s="233"/>
      <c r="E793" s="234"/>
      <c r="F793" s="234"/>
      <c r="G793" s="234"/>
      <c r="H793" s="233"/>
      <c r="I793" s="233"/>
      <c r="J793" s="234"/>
    </row>
    <row r="794" spans="1:10">
      <c r="A794" s="232"/>
      <c r="B794" s="232"/>
      <c r="C794" s="232"/>
      <c r="D794" s="233"/>
      <c r="E794" s="234"/>
      <c r="F794" s="234"/>
      <c r="G794" s="234"/>
      <c r="H794" s="233"/>
      <c r="I794" s="233"/>
      <c r="J794" s="234"/>
    </row>
    <row r="795" spans="1:10">
      <c r="A795" s="232"/>
      <c r="B795" s="232"/>
      <c r="C795" s="232"/>
      <c r="D795" s="233"/>
      <c r="E795" s="234"/>
      <c r="F795" s="234"/>
      <c r="G795" s="234"/>
      <c r="H795" s="233"/>
      <c r="I795" s="233"/>
      <c r="J795" s="234"/>
    </row>
    <row r="796" spans="1:10">
      <c r="A796" s="232"/>
      <c r="B796" s="232"/>
      <c r="C796" s="232"/>
      <c r="D796" s="233"/>
      <c r="E796" s="234"/>
      <c r="F796" s="234"/>
      <c r="G796" s="234"/>
      <c r="H796" s="233"/>
      <c r="I796" s="233"/>
      <c r="J796" s="234"/>
    </row>
    <row r="797" spans="1:10">
      <c r="A797" s="232"/>
      <c r="B797" s="232"/>
      <c r="C797" s="232"/>
      <c r="D797" s="233"/>
      <c r="E797" s="234"/>
      <c r="F797" s="234"/>
      <c r="G797" s="234"/>
      <c r="H797" s="233"/>
      <c r="I797" s="233"/>
      <c r="J797" s="234"/>
    </row>
    <row r="798" spans="1:10">
      <c r="A798" s="232"/>
      <c r="B798" s="232"/>
      <c r="C798" s="232"/>
      <c r="D798" s="233"/>
      <c r="E798" s="234"/>
      <c r="F798" s="234"/>
      <c r="G798" s="234"/>
      <c r="H798" s="233"/>
      <c r="I798" s="233"/>
      <c r="J798" s="234"/>
    </row>
    <row r="799" spans="1:10">
      <c r="A799" s="232"/>
      <c r="B799" s="232"/>
      <c r="C799" s="232"/>
      <c r="D799" s="233"/>
      <c r="E799" s="234"/>
      <c r="F799" s="234"/>
      <c r="G799" s="234"/>
      <c r="H799" s="233"/>
      <c r="I799" s="233"/>
      <c r="J799" s="234"/>
    </row>
    <row r="800" spans="1:10">
      <c r="A800" s="232"/>
      <c r="B800" s="232"/>
      <c r="C800" s="232"/>
      <c r="D800" s="233"/>
      <c r="E800" s="234"/>
      <c r="F800" s="234"/>
      <c r="G800" s="234"/>
      <c r="H800" s="233"/>
      <c r="I800" s="233"/>
      <c r="J800" s="234"/>
    </row>
    <row r="801" spans="1:10">
      <c r="A801" s="232"/>
      <c r="B801" s="232"/>
      <c r="C801" s="232"/>
      <c r="D801" s="233"/>
      <c r="E801" s="234"/>
      <c r="F801" s="234"/>
      <c r="G801" s="234"/>
      <c r="H801" s="233"/>
      <c r="I801" s="233"/>
      <c r="J801" s="234"/>
    </row>
    <row r="802" spans="1:10">
      <c r="A802" s="232"/>
      <c r="B802" s="232"/>
      <c r="C802" s="232"/>
      <c r="D802" s="233"/>
      <c r="E802" s="234"/>
      <c r="F802" s="234"/>
      <c r="G802" s="234"/>
      <c r="H802" s="233"/>
      <c r="I802" s="233"/>
      <c r="J802" s="234"/>
    </row>
    <row r="803" spans="1:10">
      <c r="A803" s="232"/>
      <c r="B803" s="232"/>
      <c r="C803" s="232"/>
      <c r="D803" s="233"/>
      <c r="E803" s="234"/>
      <c r="F803" s="234"/>
      <c r="G803" s="234"/>
      <c r="H803" s="233"/>
      <c r="I803" s="233"/>
      <c r="J803" s="234"/>
    </row>
    <row r="804" spans="1:10">
      <c r="A804" s="232"/>
      <c r="B804" s="232"/>
      <c r="C804" s="232"/>
      <c r="D804" s="233"/>
      <c r="E804" s="234"/>
      <c r="F804" s="234"/>
      <c r="G804" s="234"/>
      <c r="H804" s="233"/>
      <c r="I804" s="233"/>
      <c r="J804" s="234"/>
    </row>
    <row r="805" spans="1:10">
      <c r="A805" s="232"/>
      <c r="B805" s="232"/>
      <c r="C805" s="232"/>
      <c r="D805" s="233"/>
      <c r="E805" s="234"/>
      <c r="F805" s="234"/>
      <c r="G805" s="234"/>
      <c r="H805" s="233"/>
      <c r="I805" s="233"/>
      <c r="J805" s="234"/>
    </row>
    <row r="806" spans="1:10">
      <c r="A806" s="232"/>
      <c r="B806" s="232"/>
      <c r="C806" s="232"/>
      <c r="D806" s="233"/>
      <c r="E806" s="234"/>
      <c r="F806" s="234"/>
      <c r="G806" s="234"/>
      <c r="H806" s="233"/>
      <c r="I806" s="233"/>
      <c r="J806" s="234"/>
    </row>
    <row r="807" spans="1:10">
      <c r="A807" s="232"/>
      <c r="B807" s="232"/>
      <c r="C807" s="232"/>
      <c r="D807" s="233"/>
      <c r="E807" s="234"/>
      <c r="F807" s="234"/>
      <c r="G807" s="234"/>
      <c r="H807" s="233"/>
      <c r="I807" s="233"/>
      <c r="J807" s="234"/>
    </row>
    <row r="808" spans="1:10">
      <c r="A808" s="232"/>
      <c r="B808" s="232"/>
      <c r="C808" s="232"/>
      <c r="D808" s="233"/>
      <c r="E808" s="234"/>
      <c r="F808" s="234"/>
      <c r="G808" s="234"/>
      <c r="H808" s="233"/>
      <c r="I808" s="233"/>
      <c r="J808" s="234"/>
    </row>
    <row r="809" spans="1:10">
      <c r="A809" s="232"/>
      <c r="B809" s="232"/>
      <c r="C809" s="232"/>
      <c r="D809" s="233"/>
      <c r="E809" s="234"/>
      <c r="F809" s="234"/>
      <c r="G809" s="234"/>
      <c r="H809" s="233"/>
      <c r="I809" s="233"/>
      <c r="J809" s="234"/>
    </row>
    <row r="810" spans="1:10">
      <c r="A810" s="232"/>
      <c r="B810" s="232"/>
      <c r="C810" s="232"/>
      <c r="D810" s="233"/>
      <c r="E810" s="234"/>
      <c r="F810" s="234"/>
      <c r="G810" s="234"/>
      <c r="H810" s="233"/>
      <c r="I810" s="233"/>
      <c r="J810" s="234"/>
    </row>
    <row r="811" spans="1:10">
      <c r="A811" s="232"/>
      <c r="B811" s="232"/>
      <c r="C811" s="232"/>
      <c r="D811" s="233"/>
      <c r="E811" s="234"/>
      <c r="F811" s="234"/>
      <c r="G811" s="234"/>
      <c r="H811" s="233"/>
      <c r="I811" s="233"/>
      <c r="J811" s="234"/>
    </row>
    <row r="812" spans="1:10">
      <c r="A812" s="232"/>
      <c r="B812" s="232"/>
      <c r="C812" s="232"/>
      <c r="D812" s="233"/>
      <c r="E812" s="234"/>
      <c r="F812" s="234"/>
      <c r="G812" s="234"/>
      <c r="H812" s="233"/>
      <c r="I812" s="233"/>
      <c r="J812" s="234"/>
    </row>
    <row r="813" spans="1:10">
      <c r="A813" s="232"/>
      <c r="B813" s="232"/>
      <c r="C813" s="232"/>
      <c r="D813" s="233"/>
      <c r="E813" s="234"/>
      <c r="F813" s="234"/>
      <c r="G813" s="234"/>
      <c r="H813" s="233"/>
      <c r="I813" s="233"/>
      <c r="J813" s="234"/>
    </row>
    <row r="814" spans="1:10">
      <c r="A814" s="232"/>
      <c r="B814" s="232"/>
      <c r="C814" s="232"/>
      <c r="D814" s="233"/>
      <c r="E814" s="234"/>
      <c r="F814" s="234"/>
      <c r="G814" s="234"/>
      <c r="H814" s="233"/>
      <c r="I814" s="233"/>
      <c r="J814" s="234"/>
    </row>
    <row r="815" spans="1:10">
      <c r="A815" s="232"/>
      <c r="B815" s="232"/>
      <c r="C815" s="232"/>
      <c r="D815" s="233"/>
      <c r="E815" s="234"/>
      <c r="F815" s="234"/>
      <c r="G815" s="234"/>
      <c r="H815" s="233"/>
      <c r="I815" s="233"/>
      <c r="J815" s="234"/>
    </row>
    <row r="816" spans="1:10">
      <c r="A816" s="232"/>
      <c r="B816" s="232"/>
      <c r="C816" s="232"/>
      <c r="D816" s="233"/>
      <c r="E816" s="234"/>
      <c r="F816" s="234"/>
      <c r="G816" s="234"/>
      <c r="H816" s="233"/>
      <c r="I816" s="233"/>
      <c r="J816" s="234"/>
    </row>
    <row r="817" spans="1:10">
      <c r="A817" s="232"/>
      <c r="B817" s="232"/>
      <c r="C817" s="232"/>
      <c r="D817" s="233"/>
      <c r="E817" s="234"/>
      <c r="F817" s="234"/>
      <c r="G817" s="234"/>
      <c r="H817" s="233"/>
      <c r="I817" s="233"/>
      <c r="J817" s="234"/>
    </row>
    <row r="818" spans="1:10">
      <c r="A818" s="232"/>
      <c r="B818" s="232"/>
      <c r="C818" s="232"/>
      <c r="D818" s="233"/>
      <c r="E818" s="234"/>
      <c r="F818" s="234"/>
      <c r="G818" s="234"/>
      <c r="H818" s="233"/>
      <c r="I818" s="233"/>
      <c r="J818" s="234"/>
    </row>
    <row r="819" spans="1:10">
      <c r="A819" s="232"/>
      <c r="B819" s="232"/>
      <c r="C819" s="232"/>
      <c r="D819" s="233"/>
      <c r="E819" s="234"/>
      <c r="F819" s="234"/>
      <c r="G819" s="234"/>
      <c r="H819" s="233"/>
      <c r="I819" s="233"/>
      <c r="J819" s="234"/>
    </row>
    <row r="820" spans="1:10">
      <c r="A820" s="232"/>
      <c r="B820" s="232"/>
      <c r="C820" s="232"/>
      <c r="D820" s="233"/>
      <c r="E820" s="234"/>
      <c r="F820" s="234"/>
      <c r="G820" s="234"/>
      <c r="H820" s="233"/>
      <c r="I820" s="233"/>
      <c r="J820" s="234"/>
    </row>
    <row r="821" spans="1:10">
      <c r="A821" s="232"/>
      <c r="B821" s="232"/>
      <c r="C821" s="232"/>
      <c r="D821" s="233"/>
      <c r="E821" s="234"/>
      <c r="F821" s="234"/>
      <c r="G821" s="234"/>
      <c r="H821" s="233"/>
      <c r="I821" s="233"/>
      <c r="J821" s="234"/>
    </row>
    <row r="822" spans="1:10">
      <c r="A822" s="232"/>
      <c r="B822" s="232"/>
      <c r="C822" s="232"/>
      <c r="D822" s="233"/>
      <c r="E822" s="234"/>
      <c r="F822" s="234"/>
      <c r="G822" s="234"/>
      <c r="H822" s="233"/>
      <c r="I822" s="233"/>
      <c r="J822" s="234"/>
    </row>
    <row r="823" spans="1:10">
      <c r="A823" s="232"/>
      <c r="B823" s="232"/>
      <c r="C823" s="232"/>
      <c r="D823" s="233"/>
      <c r="E823" s="234"/>
      <c r="F823" s="234"/>
      <c r="G823" s="234"/>
      <c r="H823" s="233"/>
      <c r="I823" s="233"/>
      <c r="J823" s="234"/>
    </row>
    <row r="824" spans="1:10">
      <c r="A824" s="232"/>
      <c r="B824" s="232"/>
      <c r="C824" s="232"/>
      <c r="D824" s="233"/>
      <c r="E824" s="234"/>
      <c r="F824" s="234"/>
      <c r="G824" s="234"/>
      <c r="H824" s="233"/>
      <c r="I824" s="233"/>
      <c r="J824" s="234"/>
    </row>
    <row r="825" spans="1:10">
      <c r="A825" s="232"/>
      <c r="B825" s="232"/>
      <c r="C825" s="232"/>
      <c r="D825" s="233"/>
      <c r="E825" s="234"/>
      <c r="F825" s="234"/>
      <c r="G825" s="234"/>
      <c r="H825" s="233"/>
      <c r="I825" s="233"/>
      <c r="J825" s="234"/>
    </row>
    <row r="826" spans="1:10">
      <c r="A826" s="232"/>
      <c r="B826" s="232"/>
      <c r="C826" s="232"/>
      <c r="D826" s="233"/>
      <c r="E826" s="234"/>
      <c r="F826" s="234"/>
      <c r="G826" s="234"/>
      <c r="H826" s="233"/>
      <c r="I826" s="233"/>
      <c r="J826" s="234"/>
    </row>
    <row r="827" spans="1:10">
      <c r="A827" s="232"/>
      <c r="B827" s="232"/>
      <c r="C827" s="232"/>
      <c r="D827" s="233"/>
      <c r="E827" s="234"/>
      <c r="F827" s="234"/>
      <c r="G827" s="234"/>
      <c r="H827" s="233"/>
      <c r="I827" s="233"/>
      <c r="J827" s="234"/>
    </row>
    <row r="828" spans="1:10">
      <c r="A828" s="232"/>
      <c r="B828" s="232"/>
      <c r="C828" s="232"/>
      <c r="D828" s="233"/>
      <c r="E828" s="234"/>
      <c r="F828" s="234"/>
      <c r="G828" s="234"/>
      <c r="H828" s="233"/>
      <c r="I828" s="233"/>
      <c r="J828" s="234"/>
    </row>
    <row r="829" spans="1:10">
      <c r="A829" s="232"/>
      <c r="B829" s="232"/>
      <c r="C829" s="232"/>
      <c r="D829" s="233"/>
      <c r="E829" s="234"/>
      <c r="F829" s="234"/>
      <c r="G829" s="234"/>
      <c r="H829" s="233"/>
      <c r="I829" s="233"/>
      <c r="J829" s="234"/>
    </row>
    <row r="830" spans="1:10">
      <c r="A830" s="232"/>
      <c r="B830" s="232"/>
      <c r="C830" s="232"/>
      <c r="D830" s="233"/>
      <c r="E830" s="234"/>
      <c r="F830" s="234"/>
      <c r="G830" s="234"/>
      <c r="H830" s="233"/>
      <c r="I830" s="233"/>
      <c r="J830" s="234"/>
    </row>
    <row r="831" spans="1:10">
      <c r="A831" s="232"/>
      <c r="B831" s="232"/>
      <c r="C831" s="232"/>
      <c r="D831" s="233"/>
      <c r="E831" s="234"/>
      <c r="F831" s="234"/>
      <c r="G831" s="234"/>
      <c r="H831" s="233"/>
      <c r="I831" s="233"/>
      <c r="J831" s="234"/>
    </row>
    <row r="832" spans="1:10">
      <c r="A832" s="232"/>
      <c r="B832" s="232"/>
      <c r="C832" s="232"/>
      <c r="D832" s="233"/>
      <c r="E832" s="234"/>
      <c r="F832" s="234"/>
      <c r="G832" s="234"/>
      <c r="H832" s="233"/>
      <c r="I832" s="233"/>
      <c r="J832" s="234"/>
    </row>
    <row r="833" spans="1:10">
      <c r="A833" s="232"/>
      <c r="B833" s="232"/>
      <c r="C833" s="232"/>
      <c r="D833" s="233"/>
      <c r="E833" s="234"/>
      <c r="F833" s="234"/>
      <c r="G833" s="234"/>
      <c r="H833" s="233"/>
      <c r="I833" s="233"/>
      <c r="J833" s="234"/>
    </row>
    <row r="834" spans="1:10">
      <c r="A834" s="232"/>
      <c r="B834" s="232"/>
      <c r="C834" s="232"/>
      <c r="D834" s="233"/>
      <c r="E834" s="234"/>
      <c r="F834" s="234"/>
      <c r="G834" s="234"/>
      <c r="H834" s="233"/>
      <c r="I834" s="233"/>
      <c r="J834" s="234"/>
    </row>
    <row r="835" spans="1:10">
      <c r="A835" s="232"/>
      <c r="B835" s="232"/>
      <c r="C835" s="232"/>
      <c r="D835" s="233"/>
      <c r="E835" s="234"/>
      <c r="F835" s="234"/>
      <c r="G835" s="234"/>
      <c r="H835" s="233"/>
      <c r="I835" s="233"/>
      <c r="J835" s="234"/>
    </row>
    <row r="836" spans="1:10">
      <c r="A836" s="232"/>
      <c r="B836" s="232"/>
      <c r="C836" s="232"/>
      <c r="D836" s="233"/>
      <c r="E836" s="234"/>
      <c r="F836" s="234"/>
      <c r="G836" s="234"/>
      <c r="H836" s="233"/>
      <c r="I836" s="233"/>
      <c r="J836" s="234"/>
    </row>
    <row r="837" spans="1:10">
      <c r="A837" s="232"/>
      <c r="B837" s="232"/>
      <c r="C837" s="232"/>
      <c r="D837" s="233"/>
      <c r="E837" s="234"/>
      <c r="F837" s="234"/>
      <c r="G837" s="234"/>
      <c r="H837" s="233"/>
      <c r="I837" s="233"/>
      <c r="J837" s="234"/>
    </row>
    <row r="838" spans="1:10">
      <c r="A838" s="232"/>
      <c r="B838" s="232"/>
      <c r="C838" s="232"/>
      <c r="D838" s="233"/>
      <c r="E838" s="234"/>
      <c r="F838" s="234"/>
      <c r="G838" s="234"/>
      <c r="H838" s="233"/>
      <c r="I838" s="233"/>
      <c r="J838" s="234"/>
    </row>
    <row r="839" spans="1:10">
      <c r="A839" s="232"/>
      <c r="B839" s="232"/>
      <c r="C839" s="232"/>
      <c r="D839" s="233"/>
      <c r="E839" s="234"/>
      <c r="F839" s="234"/>
      <c r="G839" s="234"/>
      <c r="H839" s="233"/>
      <c r="I839" s="233"/>
      <c r="J839" s="234"/>
    </row>
    <row r="840" spans="1:10">
      <c r="A840" s="232"/>
      <c r="B840" s="232"/>
      <c r="C840" s="232"/>
      <c r="D840" s="233"/>
      <c r="E840" s="234"/>
      <c r="F840" s="234"/>
      <c r="G840" s="234"/>
      <c r="H840" s="233"/>
      <c r="I840" s="233"/>
      <c r="J840" s="234"/>
    </row>
    <row r="841" spans="1:10">
      <c r="A841" s="232"/>
      <c r="B841" s="232"/>
      <c r="C841" s="232"/>
      <c r="D841" s="233"/>
      <c r="E841" s="234"/>
      <c r="F841" s="234"/>
      <c r="G841" s="234"/>
      <c r="H841" s="233"/>
      <c r="I841" s="233"/>
      <c r="J841" s="234"/>
    </row>
    <row r="842" spans="1:10">
      <c r="A842" s="232"/>
      <c r="B842" s="232"/>
      <c r="C842" s="232"/>
      <c r="D842" s="233"/>
      <c r="E842" s="234"/>
      <c r="F842" s="234"/>
      <c r="G842" s="234"/>
      <c r="H842" s="233"/>
      <c r="I842" s="233"/>
      <c r="J842" s="234"/>
    </row>
    <row r="843" spans="1:10">
      <c r="A843" s="232"/>
      <c r="B843" s="232"/>
      <c r="C843" s="232"/>
      <c r="D843" s="233"/>
      <c r="E843" s="234"/>
      <c r="F843" s="234"/>
      <c r="G843" s="234"/>
      <c r="H843" s="233"/>
      <c r="I843" s="233"/>
      <c r="J843" s="234"/>
    </row>
    <row r="844" spans="1:10">
      <c r="A844" s="232"/>
      <c r="B844" s="232"/>
      <c r="C844" s="232"/>
      <c r="D844" s="233"/>
      <c r="E844" s="234"/>
      <c r="F844" s="234"/>
      <c r="G844" s="234"/>
      <c r="H844" s="233"/>
      <c r="I844" s="233"/>
      <c r="J844" s="234"/>
    </row>
    <row r="845" spans="1:10">
      <c r="A845" s="232"/>
      <c r="B845" s="232"/>
      <c r="C845" s="232"/>
      <c r="D845" s="233"/>
      <c r="E845" s="234"/>
      <c r="F845" s="234"/>
      <c r="G845" s="234"/>
      <c r="H845" s="233"/>
      <c r="I845" s="233"/>
      <c r="J845" s="234"/>
    </row>
    <row r="846" spans="1:10">
      <c r="A846" s="232"/>
      <c r="B846" s="232"/>
      <c r="C846" s="232"/>
      <c r="D846" s="233"/>
      <c r="E846" s="234"/>
      <c r="F846" s="234"/>
      <c r="G846" s="234"/>
      <c r="H846" s="233"/>
      <c r="I846" s="233"/>
      <c r="J846" s="234"/>
    </row>
    <row r="847" spans="1:10">
      <c r="A847" s="232"/>
      <c r="B847" s="232"/>
      <c r="C847" s="232"/>
      <c r="D847" s="233"/>
      <c r="E847" s="234"/>
      <c r="F847" s="234"/>
      <c r="G847" s="234"/>
      <c r="H847" s="233"/>
      <c r="I847" s="233"/>
      <c r="J847" s="234"/>
    </row>
    <row r="848" spans="1:10">
      <c r="A848" s="232"/>
      <c r="B848" s="232"/>
      <c r="C848" s="232"/>
      <c r="D848" s="233"/>
      <c r="E848" s="234"/>
      <c r="F848" s="234"/>
      <c r="G848" s="234"/>
      <c r="H848" s="233"/>
      <c r="I848" s="233"/>
      <c r="J848" s="234"/>
    </row>
    <row r="849" spans="1:10">
      <c r="A849" s="232"/>
      <c r="B849" s="232"/>
      <c r="C849" s="232"/>
      <c r="D849" s="233"/>
      <c r="E849" s="234"/>
      <c r="F849" s="234"/>
      <c r="G849" s="234"/>
      <c r="H849" s="233"/>
      <c r="I849" s="233"/>
      <c r="J849" s="234"/>
    </row>
    <row r="850" spans="1:10">
      <c r="A850" s="232"/>
      <c r="B850" s="232"/>
      <c r="C850" s="232"/>
      <c r="D850" s="233"/>
      <c r="E850" s="234"/>
      <c r="F850" s="234"/>
      <c r="G850" s="234"/>
      <c r="H850" s="233"/>
      <c r="I850" s="233"/>
      <c r="J850" s="234"/>
    </row>
    <row r="851" spans="1:10">
      <c r="A851" s="232"/>
      <c r="B851" s="232"/>
      <c r="C851" s="232"/>
      <c r="D851" s="233"/>
      <c r="E851" s="234"/>
      <c r="F851" s="234"/>
      <c r="G851" s="234"/>
      <c r="H851" s="233"/>
      <c r="I851" s="233"/>
      <c r="J851" s="234"/>
    </row>
    <row r="852" spans="1:10">
      <c r="A852" s="232"/>
      <c r="B852" s="232"/>
      <c r="C852" s="232"/>
      <c r="D852" s="233"/>
      <c r="E852" s="234"/>
      <c r="F852" s="234"/>
      <c r="G852" s="234"/>
      <c r="H852" s="233"/>
      <c r="I852" s="233"/>
      <c r="J852" s="234"/>
    </row>
    <row r="853" spans="1:10">
      <c r="A853" s="232"/>
      <c r="B853" s="232"/>
      <c r="C853" s="232"/>
      <c r="D853" s="233"/>
      <c r="E853" s="234"/>
      <c r="F853" s="234"/>
      <c r="G853" s="234"/>
      <c r="H853" s="233"/>
      <c r="I853" s="233"/>
      <c r="J853" s="234"/>
    </row>
    <row r="854" spans="1:10">
      <c r="A854" s="232"/>
      <c r="B854" s="232"/>
      <c r="C854" s="232"/>
      <c r="D854" s="233"/>
      <c r="E854" s="234"/>
      <c r="F854" s="234"/>
      <c r="G854" s="234"/>
      <c r="H854" s="233"/>
      <c r="I854" s="233"/>
      <c r="J854" s="234"/>
    </row>
    <row r="855" spans="1:10">
      <c r="A855" s="232"/>
      <c r="B855" s="232"/>
      <c r="C855" s="232"/>
      <c r="D855" s="233"/>
      <c r="E855" s="234"/>
      <c r="F855" s="234"/>
      <c r="G855" s="234"/>
      <c r="H855" s="233"/>
      <c r="I855" s="233"/>
      <c r="J855" s="234"/>
    </row>
    <row r="856" spans="1:10">
      <c r="A856" s="232"/>
      <c r="B856" s="232"/>
      <c r="C856" s="232"/>
      <c r="D856" s="233"/>
      <c r="E856" s="234"/>
      <c r="F856" s="234"/>
      <c r="G856" s="234"/>
      <c r="H856" s="233"/>
      <c r="I856" s="233"/>
      <c r="J856" s="234"/>
    </row>
    <row r="857" spans="1:10">
      <c r="A857" s="232"/>
      <c r="B857" s="232"/>
      <c r="C857" s="232"/>
      <c r="D857" s="233"/>
      <c r="E857" s="234"/>
      <c r="F857" s="234"/>
      <c r="G857" s="234"/>
      <c r="H857" s="233"/>
      <c r="I857" s="233"/>
      <c r="J857" s="234"/>
    </row>
    <row r="858" spans="1:10">
      <c r="A858" s="232"/>
      <c r="B858" s="232"/>
      <c r="C858" s="232"/>
      <c r="D858" s="233"/>
      <c r="E858" s="234"/>
      <c r="F858" s="234"/>
      <c r="G858" s="234"/>
      <c r="H858" s="233"/>
      <c r="I858" s="233"/>
      <c r="J858" s="234"/>
    </row>
    <row r="859" spans="1:10">
      <c r="A859" s="232"/>
      <c r="B859" s="232"/>
      <c r="C859" s="232"/>
      <c r="D859" s="233"/>
      <c r="E859" s="234"/>
      <c r="F859" s="234"/>
      <c r="G859" s="234"/>
      <c r="H859" s="233"/>
      <c r="I859" s="233"/>
      <c r="J859" s="234"/>
    </row>
    <row r="860" spans="1:10">
      <c r="A860" s="232"/>
      <c r="B860" s="232"/>
      <c r="C860" s="232"/>
      <c r="D860" s="233"/>
      <c r="E860" s="234"/>
      <c r="F860" s="234"/>
      <c r="G860" s="234"/>
      <c r="H860" s="233"/>
      <c r="I860" s="233"/>
      <c r="J860" s="234"/>
    </row>
    <row r="861" spans="1:10">
      <c r="A861" s="232"/>
      <c r="B861" s="232"/>
      <c r="C861" s="232"/>
      <c r="D861" s="233"/>
      <c r="E861" s="234"/>
      <c r="F861" s="234"/>
      <c r="G861" s="234"/>
      <c r="H861" s="233"/>
      <c r="I861" s="233"/>
      <c r="J861" s="234"/>
    </row>
    <row r="862" spans="1:10">
      <c r="A862" s="232"/>
      <c r="B862" s="232"/>
      <c r="C862" s="232"/>
      <c r="D862" s="233"/>
      <c r="E862" s="234"/>
      <c r="F862" s="234"/>
      <c r="G862" s="234"/>
      <c r="H862" s="233"/>
      <c r="I862" s="233"/>
      <c r="J862" s="234"/>
    </row>
    <row r="863" spans="1:10">
      <c r="A863" s="232"/>
      <c r="B863" s="232"/>
      <c r="C863" s="232"/>
      <c r="D863" s="233"/>
      <c r="E863" s="234"/>
      <c r="F863" s="234"/>
      <c r="G863" s="234"/>
      <c r="H863" s="233"/>
      <c r="I863" s="233"/>
      <c r="J863" s="234"/>
    </row>
    <row r="864" spans="1:10">
      <c r="A864" s="232"/>
      <c r="B864" s="232"/>
      <c r="C864" s="232"/>
      <c r="D864" s="233"/>
      <c r="E864" s="234"/>
      <c r="F864" s="234"/>
      <c r="G864" s="234"/>
      <c r="H864" s="233"/>
      <c r="I864" s="233"/>
      <c r="J864" s="234"/>
    </row>
    <row r="865" spans="1:10">
      <c r="A865" s="232"/>
      <c r="B865" s="232"/>
      <c r="C865" s="232"/>
      <c r="D865" s="233"/>
      <c r="E865" s="234"/>
      <c r="F865" s="234"/>
      <c r="G865" s="234"/>
      <c r="H865" s="233"/>
      <c r="I865" s="233"/>
      <c r="J865" s="234"/>
    </row>
    <row r="866" spans="1:10">
      <c r="A866" s="232"/>
      <c r="B866" s="232"/>
      <c r="C866" s="232"/>
      <c r="D866" s="233"/>
      <c r="E866" s="234"/>
      <c r="F866" s="234"/>
      <c r="G866" s="234"/>
      <c r="H866" s="233"/>
      <c r="I866" s="233"/>
      <c r="J866" s="234"/>
    </row>
    <row r="867" spans="1:10">
      <c r="A867" s="232"/>
      <c r="B867" s="232"/>
      <c r="C867" s="232"/>
      <c r="D867" s="233"/>
      <c r="E867" s="234"/>
      <c r="F867" s="234"/>
      <c r="G867" s="234"/>
      <c r="H867" s="233"/>
      <c r="I867" s="233"/>
      <c r="J867" s="234"/>
    </row>
    <row r="868" spans="1:10">
      <c r="A868" s="232"/>
      <c r="B868" s="232"/>
      <c r="C868" s="232"/>
      <c r="D868" s="233"/>
      <c r="E868" s="234"/>
      <c r="F868" s="234"/>
      <c r="G868" s="234"/>
      <c r="H868" s="233"/>
      <c r="I868" s="233"/>
      <c r="J868" s="234"/>
    </row>
    <row r="869" spans="1:10">
      <c r="A869" s="232"/>
      <c r="B869" s="232"/>
      <c r="C869" s="232"/>
      <c r="D869" s="233"/>
      <c r="E869" s="234"/>
      <c r="F869" s="234"/>
      <c r="G869" s="234"/>
      <c r="H869" s="233"/>
      <c r="I869" s="233"/>
      <c r="J869" s="234"/>
    </row>
    <row r="870" spans="1:10">
      <c r="A870" s="232"/>
      <c r="B870" s="232"/>
      <c r="C870" s="232"/>
      <c r="D870" s="233"/>
      <c r="E870" s="234"/>
      <c r="F870" s="234"/>
      <c r="G870" s="234"/>
      <c r="H870" s="233"/>
      <c r="I870" s="233"/>
      <c r="J870" s="234"/>
    </row>
    <row r="871" spans="1:10">
      <c r="A871" s="232"/>
      <c r="B871" s="232"/>
      <c r="C871" s="232"/>
      <c r="D871" s="233"/>
      <c r="E871" s="234"/>
      <c r="F871" s="234"/>
      <c r="G871" s="234"/>
      <c r="H871" s="233"/>
      <c r="I871" s="233"/>
      <c r="J871" s="234"/>
    </row>
    <row r="872" spans="1:10">
      <c r="A872" s="232"/>
      <c r="B872" s="232"/>
      <c r="C872" s="232"/>
      <c r="D872" s="233"/>
      <c r="E872" s="234"/>
      <c r="F872" s="234"/>
      <c r="G872" s="234"/>
      <c r="H872" s="233"/>
      <c r="I872" s="233"/>
      <c r="J872" s="234"/>
    </row>
    <row r="873" spans="1:10">
      <c r="A873" s="232"/>
      <c r="B873" s="232"/>
      <c r="C873" s="232"/>
      <c r="D873" s="233"/>
      <c r="E873" s="234"/>
      <c r="F873" s="234"/>
      <c r="G873" s="234"/>
      <c r="H873" s="233"/>
      <c r="I873" s="233"/>
      <c r="J873" s="234"/>
    </row>
    <row r="874" spans="1:10">
      <c r="A874" s="232"/>
      <c r="B874" s="232"/>
      <c r="C874" s="232"/>
      <c r="D874" s="233"/>
      <c r="E874" s="234"/>
      <c r="F874" s="234"/>
      <c r="G874" s="234"/>
      <c r="H874" s="233"/>
      <c r="I874" s="233"/>
      <c r="J874" s="234"/>
    </row>
    <row r="875" spans="1:10">
      <c r="A875" s="232"/>
      <c r="B875" s="232"/>
      <c r="C875" s="232"/>
      <c r="D875" s="233"/>
      <c r="E875" s="234"/>
      <c r="F875" s="234"/>
      <c r="G875" s="234"/>
      <c r="H875" s="233"/>
      <c r="I875" s="233"/>
      <c r="J875" s="234"/>
    </row>
    <row r="876" spans="1:10">
      <c r="A876" s="232"/>
      <c r="B876" s="232"/>
      <c r="C876" s="232"/>
      <c r="D876" s="233"/>
      <c r="E876" s="234"/>
      <c r="F876" s="234"/>
      <c r="G876" s="234"/>
      <c r="H876" s="233"/>
      <c r="I876" s="233"/>
      <c r="J876" s="234"/>
    </row>
    <row r="877" spans="1:10">
      <c r="A877" s="232"/>
      <c r="B877" s="232"/>
      <c r="C877" s="232"/>
      <c r="D877" s="233"/>
      <c r="E877" s="234"/>
      <c r="F877" s="234"/>
      <c r="G877" s="234"/>
      <c r="H877" s="233"/>
      <c r="I877" s="233"/>
      <c r="J877" s="234"/>
    </row>
    <row r="878" spans="1:10">
      <c r="A878" s="232"/>
      <c r="B878" s="232"/>
      <c r="C878" s="232"/>
      <c r="D878" s="233"/>
      <c r="E878" s="234"/>
      <c r="F878" s="234"/>
      <c r="G878" s="234"/>
      <c r="H878" s="233"/>
      <c r="I878" s="233"/>
      <c r="J878" s="234"/>
    </row>
    <row r="879" spans="1:10">
      <c r="A879" s="232"/>
      <c r="B879" s="232"/>
      <c r="C879" s="232"/>
      <c r="D879" s="233"/>
      <c r="E879" s="234"/>
      <c r="F879" s="234"/>
      <c r="G879" s="234"/>
      <c r="H879" s="233"/>
      <c r="I879" s="233"/>
      <c r="J879" s="234"/>
    </row>
    <row r="880" spans="1:10">
      <c r="A880" s="232"/>
      <c r="B880" s="232"/>
      <c r="C880" s="232"/>
      <c r="D880" s="233"/>
      <c r="E880" s="234"/>
      <c r="F880" s="234"/>
      <c r="G880" s="234"/>
      <c r="H880" s="233"/>
      <c r="I880" s="233"/>
      <c r="J880" s="234"/>
    </row>
    <row r="881" spans="1:10">
      <c r="A881" s="232"/>
      <c r="B881" s="232"/>
      <c r="C881" s="232"/>
      <c r="D881" s="233"/>
      <c r="E881" s="234"/>
      <c r="F881" s="234"/>
      <c r="G881" s="234"/>
      <c r="H881" s="233"/>
      <c r="I881" s="233"/>
      <c r="J881" s="234"/>
    </row>
    <row r="882" spans="1:10">
      <c r="A882" s="232"/>
      <c r="B882" s="232"/>
      <c r="C882" s="232"/>
      <c r="D882" s="233"/>
      <c r="E882" s="234"/>
      <c r="F882" s="234"/>
      <c r="G882" s="234"/>
      <c r="H882" s="233"/>
      <c r="I882" s="233"/>
      <c r="J882" s="234"/>
    </row>
    <row r="883" spans="1:10">
      <c r="A883" s="232"/>
      <c r="B883" s="232"/>
      <c r="C883" s="232"/>
      <c r="D883" s="233"/>
      <c r="E883" s="234"/>
      <c r="F883" s="234"/>
      <c r="G883" s="234"/>
      <c r="H883" s="233"/>
      <c r="I883" s="233"/>
      <c r="J883" s="234"/>
    </row>
    <row r="884" spans="1:10">
      <c r="A884" s="232"/>
      <c r="B884" s="232"/>
      <c r="C884" s="232"/>
      <c r="D884" s="233"/>
      <c r="E884" s="234"/>
      <c r="F884" s="234"/>
      <c r="G884" s="234"/>
      <c r="H884" s="233"/>
      <c r="I884" s="233"/>
      <c r="J884" s="234"/>
    </row>
    <row r="885" spans="1:10">
      <c r="A885" s="232"/>
      <c r="B885" s="232"/>
      <c r="C885" s="232"/>
      <c r="D885" s="233"/>
      <c r="E885" s="234"/>
      <c r="F885" s="234"/>
      <c r="G885" s="234"/>
      <c r="H885" s="233"/>
      <c r="I885" s="233"/>
      <c r="J885" s="234"/>
    </row>
    <row r="886" spans="1:10">
      <c r="A886" s="232"/>
      <c r="B886" s="232"/>
      <c r="C886" s="232"/>
      <c r="D886" s="233"/>
      <c r="E886" s="234"/>
      <c r="F886" s="234"/>
      <c r="G886" s="234"/>
      <c r="H886" s="233"/>
      <c r="I886" s="233"/>
      <c r="J886" s="234"/>
    </row>
    <row r="887" spans="1:10">
      <c r="A887" s="232"/>
      <c r="B887" s="232"/>
      <c r="C887" s="232"/>
      <c r="D887" s="233"/>
      <c r="E887" s="234"/>
      <c r="F887" s="234"/>
      <c r="G887" s="234"/>
      <c r="H887" s="233"/>
      <c r="I887" s="233"/>
      <c r="J887" s="234"/>
    </row>
    <row r="888" spans="1:10">
      <c r="A888" s="232"/>
      <c r="B888" s="232"/>
      <c r="C888" s="232"/>
      <c r="D888" s="233"/>
      <c r="E888" s="234"/>
      <c r="F888" s="234"/>
      <c r="G888" s="234"/>
      <c r="H888" s="233"/>
      <c r="I888" s="233"/>
      <c r="J888" s="234"/>
    </row>
    <row r="889" spans="1:10">
      <c r="A889" s="232"/>
      <c r="B889" s="232"/>
      <c r="C889" s="232"/>
      <c r="D889" s="233"/>
      <c r="E889" s="234"/>
      <c r="F889" s="234"/>
      <c r="G889" s="234"/>
      <c r="H889" s="233"/>
      <c r="I889" s="233"/>
      <c r="J889" s="234"/>
    </row>
    <row r="890" spans="1:10">
      <c r="A890" s="232"/>
      <c r="B890" s="232"/>
      <c r="C890" s="232"/>
      <c r="D890" s="233"/>
      <c r="E890" s="234"/>
      <c r="F890" s="234"/>
      <c r="G890" s="234"/>
      <c r="H890" s="233"/>
      <c r="I890" s="233"/>
      <c r="J890" s="234"/>
    </row>
    <row r="891" spans="1:10">
      <c r="A891" s="232"/>
      <c r="B891" s="232"/>
      <c r="C891" s="232"/>
      <c r="D891" s="233"/>
      <c r="E891" s="234"/>
      <c r="F891" s="234"/>
      <c r="G891" s="234"/>
      <c r="H891" s="233"/>
      <c r="I891" s="233"/>
      <c r="J891" s="234"/>
    </row>
    <row r="892" spans="1:10">
      <c r="A892" s="232"/>
      <c r="B892" s="232"/>
      <c r="C892" s="232"/>
      <c r="D892" s="233"/>
      <c r="E892" s="234"/>
      <c r="F892" s="234"/>
      <c r="G892" s="234"/>
      <c r="H892" s="233"/>
      <c r="I892" s="233"/>
      <c r="J892" s="234"/>
    </row>
    <row r="893" spans="1:10">
      <c r="A893" s="232"/>
      <c r="B893" s="232"/>
      <c r="C893" s="232"/>
      <c r="D893" s="233"/>
      <c r="E893" s="234"/>
      <c r="F893" s="234"/>
      <c r="G893" s="234"/>
      <c r="H893" s="233"/>
      <c r="I893" s="233"/>
      <c r="J893" s="234"/>
    </row>
    <row r="894" spans="1:10">
      <c r="A894" s="232"/>
      <c r="B894" s="232"/>
      <c r="C894" s="232"/>
      <c r="D894" s="233"/>
      <c r="E894" s="234"/>
      <c r="F894" s="234"/>
      <c r="G894" s="234"/>
      <c r="H894" s="233"/>
      <c r="I894" s="233"/>
      <c r="J894" s="234"/>
    </row>
    <row r="895" spans="1:10">
      <c r="A895" s="232"/>
      <c r="B895" s="232"/>
      <c r="C895" s="232"/>
      <c r="D895" s="233"/>
      <c r="E895" s="234"/>
      <c r="F895" s="234"/>
      <c r="G895" s="234"/>
      <c r="H895" s="233"/>
      <c r="I895" s="233"/>
      <c r="J895" s="234"/>
    </row>
    <row r="896" spans="1:10">
      <c r="A896" s="232"/>
      <c r="B896" s="232"/>
      <c r="C896" s="232"/>
      <c r="D896" s="233"/>
      <c r="E896" s="234"/>
      <c r="F896" s="234"/>
      <c r="G896" s="234"/>
      <c r="H896" s="233"/>
      <c r="I896" s="233"/>
      <c r="J896" s="234"/>
    </row>
    <row r="897" spans="1:10">
      <c r="A897" s="232"/>
      <c r="B897" s="232"/>
      <c r="C897" s="232"/>
      <c r="D897" s="233"/>
      <c r="E897" s="234"/>
      <c r="F897" s="234"/>
      <c r="G897" s="234"/>
      <c r="H897" s="233"/>
      <c r="I897" s="233"/>
      <c r="J897" s="234"/>
    </row>
    <row r="898" spans="1:10">
      <c r="A898" s="232"/>
      <c r="B898" s="232"/>
      <c r="C898" s="232"/>
      <c r="D898" s="233"/>
      <c r="E898" s="234"/>
      <c r="F898" s="234"/>
      <c r="G898" s="234"/>
      <c r="H898" s="233"/>
      <c r="I898" s="233"/>
      <c r="J898" s="234"/>
    </row>
    <row r="899" spans="1:10">
      <c r="A899" s="232"/>
      <c r="B899" s="232"/>
      <c r="C899" s="232"/>
      <c r="D899" s="233"/>
      <c r="E899" s="234"/>
      <c r="F899" s="234"/>
      <c r="G899" s="234"/>
      <c r="H899" s="233"/>
      <c r="I899" s="233"/>
      <c r="J899" s="234"/>
    </row>
    <row r="900" spans="1:10">
      <c r="A900" s="232"/>
      <c r="B900" s="232"/>
      <c r="C900" s="232"/>
      <c r="D900" s="233"/>
      <c r="E900" s="234"/>
      <c r="F900" s="234"/>
      <c r="G900" s="234"/>
      <c r="H900" s="233"/>
      <c r="I900" s="233"/>
      <c r="J900" s="234"/>
    </row>
    <row r="901" spans="1:10">
      <c r="A901" s="232"/>
      <c r="B901" s="232"/>
      <c r="C901" s="232"/>
      <c r="D901" s="233"/>
      <c r="E901" s="234"/>
      <c r="F901" s="234"/>
      <c r="G901" s="234"/>
      <c r="H901" s="233"/>
      <c r="I901" s="233"/>
      <c r="J901" s="234"/>
    </row>
    <row r="902" spans="1:10">
      <c r="A902" s="232"/>
      <c r="B902" s="232"/>
      <c r="C902" s="232"/>
      <c r="D902" s="233"/>
      <c r="E902" s="234"/>
      <c r="F902" s="234"/>
      <c r="G902" s="234"/>
      <c r="H902" s="233"/>
      <c r="I902" s="233"/>
      <c r="J902" s="234"/>
    </row>
    <row r="903" spans="1:10">
      <c r="A903" s="232"/>
      <c r="B903" s="232"/>
      <c r="C903" s="232"/>
      <c r="D903" s="233"/>
      <c r="E903" s="234"/>
      <c r="F903" s="234"/>
      <c r="G903" s="234"/>
      <c r="H903" s="233"/>
      <c r="I903" s="233"/>
      <c r="J903" s="234"/>
    </row>
    <row r="904" spans="1:10">
      <c r="A904" s="232"/>
      <c r="B904" s="232"/>
      <c r="C904" s="232"/>
      <c r="D904" s="233"/>
      <c r="E904" s="234"/>
      <c r="F904" s="234"/>
      <c r="G904" s="234"/>
      <c r="H904" s="233"/>
      <c r="I904" s="233"/>
      <c r="J904" s="234"/>
    </row>
    <row r="905" spans="1:10">
      <c r="A905" s="232"/>
      <c r="B905" s="232"/>
      <c r="C905" s="232"/>
      <c r="D905" s="233"/>
      <c r="E905" s="234"/>
      <c r="F905" s="234"/>
      <c r="G905" s="234"/>
      <c r="H905" s="233"/>
      <c r="I905" s="233"/>
      <c r="J905" s="234"/>
    </row>
    <row r="906" spans="1:10">
      <c r="A906" s="232"/>
      <c r="B906" s="232"/>
      <c r="C906" s="232"/>
      <c r="D906" s="233"/>
      <c r="E906" s="234"/>
      <c r="F906" s="234"/>
      <c r="G906" s="234"/>
      <c r="H906" s="233"/>
      <c r="I906" s="233"/>
      <c r="J906" s="234"/>
    </row>
    <row r="907" spans="1:10">
      <c r="A907" s="232"/>
      <c r="B907" s="232"/>
      <c r="C907" s="232"/>
      <c r="D907" s="233"/>
      <c r="E907" s="234"/>
      <c r="F907" s="234"/>
      <c r="G907" s="234"/>
      <c r="H907" s="233"/>
      <c r="I907" s="233"/>
      <c r="J907" s="234"/>
    </row>
    <row r="908" spans="1:10">
      <c r="A908" s="232"/>
      <c r="B908" s="232"/>
      <c r="C908" s="232"/>
      <c r="D908" s="233"/>
      <c r="E908" s="234"/>
      <c r="F908" s="234"/>
      <c r="G908" s="234"/>
      <c r="H908" s="233"/>
      <c r="I908" s="233"/>
      <c r="J908" s="234"/>
    </row>
    <row r="909" spans="1:10">
      <c r="A909" s="232"/>
      <c r="B909" s="232"/>
      <c r="C909" s="232"/>
      <c r="D909" s="233"/>
      <c r="E909" s="234"/>
      <c r="F909" s="234"/>
      <c r="G909" s="234"/>
      <c r="H909" s="233"/>
      <c r="I909" s="233"/>
      <c r="J909" s="234"/>
    </row>
    <row r="910" spans="1:10">
      <c r="A910" s="232"/>
      <c r="B910" s="232"/>
      <c r="C910" s="232"/>
      <c r="D910" s="233"/>
      <c r="E910" s="234"/>
      <c r="F910" s="234"/>
      <c r="G910" s="234"/>
      <c r="H910" s="233"/>
      <c r="I910" s="233"/>
      <c r="J910" s="234"/>
    </row>
    <row r="911" spans="1:10">
      <c r="A911" s="232"/>
      <c r="B911" s="232"/>
      <c r="C911" s="232"/>
      <c r="D911" s="233"/>
      <c r="E911" s="234"/>
      <c r="F911" s="234"/>
      <c r="G911" s="234"/>
      <c r="H911" s="233"/>
      <c r="I911" s="233"/>
      <c r="J911" s="234"/>
    </row>
    <row r="912" spans="1:10">
      <c r="A912" s="232"/>
      <c r="B912" s="232"/>
      <c r="C912" s="232"/>
      <c r="D912" s="233"/>
      <c r="E912" s="234"/>
      <c r="F912" s="234"/>
      <c r="G912" s="234"/>
      <c r="H912" s="233"/>
      <c r="I912" s="233"/>
      <c r="J912" s="234"/>
    </row>
    <row r="913" spans="1:10">
      <c r="A913" s="232"/>
      <c r="B913" s="232"/>
      <c r="C913" s="232"/>
      <c r="D913" s="233"/>
      <c r="E913" s="234"/>
      <c r="F913" s="234"/>
      <c r="G913" s="234"/>
      <c r="H913" s="233"/>
      <c r="I913" s="233"/>
      <c r="J913" s="234"/>
    </row>
    <row r="914" spans="1:10">
      <c r="A914" s="232"/>
      <c r="B914" s="232"/>
      <c r="C914" s="232"/>
      <c r="D914" s="233"/>
      <c r="E914" s="234"/>
      <c r="F914" s="234"/>
      <c r="G914" s="234"/>
      <c r="H914" s="233"/>
      <c r="I914" s="233"/>
      <c r="J914" s="234"/>
    </row>
    <row r="915" spans="1:10">
      <c r="A915" s="232"/>
      <c r="B915" s="232"/>
      <c r="C915" s="232"/>
      <c r="D915" s="233"/>
      <c r="E915" s="234"/>
      <c r="F915" s="234"/>
      <c r="G915" s="234"/>
      <c r="H915" s="233"/>
      <c r="I915" s="233"/>
      <c r="J915" s="234"/>
    </row>
    <row r="916" spans="1:10">
      <c r="A916" s="232"/>
      <c r="B916" s="232"/>
      <c r="C916" s="232"/>
      <c r="D916" s="233"/>
      <c r="E916" s="234"/>
      <c r="F916" s="234"/>
      <c r="G916" s="234"/>
      <c r="H916" s="233"/>
      <c r="I916" s="233"/>
      <c r="J916" s="234"/>
    </row>
    <row r="917" spans="1:10">
      <c r="A917" s="232"/>
      <c r="B917" s="232"/>
      <c r="C917" s="232"/>
      <c r="D917" s="233"/>
      <c r="E917" s="234"/>
      <c r="F917" s="234"/>
      <c r="G917" s="234"/>
      <c r="H917" s="233"/>
      <c r="I917" s="233"/>
      <c r="J917" s="234"/>
    </row>
    <row r="918" spans="1:10">
      <c r="A918" s="232"/>
      <c r="B918" s="232"/>
      <c r="C918" s="232"/>
      <c r="D918" s="233"/>
      <c r="E918" s="234"/>
      <c r="F918" s="234"/>
      <c r="G918" s="234"/>
      <c r="H918" s="233"/>
      <c r="I918" s="233"/>
      <c r="J918" s="234"/>
    </row>
    <row r="919" spans="1:10">
      <c r="A919" s="232"/>
      <c r="B919" s="232"/>
      <c r="C919" s="232"/>
      <c r="D919" s="233"/>
      <c r="E919" s="234"/>
      <c r="F919" s="234"/>
      <c r="G919" s="234"/>
      <c r="H919" s="233"/>
      <c r="I919" s="233"/>
      <c r="J919" s="234"/>
    </row>
    <row r="920" spans="1:10">
      <c r="A920" s="232"/>
      <c r="B920" s="232"/>
      <c r="C920" s="232"/>
      <c r="D920" s="233"/>
      <c r="E920" s="234"/>
      <c r="F920" s="234"/>
      <c r="G920" s="234"/>
      <c r="H920" s="233"/>
      <c r="I920" s="233"/>
      <c r="J920" s="234"/>
    </row>
    <row r="921" spans="1:10">
      <c r="A921" s="232"/>
      <c r="B921" s="232"/>
      <c r="C921" s="232"/>
      <c r="D921" s="233"/>
      <c r="E921" s="234"/>
      <c r="F921" s="234"/>
      <c r="G921" s="234"/>
      <c r="H921" s="233"/>
      <c r="I921" s="233"/>
      <c r="J921" s="234"/>
    </row>
    <row r="922" spans="1:10">
      <c r="A922" s="232"/>
      <c r="B922" s="232"/>
      <c r="C922" s="232"/>
      <c r="D922" s="233"/>
      <c r="E922" s="234"/>
      <c r="F922" s="234"/>
      <c r="G922" s="234"/>
      <c r="H922" s="233"/>
      <c r="I922" s="233"/>
      <c r="J922" s="234"/>
    </row>
    <row r="923" spans="1:10">
      <c r="A923" s="232"/>
      <c r="B923" s="232"/>
      <c r="C923" s="232"/>
      <c r="D923" s="233"/>
      <c r="E923" s="234"/>
      <c r="F923" s="234"/>
      <c r="G923" s="234"/>
      <c r="H923" s="233"/>
      <c r="I923" s="233"/>
      <c r="J923" s="234"/>
    </row>
    <row r="924" spans="1:10">
      <c r="A924" s="232"/>
      <c r="B924" s="232"/>
      <c r="C924" s="232"/>
      <c r="D924" s="233"/>
      <c r="E924" s="234"/>
      <c r="F924" s="234"/>
      <c r="G924" s="234"/>
      <c r="H924" s="233"/>
      <c r="I924" s="233"/>
      <c r="J924" s="234"/>
    </row>
    <row r="925" spans="1:10">
      <c r="A925" s="232"/>
      <c r="B925" s="232"/>
      <c r="C925" s="232"/>
      <c r="D925" s="233"/>
      <c r="E925" s="234"/>
      <c r="F925" s="234"/>
      <c r="G925" s="234"/>
      <c r="H925" s="233"/>
      <c r="I925" s="233"/>
      <c r="J925" s="234"/>
    </row>
    <row r="926" spans="1:10">
      <c r="A926" s="232"/>
      <c r="B926" s="232"/>
      <c r="C926" s="232"/>
      <c r="D926" s="233"/>
      <c r="E926" s="234"/>
      <c r="F926" s="234"/>
      <c r="G926" s="234"/>
      <c r="H926" s="233"/>
      <c r="I926" s="233"/>
      <c r="J926" s="234"/>
    </row>
    <row r="927" spans="1:10">
      <c r="A927" s="232"/>
      <c r="B927" s="232"/>
      <c r="C927" s="232"/>
      <c r="D927" s="233"/>
      <c r="E927" s="234"/>
      <c r="F927" s="234"/>
      <c r="G927" s="234"/>
      <c r="H927" s="233"/>
      <c r="I927" s="233"/>
      <c r="J927" s="234"/>
    </row>
    <row r="928" spans="1:10">
      <c r="A928" s="232"/>
      <c r="B928" s="232"/>
      <c r="C928" s="232"/>
      <c r="D928" s="233"/>
      <c r="E928" s="234"/>
      <c r="F928" s="234"/>
      <c r="G928" s="234"/>
      <c r="H928" s="233"/>
      <c r="I928" s="233"/>
      <c r="J928" s="234"/>
    </row>
    <row r="929" spans="1:10">
      <c r="A929" s="232"/>
      <c r="B929" s="232"/>
      <c r="C929" s="232"/>
      <c r="D929" s="233"/>
      <c r="E929" s="234"/>
      <c r="F929" s="234"/>
      <c r="G929" s="234"/>
      <c r="H929" s="233"/>
      <c r="I929" s="233"/>
      <c r="J929" s="234"/>
    </row>
    <row r="930" spans="1:10">
      <c r="A930" s="232"/>
      <c r="B930" s="232"/>
      <c r="C930" s="232"/>
      <c r="D930" s="233"/>
      <c r="E930" s="234"/>
      <c r="F930" s="234"/>
      <c r="G930" s="234"/>
      <c r="H930" s="233"/>
      <c r="I930" s="233"/>
      <c r="J930" s="234"/>
    </row>
    <row r="931" spans="1:10">
      <c r="A931" s="232"/>
      <c r="B931" s="232"/>
      <c r="C931" s="232"/>
      <c r="D931" s="233"/>
      <c r="E931" s="234"/>
      <c r="F931" s="234"/>
      <c r="G931" s="234"/>
      <c r="H931" s="233"/>
      <c r="I931" s="233"/>
      <c r="J931" s="234"/>
    </row>
    <row r="932" spans="1:10">
      <c r="A932" s="232"/>
      <c r="B932" s="232"/>
      <c r="C932" s="232"/>
      <c r="D932" s="233"/>
      <c r="E932" s="234"/>
      <c r="F932" s="234"/>
      <c r="G932" s="234"/>
      <c r="H932" s="233"/>
      <c r="I932" s="233"/>
      <c r="J932" s="234"/>
    </row>
    <row r="933" spans="1:10">
      <c r="A933" s="232"/>
      <c r="B933" s="232"/>
      <c r="C933" s="232"/>
      <c r="D933" s="233"/>
      <c r="E933" s="234"/>
      <c r="F933" s="234"/>
      <c r="G933" s="234"/>
      <c r="H933" s="233"/>
      <c r="I933" s="233"/>
      <c r="J933" s="234"/>
    </row>
    <row r="934" spans="1:10">
      <c r="A934" s="232"/>
      <c r="B934" s="232"/>
      <c r="C934" s="232"/>
      <c r="D934" s="233"/>
      <c r="E934" s="234"/>
      <c r="F934" s="234"/>
      <c r="G934" s="234"/>
      <c r="H934" s="233"/>
      <c r="I934" s="233"/>
      <c r="J934" s="234"/>
    </row>
    <row r="935" spans="1:10">
      <c r="A935" s="232"/>
      <c r="B935" s="232"/>
      <c r="C935" s="232"/>
      <c r="D935" s="233"/>
      <c r="E935" s="234"/>
      <c r="F935" s="234"/>
      <c r="G935" s="234"/>
      <c r="H935" s="233"/>
      <c r="I935" s="233"/>
      <c r="J935" s="234"/>
    </row>
    <row r="936" spans="1:10">
      <c r="A936" s="232"/>
      <c r="B936" s="232"/>
      <c r="C936" s="232"/>
      <c r="D936" s="233"/>
      <c r="E936" s="234"/>
      <c r="F936" s="234"/>
      <c r="G936" s="234"/>
      <c r="H936" s="233"/>
      <c r="I936" s="233"/>
      <c r="J936" s="234"/>
    </row>
    <row r="937" spans="1:10">
      <c r="A937" s="232"/>
      <c r="B937" s="232"/>
      <c r="C937" s="232"/>
      <c r="D937" s="233"/>
      <c r="E937" s="234"/>
      <c r="F937" s="234"/>
      <c r="G937" s="234"/>
      <c r="H937" s="233"/>
      <c r="I937" s="233"/>
      <c r="J937" s="234"/>
    </row>
    <row r="938" spans="1:10">
      <c r="A938" s="232"/>
      <c r="B938" s="232"/>
      <c r="C938" s="232"/>
      <c r="D938" s="233"/>
      <c r="E938" s="234"/>
      <c r="F938" s="234"/>
      <c r="G938" s="234"/>
      <c r="H938" s="233"/>
      <c r="I938" s="233"/>
      <c r="J938" s="234"/>
    </row>
  </sheetData>
  <autoFilter ref="A1:J30" xr:uid="{00000000-0001-0000-0300-000000000000}"/>
  <conditionalFormatting sqref="C1:C1048576">
    <cfRule type="duplicateValues" dxfId="4" priority="3"/>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ED08-4A4B-4180-B4E3-CA22E0FAAAAF}">
  <dimension ref="A1:AN247"/>
  <sheetViews>
    <sheetView zoomScale="85" zoomScaleNormal="85" workbookViewId="0">
      <selection activeCell="D254" sqref="D254"/>
    </sheetView>
  </sheetViews>
  <sheetFormatPr defaultColWidth="16.42578125" defaultRowHeight="12.95"/>
  <cols>
    <col min="1" max="1" width="4.5703125" style="177" customWidth="1"/>
    <col min="2" max="2" width="11.5703125" style="177" customWidth="1"/>
    <col min="3" max="3" width="26.140625" style="177" customWidth="1"/>
    <col min="4" max="4" width="12.28515625" style="178" customWidth="1"/>
    <col min="5" max="5" width="14.28515625" style="177" customWidth="1"/>
    <col min="6" max="6" width="11.42578125" style="177" customWidth="1"/>
    <col min="7" max="7" width="20.28515625" style="177" customWidth="1"/>
    <col min="8" max="8" width="38.5703125" style="177" customWidth="1"/>
    <col min="9" max="9" width="9.85546875" style="177" customWidth="1"/>
    <col min="10" max="10" width="32.42578125" style="177" customWidth="1"/>
    <col min="11" max="11" width="41" style="177" customWidth="1"/>
    <col min="12" max="12" width="10.140625" style="177" customWidth="1"/>
    <col min="13" max="13" width="89.5703125" style="177" customWidth="1"/>
    <col min="14" max="14" width="79.140625" style="177" customWidth="1"/>
    <col min="15" max="15" width="13.5703125" style="177" customWidth="1"/>
    <col min="16" max="16" width="24.28515625" style="177" customWidth="1"/>
    <col min="17" max="17" width="25.5703125" style="177" customWidth="1"/>
    <col min="18" max="18" width="19.140625" style="177" customWidth="1"/>
    <col min="19" max="28" width="16.42578125" style="177"/>
    <col min="29" max="29" width="21.140625" style="177" customWidth="1"/>
    <col min="30" max="30" width="29.5703125" style="177" customWidth="1"/>
    <col min="31" max="32" width="16.42578125" style="177"/>
    <col min="33" max="33" width="22.7109375" style="177" customWidth="1"/>
    <col min="34" max="34" width="39.28515625" style="177" customWidth="1"/>
    <col min="35" max="35" width="26.28515625" style="177" customWidth="1"/>
    <col min="36" max="16384" width="16.42578125" style="178"/>
  </cols>
  <sheetData>
    <row r="1" spans="1:40" s="168" customFormat="1">
      <c r="A1" s="165"/>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319" t="s">
        <v>502</v>
      </c>
      <c r="AG1" s="320"/>
      <c r="AH1" s="320"/>
      <c r="AI1" s="321"/>
      <c r="AJ1" s="166"/>
      <c r="AK1" s="166"/>
      <c r="AL1" s="167" t="s">
        <v>503</v>
      </c>
      <c r="AM1" s="166"/>
      <c r="AN1" s="322" t="s">
        <v>504</v>
      </c>
    </row>
    <row r="2" spans="1:40" s="173" customFormat="1" ht="29.25" customHeight="1">
      <c r="A2" s="169" t="s">
        <v>23</v>
      </c>
      <c r="B2" s="169" t="s">
        <v>24</v>
      </c>
      <c r="C2" s="169" t="s">
        <v>25</v>
      </c>
      <c r="D2" s="169" t="s">
        <v>505</v>
      </c>
      <c r="E2" s="169" t="s">
        <v>422</v>
      </c>
      <c r="F2" s="169" t="s">
        <v>421</v>
      </c>
      <c r="G2" s="169" t="s">
        <v>506</v>
      </c>
      <c r="H2" s="169" t="s">
        <v>507</v>
      </c>
      <c r="I2" s="169" t="s">
        <v>508</v>
      </c>
      <c r="J2" s="169" t="s">
        <v>509</v>
      </c>
      <c r="K2" s="169" t="s">
        <v>510</v>
      </c>
      <c r="L2" s="169" t="s">
        <v>511</v>
      </c>
      <c r="M2" s="169" t="s">
        <v>512</v>
      </c>
      <c r="N2" s="169" t="s">
        <v>513</v>
      </c>
      <c r="O2" s="169" t="s">
        <v>514</v>
      </c>
      <c r="P2" s="169" t="s">
        <v>515</v>
      </c>
      <c r="Q2" s="169" t="s">
        <v>516</v>
      </c>
      <c r="R2" s="169" t="s">
        <v>517</v>
      </c>
      <c r="S2" s="169" t="s">
        <v>518</v>
      </c>
      <c r="T2" s="169" t="s">
        <v>519</v>
      </c>
      <c r="U2" s="169" t="s">
        <v>520</v>
      </c>
      <c r="V2" s="169" t="s">
        <v>521</v>
      </c>
      <c r="W2" s="169" t="s">
        <v>522</v>
      </c>
      <c r="X2" s="169" t="s">
        <v>523</v>
      </c>
      <c r="Y2" s="169" t="s">
        <v>524</v>
      </c>
      <c r="Z2" s="169" t="s">
        <v>525</v>
      </c>
      <c r="AA2" s="169" t="s">
        <v>526</v>
      </c>
      <c r="AB2" s="169" t="s">
        <v>527</v>
      </c>
      <c r="AC2" s="170" t="s">
        <v>528</v>
      </c>
      <c r="AD2" s="169" t="s">
        <v>529</v>
      </c>
      <c r="AE2" s="169" t="s">
        <v>48</v>
      </c>
      <c r="AF2" s="171" t="s">
        <v>530</v>
      </c>
      <c r="AG2" s="171" t="s">
        <v>531</v>
      </c>
      <c r="AH2" s="171" t="s">
        <v>532</v>
      </c>
      <c r="AI2" s="171" t="s">
        <v>533</v>
      </c>
      <c r="AJ2" s="172" t="s">
        <v>534</v>
      </c>
      <c r="AK2" s="172" t="s">
        <v>535</v>
      </c>
      <c r="AL2" s="172" t="s">
        <v>536</v>
      </c>
      <c r="AM2" s="193" t="s">
        <v>537</v>
      </c>
      <c r="AN2" s="323"/>
    </row>
    <row r="3" spans="1:40" s="175" customFormat="1" ht="12" customHeight="1">
      <c r="A3" s="174">
        <v>1</v>
      </c>
      <c r="B3" s="174" t="s">
        <v>219</v>
      </c>
      <c r="C3" s="174" t="s">
        <v>538</v>
      </c>
      <c r="D3" s="174" t="s">
        <v>539</v>
      </c>
      <c r="E3" s="174" t="s">
        <v>209</v>
      </c>
      <c r="F3" s="174" t="e">
        <f>VLOOKUP(E3,'95 Chỉ tiêu'!$B$4:$F$177,2,0)</f>
        <v>#N/A</v>
      </c>
      <c r="G3" s="174" t="s">
        <v>111</v>
      </c>
      <c r="H3" s="174" t="s">
        <v>210</v>
      </c>
      <c r="I3" s="174" t="s">
        <v>540</v>
      </c>
      <c r="J3" s="174" t="s">
        <v>541</v>
      </c>
      <c r="K3" s="174" t="s">
        <v>542</v>
      </c>
      <c r="L3" s="174" t="s">
        <v>543</v>
      </c>
      <c r="M3" s="174" t="s">
        <v>544</v>
      </c>
      <c r="N3" s="176" t="s">
        <v>545</v>
      </c>
      <c r="O3" s="174" t="s">
        <v>546</v>
      </c>
      <c r="P3" s="174" t="s">
        <v>547</v>
      </c>
      <c r="Q3" s="174" t="s">
        <v>548</v>
      </c>
      <c r="R3" s="174" t="s">
        <v>66</v>
      </c>
      <c r="S3" s="174" t="s">
        <v>60</v>
      </c>
      <c r="T3" s="174" t="s">
        <v>60</v>
      </c>
      <c r="U3" s="174" t="s">
        <v>60</v>
      </c>
      <c r="V3" s="174" t="s">
        <v>60</v>
      </c>
      <c r="W3" s="174" t="s">
        <v>60</v>
      </c>
      <c r="X3" s="174" t="s">
        <v>60</v>
      </c>
      <c r="Y3" s="174" t="s">
        <v>60</v>
      </c>
      <c r="Z3" s="174" t="s">
        <v>60</v>
      </c>
      <c r="AA3" s="174" t="s">
        <v>60</v>
      </c>
      <c r="AB3" s="174" t="s">
        <v>549</v>
      </c>
      <c r="AC3" s="174">
        <v>1</v>
      </c>
      <c r="AD3" s="174" t="s">
        <v>550</v>
      </c>
      <c r="AE3" s="174"/>
      <c r="AF3" s="174" t="s">
        <v>551</v>
      </c>
      <c r="AG3" s="174" t="s">
        <v>552</v>
      </c>
      <c r="AH3" s="174" t="s">
        <v>553</v>
      </c>
      <c r="AI3" s="174"/>
      <c r="AJ3" s="174" t="s">
        <v>212</v>
      </c>
      <c r="AK3" s="174" t="s">
        <v>210</v>
      </c>
      <c r="AL3" s="174"/>
      <c r="AM3" s="181" t="s">
        <v>554</v>
      </c>
      <c r="AN3" s="192"/>
    </row>
    <row r="4" spans="1:40" s="175" customFormat="1" ht="12" customHeight="1">
      <c r="A4" s="174">
        <v>2</v>
      </c>
      <c r="B4" s="174" t="s">
        <v>219</v>
      </c>
      <c r="C4" s="174" t="s">
        <v>538</v>
      </c>
      <c r="D4" s="174" t="s">
        <v>539</v>
      </c>
      <c r="E4" s="174" t="s">
        <v>209</v>
      </c>
      <c r="F4" s="174" t="e">
        <f>VLOOKUP(E4,'95 Chỉ tiêu'!$B$4:$F$177,2,0)</f>
        <v>#N/A</v>
      </c>
      <c r="G4" s="174" t="s">
        <v>111</v>
      </c>
      <c r="H4" s="174" t="s">
        <v>210</v>
      </c>
      <c r="I4" s="174" t="s">
        <v>555</v>
      </c>
      <c r="J4" s="174" t="s">
        <v>556</v>
      </c>
      <c r="K4" s="174" t="s">
        <v>557</v>
      </c>
      <c r="L4" s="174" t="s">
        <v>543</v>
      </c>
      <c r="M4" s="174" t="s">
        <v>558</v>
      </c>
      <c r="N4" s="174" t="s">
        <v>559</v>
      </c>
      <c r="O4" s="174" t="s">
        <v>546</v>
      </c>
      <c r="P4" s="174" t="s">
        <v>560</v>
      </c>
      <c r="Q4" s="174" t="s">
        <v>548</v>
      </c>
      <c r="R4" s="174" t="s">
        <v>66</v>
      </c>
      <c r="S4" s="174" t="s">
        <v>60</v>
      </c>
      <c r="T4" s="174" t="s">
        <v>60</v>
      </c>
      <c r="U4" s="174" t="s">
        <v>60</v>
      </c>
      <c r="V4" s="174" t="s">
        <v>60</v>
      </c>
      <c r="W4" s="174" t="s">
        <v>60</v>
      </c>
      <c r="X4" s="174" t="s">
        <v>60</v>
      </c>
      <c r="Y4" s="174" t="s">
        <v>60</v>
      </c>
      <c r="Z4" s="174" t="s">
        <v>60</v>
      </c>
      <c r="AA4" s="174" t="s">
        <v>60</v>
      </c>
      <c r="AB4" s="174" t="s">
        <v>60</v>
      </c>
      <c r="AC4" s="174">
        <v>1</v>
      </c>
      <c r="AD4" s="174" t="s">
        <v>561</v>
      </c>
      <c r="AE4" s="174"/>
      <c r="AF4" s="174" t="s">
        <v>551</v>
      </c>
      <c r="AG4" s="174" t="s">
        <v>552</v>
      </c>
      <c r="AH4" s="174" t="s">
        <v>562</v>
      </c>
      <c r="AI4" s="174" t="s">
        <v>563</v>
      </c>
      <c r="AJ4" s="174" t="s">
        <v>212</v>
      </c>
      <c r="AK4" s="174" t="s">
        <v>210</v>
      </c>
      <c r="AL4" s="174"/>
      <c r="AM4" s="181" t="s">
        <v>554</v>
      </c>
      <c r="AN4" s="192"/>
    </row>
    <row r="5" spans="1:40" s="175" customFormat="1" ht="12" customHeight="1">
      <c r="A5" s="174">
        <v>3</v>
      </c>
      <c r="B5" s="174" t="s">
        <v>219</v>
      </c>
      <c r="C5" s="174" t="s">
        <v>538</v>
      </c>
      <c r="D5" s="174" t="s">
        <v>539</v>
      </c>
      <c r="E5" s="174" t="s">
        <v>209</v>
      </c>
      <c r="F5" s="174" t="e">
        <f>VLOOKUP(E5,'95 Chỉ tiêu'!$B$4:$F$177,2,0)</f>
        <v>#N/A</v>
      </c>
      <c r="G5" s="174" t="s">
        <v>111</v>
      </c>
      <c r="H5" s="174" t="s">
        <v>210</v>
      </c>
      <c r="I5" s="174" t="s">
        <v>564</v>
      </c>
      <c r="J5" s="174" t="s">
        <v>565</v>
      </c>
      <c r="K5" s="174" t="s">
        <v>566</v>
      </c>
      <c r="L5" s="174" t="s">
        <v>543</v>
      </c>
      <c r="M5" s="174" t="s">
        <v>567</v>
      </c>
      <c r="N5" s="174" t="s">
        <v>568</v>
      </c>
      <c r="O5" s="174" t="s">
        <v>546</v>
      </c>
      <c r="P5" s="174" t="s">
        <v>569</v>
      </c>
      <c r="Q5" s="174" t="s">
        <v>548</v>
      </c>
      <c r="R5" s="174" t="s">
        <v>570</v>
      </c>
      <c r="S5" s="174" t="s">
        <v>60</v>
      </c>
      <c r="T5" s="174" t="s">
        <v>60</v>
      </c>
      <c r="U5" s="174" t="s">
        <v>60</v>
      </c>
      <c r="V5" s="174" t="s">
        <v>60</v>
      </c>
      <c r="W5" s="174" t="s">
        <v>60</v>
      </c>
      <c r="X5" s="174" t="s">
        <v>60</v>
      </c>
      <c r="Y5" s="174" t="s">
        <v>60</v>
      </c>
      <c r="Z5" s="174" t="s">
        <v>60</v>
      </c>
      <c r="AA5" s="174" t="s">
        <v>60</v>
      </c>
      <c r="AB5" s="174" t="s">
        <v>60</v>
      </c>
      <c r="AC5" s="174">
        <v>1</v>
      </c>
      <c r="AD5" s="174"/>
      <c r="AE5" s="174"/>
      <c r="AF5" s="174" t="s">
        <v>571</v>
      </c>
      <c r="AG5" s="174" t="s">
        <v>60</v>
      </c>
      <c r="AH5" s="174" t="s">
        <v>572</v>
      </c>
      <c r="AI5" s="174" t="s">
        <v>563</v>
      </c>
      <c r="AJ5" s="174" t="s">
        <v>212</v>
      </c>
      <c r="AK5" s="174" t="s">
        <v>210</v>
      </c>
      <c r="AL5" s="174"/>
      <c r="AM5" s="181" t="s">
        <v>554</v>
      </c>
      <c r="AN5" s="192"/>
    </row>
    <row r="6" spans="1:40" s="175" customFormat="1" ht="12" customHeight="1">
      <c r="A6" s="174">
        <v>4</v>
      </c>
      <c r="B6" s="174" t="s">
        <v>219</v>
      </c>
      <c r="C6" s="174" t="s">
        <v>538</v>
      </c>
      <c r="D6" s="174" t="s">
        <v>539</v>
      </c>
      <c r="E6" s="174" t="s">
        <v>209</v>
      </c>
      <c r="F6" s="174" t="e">
        <f>VLOOKUP(E6,'95 Chỉ tiêu'!$B$4:$F$177,2,0)</f>
        <v>#N/A</v>
      </c>
      <c r="G6" s="174" t="s">
        <v>111</v>
      </c>
      <c r="H6" s="174" t="s">
        <v>210</v>
      </c>
      <c r="I6" s="174" t="s">
        <v>573</v>
      </c>
      <c r="J6" s="174" t="s">
        <v>574</v>
      </c>
      <c r="K6" s="174" t="s">
        <v>575</v>
      </c>
      <c r="L6" s="174" t="s">
        <v>543</v>
      </c>
      <c r="M6" s="174" t="s">
        <v>576</v>
      </c>
      <c r="N6" s="174" t="s">
        <v>577</v>
      </c>
      <c r="O6" s="174" t="s">
        <v>546</v>
      </c>
      <c r="P6" s="174" t="s">
        <v>578</v>
      </c>
      <c r="Q6" s="174" t="s">
        <v>579</v>
      </c>
      <c r="R6" s="174" t="s">
        <v>66</v>
      </c>
      <c r="S6" s="174" t="s">
        <v>60</v>
      </c>
      <c r="T6" s="174" t="s">
        <v>60</v>
      </c>
      <c r="U6" s="174" t="s">
        <v>60</v>
      </c>
      <c r="V6" s="174" t="s">
        <v>60</v>
      </c>
      <c r="W6" s="174" t="s">
        <v>60</v>
      </c>
      <c r="X6" s="174" t="s">
        <v>60</v>
      </c>
      <c r="Y6" s="174" t="s">
        <v>60</v>
      </c>
      <c r="Z6" s="174" t="s">
        <v>60</v>
      </c>
      <c r="AA6" s="174" t="s">
        <v>60</v>
      </c>
      <c r="AB6" s="174" t="s">
        <v>60</v>
      </c>
      <c r="AC6" s="174">
        <v>2</v>
      </c>
      <c r="AD6" s="174"/>
      <c r="AE6" s="174"/>
      <c r="AF6" s="174" t="s">
        <v>580</v>
      </c>
      <c r="AG6" s="174" t="s">
        <v>60</v>
      </c>
      <c r="AH6" s="174" t="s">
        <v>581</v>
      </c>
      <c r="AI6" s="174" t="s">
        <v>563</v>
      </c>
      <c r="AJ6" s="174" t="s">
        <v>212</v>
      </c>
      <c r="AK6" s="174" t="s">
        <v>210</v>
      </c>
      <c r="AL6" s="174"/>
      <c r="AM6" s="181" t="s">
        <v>582</v>
      </c>
      <c r="AN6" s="192"/>
    </row>
    <row r="7" spans="1:40" s="175" customFormat="1" ht="12" customHeight="1">
      <c r="A7" s="174">
        <v>5</v>
      </c>
      <c r="B7" s="174" t="s">
        <v>219</v>
      </c>
      <c r="C7" s="174" t="s">
        <v>538</v>
      </c>
      <c r="D7" s="174" t="s">
        <v>539</v>
      </c>
      <c r="E7" s="174" t="s">
        <v>209</v>
      </c>
      <c r="F7" s="174" t="e">
        <f>VLOOKUP(E7,'95 Chỉ tiêu'!$B$4:$F$177,2,0)</f>
        <v>#N/A</v>
      </c>
      <c r="G7" s="174" t="s">
        <v>111</v>
      </c>
      <c r="H7" s="174" t="s">
        <v>210</v>
      </c>
      <c r="I7" s="174" t="s">
        <v>583</v>
      </c>
      <c r="J7" s="174" t="s">
        <v>584</v>
      </c>
      <c r="K7" s="174" t="s">
        <v>585</v>
      </c>
      <c r="L7" s="174" t="s">
        <v>543</v>
      </c>
      <c r="M7" s="174" t="s">
        <v>586</v>
      </c>
      <c r="N7" s="174" t="s">
        <v>587</v>
      </c>
      <c r="O7" s="174" t="s">
        <v>546</v>
      </c>
      <c r="P7" s="174" t="s">
        <v>588</v>
      </c>
      <c r="Q7" s="174" t="s">
        <v>579</v>
      </c>
      <c r="R7" s="174" t="s">
        <v>66</v>
      </c>
      <c r="S7" s="174" t="s">
        <v>60</v>
      </c>
      <c r="T7" s="174" t="s">
        <v>60</v>
      </c>
      <c r="U7" s="174" t="s">
        <v>60</v>
      </c>
      <c r="V7" s="174" t="s">
        <v>60</v>
      </c>
      <c r="W7" s="174" t="s">
        <v>60</v>
      </c>
      <c r="X7" s="174" t="s">
        <v>60</v>
      </c>
      <c r="Y7" s="174" t="s">
        <v>60</v>
      </c>
      <c r="Z7" s="174" t="s">
        <v>60</v>
      </c>
      <c r="AA7" s="174" t="s">
        <v>60</v>
      </c>
      <c r="AB7" s="174" t="s">
        <v>60</v>
      </c>
      <c r="AC7" s="174">
        <v>2</v>
      </c>
      <c r="AD7" s="174" t="s">
        <v>589</v>
      </c>
      <c r="AE7" s="174"/>
      <c r="AF7" s="174" t="s">
        <v>571</v>
      </c>
      <c r="AG7" s="174" t="s">
        <v>60</v>
      </c>
      <c r="AH7" s="174" t="s">
        <v>590</v>
      </c>
      <c r="AI7" s="174" t="s">
        <v>563</v>
      </c>
      <c r="AJ7" s="174" t="s">
        <v>212</v>
      </c>
      <c r="AK7" s="174" t="s">
        <v>210</v>
      </c>
      <c r="AL7" s="174"/>
      <c r="AM7" s="181" t="s">
        <v>582</v>
      </c>
      <c r="AN7" s="192"/>
    </row>
    <row r="8" spans="1:40" s="175" customFormat="1" ht="12" customHeight="1">
      <c r="A8" s="174">
        <v>6</v>
      </c>
      <c r="B8" s="174" t="s">
        <v>219</v>
      </c>
      <c r="C8" s="174" t="s">
        <v>538</v>
      </c>
      <c r="D8" s="174" t="s">
        <v>539</v>
      </c>
      <c r="E8" s="174" t="s">
        <v>209</v>
      </c>
      <c r="F8" s="174" t="e">
        <f>VLOOKUP(E8,'95 Chỉ tiêu'!$B$4:$F$177,2,0)</f>
        <v>#N/A</v>
      </c>
      <c r="G8" s="174" t="s">
        <v>111</v>
      </c>
      <c r="H8" s="174" t="s">
        <v>210</v>
      </c>
      <c r="I8" s="174" t="s">
        <v>591</v>
      </c>
      <c r="J8" s="174" t="s">
        <v>592</v>
      </c>
      <c r="K8" s="174" t="s">
        <v>593</v>
      </c>
      <c r="L8" s="174" t="s">
        <v>543</v>
      </c>
      <c r="M8" s="174" t="s">
        <v>594</v>
      </c>
      <c r="N8" s="174" t="s">
        <v>595</v>
      </c>
      <c r="O8" s="174" t="s">
        <v>546</v>
      </c>
      <c r="P8" s="174" t="s">
        <v>578</v>
      </c>
      <c r="Q8" s="174" t="s">
        <v>596</v>
      </c>
      <c r="R8" s="174" t="s">
        <v>66</v>
      </c>
      <c r="S8" s="174" t="s">
        <v>60</v>
      </c>
      <c r="T8" s="174" t="s">
        <v>60</v>
      </c>
      <c r="U8" s="174" t="s">
        <v>60</v>
      </c>
      <c r="V8" s="174" t="s">
        <v>60</v>
      </c>
      <c r="W8" s="174" t="s">
        <v>60</v>
      </c>
      <c r="X8" s="174" t="s">
        <v>549</v>
      </c>
      <c r="Y8" s="174" t="s">
        <v>60</v>
      </c>
      <c r="Z8" s="174" t="s">
        <v>60</v>
      </c>
      <c r="AA8" s="174" t="s">
        <v>60</v>
      </c>
      <c r="AB8" s="174" t="s">
        <v>549</v>
      </c>
      <c r="AC8" s="174">
        <v>1</v>
      </c>
      <c r="AD8" s="174"/>
      <c r="AE8" s="174"/>
      <c r="AF8" s="174" t="s">
        <v>597</v>
      </c>
      <c r="AG8" s="174" t="s">
        <v>598</v>
      </c>
      <c r="AH8" s="174" t="s">
        <v>599</v>
      </c>
      <c r="AI8" s="174"/>
      <c r="AJ8" s="174" t="s">
        <v>212</v>
      </c>
      <c r="AK8" s="174" t="s">
        <v>210</v>
      </c>
      <c r="AL8" s="174"/>
      <c r="AM8" s="181" t="s">
        <v>600</v>
      </c>
      <c r="AN8" s="192"/>
    </row>
    <row r="9" spans="1:40" s="175" customFormat="1" ht="12" customHeight="1">
      <c r="A9" s="174">
        <v>7</v>
      </c>
      <c r="B9" s="174" t="s">
        <v>219</v>
      </c>
      <c r="C9" s="174" t="s">
        <v>538</v>
      </c>
      <c r="D9" s="174" t="s">
        <v>539</v>
      </c>
      <c r="E9" s="174" t="s">
        <v>209</v>
      </c>
      <c r="F9" s="174" t="e">
        <f>VLOOKUP(E9,'95 Chỉ tiêu'!$B$4:$F$177,2,0)</f>
        <v>#N/A</v>
      </c>
      <c r="G9" s="174" t="s">
        <v>111</v>
      </c>
      <c r="H9" s="174" t="s">
        <v>210</v>
      </c>
      <c r="I9" s="174" t="s">
        <v>601</v>
      </c>
      <c r="J9" s="174" t="s">
        <v>602</v>
      </c>
      <c r="K9" s="174" t="s">
        <v>603</v>
      </c>
      <c r="L9" s="174" t="s">
        <v>543</v>
      </c>
      <c r="M9" s="174" t="s">
        <v>604</v>
      </c>
      <c r="N9" s="174" t="s">
        <v>605</v>
      </c>
      <c r="O9" s="174" t="s">
        <v>546</v>
      </c>
      <c r="P9" s="174" t="s">
        <v>606</v>
      </c>
      <c r="Q9" s="174" t="s">
        <v>607</v>
      </c>
      <c r="R9" s="174" t="s">
        <v>570</v>
      </c>
      <c r="S9" s="174" t="s">
        <v>60</v>
      </c>
      <c r="T9" s="174" t="s">
        <v>549</v>
      </c>
      <c r="U9" s="174" t="s">
        <v>60</v>
      </c>
      <c r="V9" s="174" t="s">
        <v>60</v>
      </c>
      <c r="W9" s="174" t="s">
        <v>60</v>
      </c>
      <c r="X9" s="174" t="s">
        <v>60</v>
      </c>
      <c r="Y9" s="174" t="s">
        <v>60</v>
      </c>
      <c r="Z9" s="174" t="s">
        <v>549</v>
      </c>
      <c r="AA9" s="174" t="s">
        <v>60</v>
      </c>
      <c r="AB9" s="174" t="s">
        <v>60</v>
      </c>
      <c r="AC9" s="174">
        <v>2</v>
      </c>
      <c r="AD9" s="174"/>
      <c r="AE9" s="174"/>
      <c r="AF9" s="174" t="s">
        <v>580</v>
      </c>
      <c r="AG9" s="174" t="s">
        <v>60</v>
      </c>
      <c r="AH9" s="174" t="s">
        <v>608</v>
      </c>
      <c r="AI9" s="174" t="s">
        <v>563</v>
      </c>
      <c r="AJ9" s="174" t="s">
        <v>212</v>
      </c>
      <c r="AK9" s="174" t="s">
        <v>210</v>
      </c>
      <c r="AL9" s="174"/>
      <c r="AM9" s="181" t="s">
        <v>609</v>
      </c>
      <c r="AN9" s="192"/>
    </row>
    <row r="10" spans="1:40" s="175" customFormat="1" ht="12" customHeight="1">
      <c r="A10" s="174">
        <v>8</v>
      </c>
      <c r="B10" s="174" t="s">
        <v>219</v>
      </c>
      <c r="C10" s="174" t="s">
        <v>538</v>
      </c>
      <c r="D10" s="174" t="s">
        <v>539</v>
      </c>
      <c r="E10" s="174" t="s">
        <v>209</v>
      </c>
      <c r="F10" s="174" t="e">
        <f>VLOOKUP(E10,'95 Chỉ tiêu'!$B$4:$F$177,2,0)</f>
        <v>#N/A</v>
      </c>
      <c r="G10" s="174" t="s">
        <v>111</v>
      </c>
      <c r="H10" s="174" t="s">
        <v>210</v>
      </c>
      <c r="I10" s="174" t="s">
        <v>610</v>
      </c>
      <c r="J10" s="174" t="s">
        <v>611</v>
      </c>
      <c r="K10" s="174" t="s">
        <v>612</v>
      </c>
      <c r="L10" s="174" t="s">
        <v>543</v>
      </c>
      <c r="M10" s="176" t="s">
        <v>613</v>
      </c>
      <c r="N10" s="176" t="s">
        <v>559</v>
      </c>
      <c r="O10" s="174" t="s">
        <v>546</v>
      </c>
      <c r="P10" s="174" t="s">
        <v>606</v>
      </c>
      <c r="Q10" s="174" t="s">
        <v>607</v>
      </c>
      <c r="R10" s="174" t="s">
        <v>570</v>
      </c>
      <c r="S10" s="174" t="s">
        <v>60</v>
      </c>
      <c r="T10" s="174" t="s">
        <v>60</v>
      </c>
      <c r="U10" s="174" t="s">
        <v>60</v>
      </c>
      <c r="V10" s="174" t="s">
        <v>60</v>
      </c>
      <c r="W10" s="174" t="s">
        <v>60</v>
      </c>
      <c r="X10" s="174" t="s">
        <v>60</v>
      </c>
      <c r="Y10" s="174" t="s">
        <v>60</v>
      </c>
      <c r="Z10" s="174" t="s">
        <v>60</v>
      </c>
      <c r="AA10" s="174" t="s">
        <v>60</v>
      </c>
      <c r="AB10" s="174" t="s">
        <v>60</v>
      </c>
      <c r="AC10" s="174">
        <v>2</v>
      </c>
      <c r="AD10" s="174"/>
      <c r="AE10" s="174"/>
      <c r="AF10" s="174" t="s">
        <v>580</v>
      </c>
      <c r="AG10" s="174"/>
      <c r="AH10" s="174"/>
      <c r="AI10" s="174"/>
      <c r="AJ10" s="174"/>
      <c r="AK10" s="174"/>
      <c r="AL10" s="174"/>
      <c r="AM10" s="181"/>
      <c r="AN10" s="192"/>
    </row>
    <row r="11" spans="1:40" s="175" customFormat="1" ht="12" customHeight="1">
      <c r="A11" s="174">
        <v>9</v>
      </c>
      <c r="B11" s="174" t="s">
        <v>219</v>
      </c>
      <c r="C11" s="174" t="s">
        <v>538</v>
      </c>
      <c r="D11" s="174" t="s">
        <v>539</v>
      </c>
      <c r="E11" s="174" t="s">
        <v>209</v>
      </c>
      <c r="F11" s="174" t="e">
        <f>VLOOKUP(E11,'95 Chỉ tiêu'!$B$4:$F$177,2,0)</f>
        <v>#N/A</v>
      </c>
      <c r="G11" s="174" t="s">
        <v>111</v>
      </c>
      <c r="H11" s="174" t="s">
        <v>210</v>
      </c>
      <c r="I11" s="174" t="s">
        <v>614</v>
      </c>
      <c r="J11" s="174" t="s">
        <v>615</v>
      </c>
      <c r="K11" s="174" t="s">
        <v>616</v>
      </c>
      <c r="L11" s="174" t="s">
        <v>543</v>
      </c>
      <c r="M11" s="176" t="s">
        <v>617</v>
      </c>
      <c r="N11" s="176" t="s">
        <v>568</v>
      </c>
      <c r="O11" s="174" t="s">
        <v>546</v>
      </c>
      <c r="P11" s="176" t="s">
        <v>569</v>
      </c>
      <c r="Q11" s="174" t="s">
        <v>607</v>
      </c>
      <c r="R11" s="174" t="s">
        <v>570</v>
      </c>
      <c r="S11" s="174" t="s">
        <v>60</v>
      </c>
      <c r="T11" s="174" t="s">
        <v>60</v>
      </c>
      <c r="U11" s="174" t="s">
        <v>60</v>
      </c>
      <c r="V11" s="174" t="s">
        <v>60</v>
      </c>
      <c r="W11" s="174" t="s">
        <v>60</v>
      </c>
      <c r="X11" s="174" t="s">
        <v>60</v>
      </c>
      <c r="Y11" s="174" t="s">
        <v>60</v>
      </c>
      <c r="Z11" s="174" t="s">
        <v>60</v>
      </c>
      <c r="AA11" s="174" t="s">
        <v>60</v>
      </c>
      <c r="AB11" s="174" t="s">
        <v>60</v>
      </c>
      <c r="AC11" s="174">
        <v>2</v>
      </c>
      <c r="AD11" s="174"/>
      <c r="AE11" s="174"/>
      <c r="AF11" s="174" t="s">
        <v>580</v>
      </c>
      <c r="AG11" s="174"/>
      <c r="AH11" s="174"/>
      <c r="AI11" s="174"/>
      <c r="AJ11" s="174"/>
      <c r="AK11" s="174"/>
      <c r="AL11" s="174"/>
      <c r="AM11" s="181"/>
      <c r="AN11" s="192"/>
    </row>
    <row r="12" spans="1:40" s="175" customFormat="1" ht="12" customHeight="1">
      <c r="A12" s="174">
        <v>10</v>
      </c>
      <c r="B12" s="174" t="s">
        <v>219</v>
      </c>
      <c r="C12" s="174" t="s">
        <v>538</v>
      </c>
      <c r="D12" s="174" t="s">
        <v>539</v>
      </c>
      <c r="E12" s="174" t="s">
        <v>222</v>
      </c>
      <c r="F12" s="174" t="e">
        <f>VLOOKUP(E12,'95 Chỉ tiêu'!$B$4:$F$177,2,0)</f>
        <v>#N/A</v>
      </c>
      <c r="G12" s="174" t="s">
        <v>111</v>
      </c>
      <c r="H12" s="174" t="s">
        <v>618</v>
      </c>
      <c r="I12" s="174" t="s">
        <v>619</v>
      </c>
      <c r="J12" s="174" t="s">
        <v>620</v>
      </c>
      <c r="K12" s="174" t="s">
        <v>621</v>
      </c>
      <c r="L12" s="174" t="s">
        <v>543</v>
      </c>
      <c r="M12" s="174" t="s">
        <v>622</v>
      </c>
      <c r="N12" s="174">
        <f>- J38</f>
        <v>0</v>
      </c>
      <c r="O12" s="174" t="s">
        <v>546</v>
      </c>
      <c r="P12" s="174" t="s">
        <v>623</v>
      </c>
      <c r="Q12" s="174" t="s">
        <v>607</v>
      </c>
      <c r="R12" s="174" t="s">
        <v>66</v>
      </c>
      <c r="S12" s="174" t="s">
        <v>60</v>
      </c>
      <c r="T12" s="174" t="s">
        <v>60</v>
      </c>
      <c r="U12" s="174" t="s">
        <v>60</v>
      </c>
      <c r="V12" s="174" t="s">
        <v>60</v>
      </c>
      <c r="W12" s="174" t="s">
        <v>60</v>
      </c>
      <c r="X12" s="174" t="s">
        <v>60</v>
      </c>
      <c r="Y12" s="174" t="s">
        <v>60</v>
      </c>
      <c r="Z12" s="174" t="s">
        <v>60</v>
      </c>
      <c r="AA12" s="174" t="s">
        <v>60</v>
      </c>
      <c r="AB12" s="174" t="s">
        <v>60</v>
      </c>
      <c r="AC12" s="174">
        <v>1</v>
      </c>
      <c r="AD12" s="174"/>
      <c r="AE12" s="174"/>
      <c r="AF12" s="174" t="s">
        <v>580</v>
      </c>
      <c r="AG12" s="174"/>
      <c r="AH12" s="174"/>
      <c r="AI12" s="174"/>
      <c r="AJ12" s="174" t="s">
        <v>624</v>
      </c>
      <c r="AK12" s="174" t="s">
        <v>223</v>
      </c>
      <c r="AL12" s="174"/>
      <c r="AM12" s="181" t="s">
        <v>554</v>
      </c>
      <c r="AN12" s="192"/>
    </row>
    <row r="13" spans="1:40" s="175" customFormat="1" ht="12" customHeight="1">
      <c r="A13" s="174">
        <v>11</v>
      </c>
      <c r="B13" s="174" t="s">
        <v>219</v>
      </c>
      <c r="C13" s="174" t="s">
        <v>538</v>
      </c>
      <c r="D13" s="174" t="s">
        <v>539</v>
      </c>
      <c r="E13" s="174" t="s">
        <v>222</v>
      </c>
      <c r="F13" s="174" t="e">
        <f>VLOOKUP(E13,'95 Chỉ tiêu'!$B$4:$F$177,2,0)</f>
        <v>#N/A</v>
      </c>
      <c r="G13" s="174" t="s">
        <v>111</v>
      </c>
      <c r="H13" s="174" t="s">
        <v>618</v>
      </c>
      <c r="I13" s="174" t="s">
        <v>625</v>
      </c>
      <c r="J13" s="174" t="s">
        <v>626</v>
      </c>
      <c r="K13" s="174" t="s">
        <v>627</v>
      </c>
      <c r="L13" s="174" t="s">
        <v>543</v>
      </c>
      <c r="M13" s="174" t="s">
        <v>628</v>
      </c>
      <c r="N13" s="174" t="s">
        <v>629</v>
      </c>
      <c r="O13" s="174" t="s">
        <v>630</v>
      </c>
      <c r="P13" s="174" t="s">
        <v>623</v>
      </c>
      <c r="Q13" s="174" t="s">
        <v>631</v>
      </c>
      <c r="R13" s="174" t="s">
        <v>66</v>
      </c>
      <c r="S13" s="174" t="s">
        <v>60</v>
      </c>
      <c r="T13" s="174" t="s">
        <v>60</v>
      </c>
      <c r="U13" s="174" t="s">
        <v>60</v>
      </c>
      <c r="V13" s="174" t="s">
        <v>60</v>
      </c>
      <c r="W13" s="174" t="s">
        <v>60</v>
      </c>
      <c r="X13" s="174" t="s">
        <v>60</v>
      </c>
      <c r="Y13" s="174" t="s">
        <v>60</v>
      </c>
      <c r="Z13" s="174" t="s">
        <v>60</v>
      </c>
      <c r="AA13" s="174" t="s">
        <v>60</v>
      </c>
      <c r="AB13" s="174" t="s">
        <v>60</v>
      </c>
      <c r="AC13" s="174">
        <v>1</v>
      </c>
      <c r="AD13" s="174"/>
      <c r="AE13" s="174"/>
      <c r="AF13" s="174" t="s">
        <v>580</v>
      </c>
      <c r="AG13" s="174"/>
      <c r="AH13" s="174"/>
      <c r="AI13" s="174"/>
      <c r="AJ13" s="174" t="s">
        <v>624</v>
      </c>
      <c r="AK13" s="174" t="s">
        <v>223</v>
      </c>
      <c r="AL13" s="174"/>
      <c r="AM13" s="181" t="s">
        <v>554</v>
      </c>
      <c r="AN13" s="192"/>
    </row>
    <row r="14" spans="1:40" s="175" customFormat="1" ht="12" customHeight="1">
      <c r="A14" s="174">
        <v>12</v>
      </c>
      <c r="B14" s="174" t="s">
        <v>219</v>
      </c>
      <c r="C14" s="174" t="s">
        <v>538</v>
      </c>
      <c r="D14" s="174" t="s">
        <v>539</v>
      </c>
      <c r="E14" s="174" t="s">
        <v>222</v>
      </c>
      <c r="F14" s="174" t="e">
        <f>VLOOKUP(E14,'95 Chỉ tiêu'!$B$4:$F$177,2,0)</f>
        <v>#N/A</v>
      </c>
      <c r="G14" s="174" t="s">
        <v>111</v>
      </c>
      <c r="H14" s="174" t="s">
        <v>618</v>
      </c>
      <c r="I14" s="174" t="s">
        <v>632</v>
      </c>
      <c r="J14" s="174" t="s">
        <v>633</v>
      </c>
      <c r="K14" s="174" t="s">
        <v>634</v>
      </c>
      <c r="L14" s="174" t="s">
        <v>543</v>
      </c>
      <c r="M14" s="174" t="s">
        <v>635</v>
      </c>
      <c r="N14" s="174" t="s">
        <v>636</v>
      </c>
      <c r="O14" s="174" t="s">
        <v>637</v>
      </c>
      <c r="P14" s="174" t="s">
        <v>638</v>
      </c>
      <c r="Q14" s="174" t="s">
        <v>607</v>
      </c>
      <c r="R14" s="174" t="s">
        <v>66</v>
      </c>
      <c r="S14" s="174" t="s">
        <v>60</v>
      </c>
      <c r="T14" s="174" t="s">
        <v>60</v>
      </c>
      <c r="U14" s="174" t="s">
        <v>60</v>
      </c>
      <c r="V14" s="174" t="s">
        <v>60</v>
      </c>
      <c r="W14" s="174" t="s">
        <v>60</v>
      </c>
      <c r="X14" s="174" t="s">
        <v>60</v>
      </c>
      <c r="Y14" s="174" t="s">
        <v>60</v>
      </c>
      <c r="Z14" s="174" t="s">
        <v>60</v>
      </c>
      <c r="AA14" s="174" t="s">
        <v>60</v>
      </c>
      <c r="AB14" s="174" t="s">
        <v>60</v>
      </c>
      <c r="AC14" s="174">
        <v>1</v>
      </c>
      <c r="AD14" s="174"/>
      <c r="AE14" s="174" t="s">
        <v>639</v>
      </c>
      <c r="AF14" s="174" t="s">
        <v>580</v>
      </c>
      <c r="AG14" s="174"/>
      <c r="AH14" s="174"/>
      <c r="AI14" s="174"/>
      <c r="AJ14" s="174" t="s">
        <v>624</v>
      </c>
      <c r="AK14" s="174" t="s">
        <v>223</v>
      </c>
      <c r="AL14" s="174"/>
      <c r="AM14" s="181" t="s">
        <v>554</v>
      </c>
      <c r="AN14" s="192"/>
    </row>
    <row r="15" spans="1:40" s="175" customFormat="1" ht="12" customHeight="1">
      <c r="A15" s="174">
        <v>13</v>
      </c>
      <c r="B15" s="174" t="s">
        <v>219</v>
      </c>
      <c r="C15" s="174" t="s">
        <v>538</v>
      </c>
      <c r="D15" s="174" t="s">
        <v>539</v>
      </c>
      <c r="E15" s="174" t="s">
        <v>222</v>
      </c>
      <c r="F15" s="174" t="e">
        <f>VLOOKUP(E15,'95 Chỉ tiêu'!$B$4:$F$177,2,0)</f>
        <v>#N/A</v>
      </c>
      <c r="G15" s="174" t="s">
        <v>111</v>
      </c>
      <c r="H15" s="174" t="s">
        <v>618</v>
      </c>
      <c r="I15" s="174" t="s">
        <v>640</v>
      </c>
      <c r="J15" s="174" t="s">
        <v>641</v>
      </c>
      <c r="K15" s="174" t="s">
        <v>642</v>
      </c>
      <c r="L15" s="174" t="s">
        <v>543</v>
      </c>
      <c r="M15" s="174" t="s">
        <v>643</v>
      </c>
      <c r="N15" s="174" t="s">
        <v>644</v>
      </c>
      <c r="O15" s="174" t="s">
        <v>546</v>
      </c>
      <c r="P15" s="174" t="s">
        <v>623</v>
      </c>
      <c r="Q15" s="174" t="s">
        <v>645</v>
      </c>
      <c r="R15" s="174" t="s">
        <v>66</v>
      </c>
      <c r="S15" s="174" t="s">
        <v>60</v>
      </c>
      <c r="T15" s="174" t="s">
        <v>60</v>
      </c>
      <c r="U15" s="174" t="s">
        <v>60</v>
      </c>
      <c r="V15" s="174" t="s">
        <v>60</v>
      </c>
      <c r="W15" s="174" t="s">
        <v>60</v>
      </c>
      <c r="X15" s="174" t="s">
        <v>549</v>
      </c>
      <c r="Y15" s="174" t="s">
        <v>60</v>
      </c>
      <c r="Z15" s="174" t="s">
        <v>60</v>
      </c>
      <c r="AA15" s="174" t="s">
        <v>60</v>
      </c>
      <c r="AB15" s="174" t="s">
        <v>549</v>
      </c>
      <c r="AC15" s="174">
        <v>2</v>
      </c>
      <c r="AD15" s="174"/>
      <c r="AE15" s="174"/>
      <c r="AF15" s="174" t="s">
        <v>580</v>
      </c>
      <c r="AG15" s="174"/>
      <c r="AH15" s="174"/>
      <c r="AI15" s="174"/>
      <c r="AJ15" s="174" t="s">
        <v>624</v>
      </c>
      <c r="AK15" s="174" t="s">
        <v>223</v>
      </c>
      <c r="AL15" s="174"/>
      <c r="AM15" s="181" t="s">
        <v>600</v>
      </c>
      <c r="AN15" s="192"/>
    </row>
    <row r="16" spans="1:40" s="175" customFormat="1" ht="12" customHeight="1">
      <c r="A16" s="174">
        <v>14</v>
      </c>
      <c r="B16" s="174" t="s">
        <v>219</v>
      </c>
      <c r="C16" s="174" t="s">
        <v>538</v>
      </c>
      <c r="D16" s="174" t="s">
        <v>539</v>
      </c>
      <c r="E16" s="174" t="s">
        <v>222</v>
      </c>
      <c r="F16" s="174" t="e">
        <f>VLOOKUP(E16,'95 Chỉ tiêu'!$B$4:$F$177,2,0)</f>
        <v>#N/A</v>
      </c>
      <c r="G16" s="174" t="s">
        <v>111</v>
      </c>
      <c r="H16" s="174" t="s">
        <v>618</v>
      </c>
      <c r="I16" s="174" t="s">
        <v>646</v>
      </c>
      <c r="J16" s="174" t="s">
        <v>647</v>
      </c>
      <c r="K16" s="174" t="s">
        <v>648</v>
      </c>
      <c r="L16" s="174" t="s">
        <v>543</v>
      </c>
      <c r="M16" s="174" t="s">
        <v>649</v>
      </c>
      <c r="N16" s="174" t="s">
        <v>644</v>
      </c>
      <c r="O16" s="174" t="s">
        <v>546</v>
      </c>
      <c r="P16" s="174" t="s">
        <v>623</v>
      </c>
      <c r="Q16" s="174" t="s">
        <v>645</v>
      </c>
      <c r="R16" s="174" t="s">
        <v>66</v>
      </c>
      <c r="S16" s="174" t="s">
        <v>60</v>
      </c>
      <c r="T16" s="174" t="s">
        <v>60</v>
      </c>
      <c r="U16" s="174" t="s">
        <v>60</v>
      </c>
      <c r="V16" s="174" t="s">
        <v>60</v>
      </c>
      <c r="W16" s="174" t="s">
        <v>60</v>
      </c>
      <c r="X16" s="174" t="s">
        <v>60</v>
      </c>
      <c r="Y16" s="174" t="s">
        <v>60</v>
      </c>
      <c r="Z16" s="174" t="s">
        <v>549</v>
      </c>
      <c r="AA16" s="174" t="s">
        <v>60</v>
      </c>
      <c r="AB16" s="174" t="s">
        <v>60</v>
      </c>
      <c r="AC16" s="174">
        <v>2</v>
      </c>
      <c r="AD16" s="174"/>
      <c r="AE16" s="174" t="s">
        <v>650</v>
      </c>
      <c r="AF16" s="174" t="s">
        <v>580</v>
      </c>
      <c r="AG16" s="174"/>
      <c r="AH16" s="174"/>
      <c r="AI16" s="174"/>
      <c r="AJ16" s="174" t="s">
        <v>624</v>
      </c>
      <c r="AK16" s="174" t="s">
        <v>223</v>
      </c>
      <c r="AL16" s="174"/>
      <c r="AM16" s="181" t="s">
        <v>600</v>
      </c>
      <c r="AN16" s="192"/>
    </row>
    <row r="17" spans="1:40" s="175" customFormat="1" ht="12" customHeight="1">
      <c r="A17" s="174">
        <v>15</v>
      </c>
      <c r="B17" s="174" t="s">
        <v>219</v>
      </c>
      <c r="C17" s="174" t="s">
        <v>538</v>
      </c>
      <c r="D17" s="174" t="s">
        <v>539</v>
      </c>
      <c r="E17" s="174" t="s">
        <v>222</v>
      </c>
      <c r="F17" s="174" t="e">
        <f>VLOOKUP(E17,'95 Chỉ tiêu'!$B$4:$F$177,2,0)</f>
        <v>#N/A</v>
      </c>
      <c r="G17" s="174" t="s">
        <v>111</v>
      </c>
      <c r="H17" s="174" t="s">
        <v>618</v>
      </c>
      <c r="I17" s="174" t="s">
        <v>651</v>
      </c>
      <c r="J17" s="174" t="s">
        <v>652</v>
      </c>
      <c r="K17" s="174" t="s">
        <v>653</v>
      </c>
      <c r="L17" s="174" t="s">
        <v>543</v>
      </c>
      <c r="M17" s="174" t="s">
        <v>654</v>
      </c>
      <c r="N17" s="174" t="s">
        <v>644</v>
      </c>
      <c r="O17" s="174" t="s">
        <v>546</v>
      </c>
      <c r="P17" s="174" t="s">
        <v>623</v>
      </c>
      <c r="Q17" s="174" t="s">
        <v>607</v>
      </c>
      <c r="R17" s="174" t="s">
        <v>66</v>
      </c>
      <c r="S17" s="174" t="s">
        <v>60</v>
      </c>
      <c r="T17" s="174" t="s">
        <v>60</v>
      </c>
      <c r="U17" s="174" t="s">
        <v>60</v>
      </c>
      <c r="V17" s="174" t="s">
        <v>60</v>
      </c>
      <c r="W17" s="174" t="s">
        <v>60</v>
      </c>
      <c r="X17" s="174" t="s">
        <v>60</v>
      </c>
      <c r="Y17" s="174" t="s">
        <v>60</v>
      </c>
      <c r="Z17" s="174" t="s">
        <v>60</v>
      </c>
      <c r="AA17" s="174" t="s">
        <v>60</v>
      </c>
      <c r="AB17" s="174" t="s">
        <v>60</v>
      </c>
      <c r="AC17" s="174">
        <v>2</v>
      </c>
      <c r="AD17" s="174"/>
      <c r="AE17" s="174"/>
      <c r="AF17" s="174" t="s">
        <v>580</v>
      </c>
      <c r="AG17" s="174"/>
      <c r="AH17" s="174"/>
      <c r="AI17" s="174"/>
      <c r="AJ17" s="174" t="s">
        <v>624</v>
      </c>
      <c r="AK17" s="174" t="s">
        <v>223</v>
      </c>
      <c r="AL17" s="174"/>
      <c r="AM17" s="181" t="s">
        <v>655</v>
      </c>
      <c r="AN17" s="192"/>
    </row>
    <row r="18" spans="1:40" s="175" customFormat="1" ht="12" customHeight="1">
      <c r="A18" s="174">
        <v>16</v>
      </c>
      <c r="B18" s="174" t="s">
        <v>219</v>
      </c>
      <c r="C18" s="174" t="s">
        <v>538</v>
      </c>
      <c r="D18" s="174" t="s">
        <v>656</v>
      </c>
      <c r="E18" s="174" t="s">
        <v>248</v>
      </c>
      <c r="F18" s="174" t="e">
        <f>VLOOKUP(E18,'95 Chỉ tiêu'!$B$4:$F$177,2,0)</f>
        <v>#N/A</v>
      </c>
      <c r="G18" s="174" t="s">
        <v>111</v>
      </c>
      <c r="H18" s="174" t="s">
        <v>249</v>
      </c>
      <c r="I18" s="174" t="s">
        <v>657</v>
      </c>
      <c r="J18" s="174" t="s">
        <v>658</v>
      </c>
      <c r="K18" s="174" t="s">
        <v>659</v>
      </c>
      <c r="L18" s="174" t="s">
        <v>543</v>
      </c>
      <c r="M18" s="174" t="s">
        <v>660</v>
      </c>
      <c r="N18" s="174" t="s">
        <v>661</v>
      </c>
      <c r="O18" s="174" t="s">
        <v>662</v>
      </c>
      <c r="P18" s="174" t="s">
        <v>663</v>
      </c>
      <c r="Q18" s="174" t="s">
        <v>607</v>
      </c>
      <c r="R18" s="174" t="s">
        <v>66</v>
      </c>
      <c r="S18" s="174" t="s">
        <v>60</v>
      </c>
      <c r="T18" s="174" t="s">
        <v>60</v>
      </c>
      <c r="U18" s="174" t="s">
        <v>60</v>
      </c>
      <c r="V18" s="174" t="s">
        <v>60</v>
      </c>
      <c r="W18" s="174" t="s">
        <v>60</v>
      </c>
      <c r="X18" s="174" t="s">
        <v>60</v>
      </c>
      <c r="Y18" s="174" t="s">
        <v>60</v>
      </c>
      <c r="Z18" s="174" t="s">
        <v>60</v>
      </c>
      <c r="AA18" s="174" t="s">
        <v>60</v>
      </c>
      <c r="AB18" s="174" t="s">
        <v>549</v>
      </c>
      <c r="AC18" s="174">
        <v>1</v>
      </c>
      <c r="AD18" s="174" t="s">
        <v>550</v>
      </c>
      <c r="AE18" s="174"/>
      <c r="AF18" s="174" t="s">
        <v>580</v>
      </c>
      <c r="AG18" s="174"/>
      <c r="AH18" s="174"/>
      <c r="AI18" s="174"/>
      <c r="AJ18" s="174" t="s">
        <v>250</v>
      </c>
      <c r="AK18" s="174" t="s">
        <v>249</v>
      </c>
      <c r="AL18" s="174"/>
      <c r="AM18" s="181" t="s">
        <v>554</v>
      </c>
      <c r="AN18" s="192"/>
    </row>
    <row r="19" spans="1:40" s="175" customFormat="1" ht="12" customHeight="1">
      <c r="A19" s="241">
        <v>17</v>
      </c>
      <c r="B19" s="241" t="s">
        <v>219</v>
      </c>
      <c r="C19" s="241" t="s">
        <v>538</v>
      </c>
      <c r="D19" s="241" t="s">
        <v>656</v>
      </c>
      <c r="E19" s="241" t="s">
        <v>248</v>
      </c>
      <c r="F19" s="241" t="e">
        <f>VLOOKUP(E19,'95 Chỉ tiêu'!$B$4:$F$177,2,0)</f>
        <v>#N/A</v>
      </c>
      <c r="G19" s="241" t="s">
        <v>111</v>
      </c>
      <c r="H19" s="241" t="s">
        <v>249</v>
      </c>
      <c r="I19" s="241" t="s">
        <v>664</v>
      </c>
      <c r="J19" s="241" t="s">
        <v>665</v>
      </c>
      <c r="K19" s="241" t="s">
        <v>666</v>
      </c>
      <c r="L19" s="241" t="s">
        <v>543</v>
      </c>
      <c r="M19" s="241" t="s">
        <v>667</v>
      </c>
      <c r="N19" s="241" t="s">
        <v>668</v>
      </c>
      <c r="O19" s="174" t="s">
        <v>662</v>
      </c>
      <c r="P19" s="174" t="s">
        <v>669</v>
      </c>
      <c r="Q19" s="174" t="s">
        <v>607</v>
      </c>
      <c r="R19" s="174" t="s">
        <v>66</v>
      </c>
      <c r="S19" s="174" t="s">
        <v>60</v>
      </c>
      <c r="T19" s="174" t="s">
        <v>60</v>
      </c>
      <c r="U19" s="174" t="s">
        <v>60</v>
      </c>
      <c r="V19" s="174" t="s">
        <v>60</v>
      </c>
      <c r="W19" s="174" t="s">
        <v>60</v>
      </c>
      <c r="X19" s="174" t="s">
        <v>60</v>
      </c>
      <c r="Y19" s="174" t="s">
        <v>60</v>
      </c>
      <c r="Z19" s="174" t="s">
        <v>60</v>
      </c>
      <c r="AA19" s="174" t="s">
        <v>60</v>
      </c>
      <c r="AB19" s="174" t="s">
        <v>549</v>
      </c>
      <c r="AC19" s="174">
        <v>1</v>
      </c>
      <c r="AD19" s="174"/>
      <c r="AE19" s="174"/>
      <c r="AF19" s="174" t="s">
        <v>580</v>
      </c>
      <c r="AG19" s="174"/>
      <c r="AH19" s="174"/>
      <c r="AI19" s="174"/>
      <c r="AJ19" s="174" t="s">
        <v>250</v>
      </c>
      <c r="AK19" s="174" t="s">
        <v>249</v>
      </c>
      <c r="AL19" s="174"/>
      <c r="AM19" s="181" t="s">
        <v>554</v>
      </c>
      <c r="AN19" s="192"/>
    </row>
    <row r="20" spans="1:40" s="175" customFormat="1" ht="12" customHeight="1">
      <c r="A20" s="174">
        <v>18</v>
      </c>
      <c r="B20" s="174" t="s">
        <v>219</v>
      </c>
      <c r="C20" s="174" t="s">
        <v>538</v>
      </c>
      <c r="D20" s="174" t="s">
        <v>656</v>
      </c>
      <c r="E20" s="174" t="s">
        <v>248</v>
      </c>
      <c r="F20" s="174" t="e">
        <f>VLOOKUP(E20,'95 Chỉ tiêu'!$B$4:$F$177,2,0)</f>
        <v>#N/A</v>
      </c>
      <c r="G20" s="174" t="s">
        <v>111</v>
      </c>
      <c r="H20" s="174" t="s">
        <v>249</v>
      </c>
      <c r="I20" s="174" t="s">
        <v>670</v>
      </c>
      <c r="J20" s="174" t="s">
        <v>671</v>
      </c>
      <c r="K20" s="174" t="s">
        <v>672</v>
      </c>
      <c r="L20" s="174" t="s">
        <v>543</v>
      </c>
      <c r="M20" s="174" t="s">
        <v>673</v>
      </c>
      <c r="N20" s="174" t="s">
        <v>674</v>
      </c>
      <c r="O20" s="174" t="s">
        <v>662</v>
      </c>
      <c r="P20" s="174" t="s">
        <v>675</v>
      </c>
      <c r="Q20" s="174" t="s">
        <v>607</v>
      </c>
      <c r="R20" s="174" t="s">
        <v>66</v>
      </c>
      <c r="S20" s="174" t="s">
        <v>60</v>
      </c>
      <c r="T20" s="174" t="s">
        <v>60</v>
      </c>
      <c r="U20" s="174" t="s">
        <v>60</v>
      </c>
      <c r="V20" s="174" t="s">
        <v>60</v>
      </c>
      <c r="W20" s="174" t="s">
        <v>60</v>
      </c>
      <c r="X20" s="174" t="s">
        <v>60</v>
      </c>
      <c r="Y20" s="174" t="s">
        <v>60</v>
      </c>
      <c r="Z20" s="174" t="s">
        <v>60</v>
      </c>
      <c r="AA20" s="174" t="s">
        <v>60</v>
      </c>
      <c r="AB20" s="174" t="s">
        <v>549</v>
      </c>
      <c r="AC20" s="174">
        <v>1</v>
      </c>
      <c r="AD20" s="174"/>
      <c r="AE20" s="174"/>
      <c r="AF20" s="174" t="s">
        <v>580</v>
      </c>
      <c r="AG20" s="174"/>
      <c r="AH20" s="174"/>
      <c r="AI20" s="174"/>
      <c r="AJ20" s="174" t="s">
        <v>250</v>
      </c>
      <c r="AK20" s="174" t="s">
        <v>249</v>
      </c>
      <c r="AL20" s="174"/>
      <c r="AM20" s="181" t="s">
        <v>554</v>
      </c>
      <c r="AN20" s="192"/>
    </row>
    <row r="21" spans="1:40" s="175" customFormat="1" ht="12" customHeight="1">
      <c r="A21" s="174">
        <v>19</v>
      </c>
      <c r="B21" s="174" t="s">
        <v>219</v>
      </c>
      <c r="C21" s="174" t="s">
        <v>538</v>
      </c>
      <c r="D21" s="174" t="s">
        <v>656</v>
      </c>
      <c r="E21" s="174" t="s">
        <v>248</v>
      </c>
      <c r="F21" s="174" t="e">
        <f>VLOOKUP(E21,'95 Chỉ tiêu'!$B$4:$F$177,2,0)</f>
        <v>#N/A</v>
      </c>
      <c r="G21" s="174" t="s">
        <v>111</v>
      </c>
      <c r="H21" s="174" t="s">
        <v>249</v>
      </c>
      <c r="I21" s="174" t="s">
        <v>676</v>
      </c>
      <c r="J21" s="174" t="s">
        <v>677</v>
      </c>
      <c r="K21" s="174" t="s">
        <v>678</v>
      </c>
      <c r="L21" s="174" t="s">
        <v>543</v>
      </c>
      <c r="M21" s="174" t="s">
        <v>679</v>
      </c>
      <c r="N21" s="174" t="s">
        <v>680</v>
      </c>
      <c r="O21" s="176" t="s">
        <v>662</v>
      </c>
      <c r="P21" s="174" t="s">
        <v>578</v>
      </c>
      <c r="Q21" s="174" t="s">
        <v>681</v>
      </c>
      <c r="R21" s="174" t="s">
        <v>66</v>
      </c>
      <c r="S21" s="174"/>
      <c r="T21" s="174"/>
      <c r="U21" s="174"/>
      <c r="V21" s="174"/>
      <c r="W21" s="174"/>
      <c r="X21" s="174"/>
      <c r="Y21" s="174"/>
      <c r="Z21" s="174"/>
      <c r="AA21" s="174"/>
      <c r="AB21" s="174"/>
      <c r="AC21" s="174">
        <v>1</v>
      </c>
      <c r="AD21" s="174"/>
      <c r="AE21" s="174"/>
      <c r="AF21" s="174" t="s">
        <v>580</v>
      </c>
      <c r="AG21" s="174"/>
      <c r="AH21" s="174"/>
      <c r="AI21" s="174"/>
      <c r="AJ21" s="174" t="s">
        <v>250</v>
      </c>
      <c r="AK21" s="174" t="s">
        <v>249</v>
      </c>
      <c r="AL21" s="174"/>
      <c r="AM21" s="181" t="s">
        <v>682</v>
      </c>
      <c r="AN21" s="192"/>
    </row>
    <row r="22" spans="1:40" s="175" customFormat="1" ht="12" customHeight="1">
      <c r="A22" s="174">
        <v>20</v>
      </c>
      <c r="B22" s="174" t="s">
        <v>219</v>
      </c>
      <c r="C22" s="174" t="s">
        <v>538</v>
      </c>
      <c r="D22" s="174" t="s">
        <v>656</v>
      </c>
      <c r="E22" s="174" t="s">
        <v>248</v>
      </c>
      <c r="F22" s="174" t="e">
        <f>VLOOKUP(E22,'95 Chỉ tiêu'!$B$4:$F$177,2,0)</f>
        <v>#N/A</v>
      </c>
      <c r="G22" s="174" t="s">
        <v>111</v>
      </c>
      <c r="H22" s="174" t="s">
        <v>249</v>
      </c>
      <c r="I22" s="174" t="s">
        <v>683</v>
      </c>
      <c r="J22" s="174" t="s">
        <v>684</v>
      </c>
      <c r="K22" s="174" t="s">
        <v>685</v>
      </c>
      <c r="L22" s="174" t="s">
        <v>543</v>
      </c>
      <c r="M22" s="174" t="s">
        <v>686</v>
      </c>
      <c r="N22" s="174" t="s">
        <v>687</v>
      </c>
      <c r="O22" s="174" t="s">
        <v>662</v>
      </c>
      <c r="P22" s="174" t="s">
        <v>578</v>
      </c>
      <c r="Q22" s="174" t="s">
        <v>645</v>
      </c>
      <c r="R22" s="174" t="s">
        <v>66</v>
      </c>
      <c r="S22" s="174"/>
      <c r="T22" s="174"/>
      <c r="U22" s="174"/>
      <c r="V22" s="174"/>
      <c r="W22" s="174"/>
      <c r="X22" s="174"/>
      <c r="Y22" s="174"/>
      <c r="Z22" s="174"/>
      <c r="AA22" s="174"/>
      <c r="AB22" s="174"/>
      <c r="AC22" s="174">
        <v>1</v>
      </c>
      <c r="AD22" s="174"/>
      <c r="AE22" s="174"/>
      <c r="AF22" s="174" t="s">
        <v>580</v>
      </c>
      <c r="AG22" s="174"/>
      <c r="AH22" s="174"/>
      <c r="AI22" s="174"/>
      <c r="AJ22" s="174" t="s">
        <v>250</v>
      </c>
      <c r="AK22" s="174" t="s">
        <v>249</v>
      </c>
      <c r="AL22" s="174"/>
      <c r="AM22" s="181" t="s">
        <v>682</v>
      </c>
      <c r="AN22" s="192"/>
    </row>
    <row r="23" spans="1:40" s="175" customFormat="1" ht="12" customHeight="1">
      <c r="A23" s="174">
        <v>21</v>
      </c>
      <c r="B23" s="174" t="s">
        <v>219</v>
      </c>
      <c r="C23" s="174" t="s">
        <v>538</v>
      </c>
      <c r="D23" s="174" t="s">
        <v>656</v>
      </c>
      <c r="E23" s="174" t="s">
        <v>259</v>
      </c>
      <c r="F23" s="174" t="e">
        <f>VLOOKUP(E23,'95 Chỉ tiêu'!$B$4:$F$177,2,0)</f>
        <v>#N/A</v>
      </c>
      <c r="G23" s="174" t="s">
        <v>111</v>
      </c>
      <c r="H23" s="174" t="s">
        <v>260</v>
      </c>
      <c r="I23" s="174" t="s">
        <v>688</v>
      </c>
      <c r="J23" s="174" t="s">
        <v>689</v>
      </c>
      <c r="K23" s="174" t="s">
        <v>690</v>
      </c>
      <c r="L23" s="174" t="s">
        <v>543</v>
      </c>
      <c r="M23" s="174" t="s">
        <v>691</v>
      </c>
      <c r="N23" s="174" t="s">
        <v>692</v>
      </c>
      <c r="O23" s="174" t="s">
        <v>693</v>
      </c>
      <c r="P23" s="174" t="s">
        <v>694</v>
      </c>
      <c r="Q23" s="174" t="s">
        <v>607</v>
      </c>
      <c r="R23" s="174" t="s">
        <v>66</v>
      </c>
      <c r="S23" s="174" t="s">
        <v>60</v>
      </c>
      <c r="T23" s="174" t="s">
        <v>60</v>
      </c>
      <c r="U23" s="174" t="s">
        <v>60</v>
      </c>
      <c r="V23" s="174" t="s">
        <v>60</v>
      </c>
      <c r="W23" s="174" t="s">
        <v>60</v>
      </c>
      <c r="X23" s="174" t="s">
        <v>60</v>
      </c>
      <c r="Y23" s="174" t="s">
        <v>60</v>
      </c>
      <c r="Z23" s="174" t="s">
        <v>60</v>
      </c>
      <c r="AA23" s="174" t="s">
        <v>60</v>
      </c>
      <c r="AB23" s="174" t="s">
        <v>549</v>
      </c>
      <c r="AC23" s="174">
        <v>1</v>
      </c>
      <c r="AD23" s="174"/>
      <c r="AE23" s="174"/>
      <c r="AF23" s="174" t="s">
        <v>580</v>
      </c>
      <c r="AG23" s="174"/>
      <c r="AH23" s="174"/>
      <c r="AI23" s="174"/>
      <c r="AJ23" s="174" t="s">
        <v>695</v>
      </c>
      <c r="AK23" s="174" t="s">
        <v>260</v>
      </c>
      <c r="AL23" s="174"/>
      <c r="AM23" s="181" t="s">
        <v>554</v>
      </c>
      <c r="AN23" s="192"/>
    </row>
    <row r="24" spans="1:40" s="175" customFormat="1" ht="12" customHeight="1">
      <c r="A24" s="174">
        <v>22</v>
      </c>
      <c r="B24" s="174" t="s">
        <v>219</v>
      </c>
      <c r="C24" s="174" t="s">
        <v>538</v>
      </c>
      <c r="D24" s="174" t="s">
        <v>656</v>
      </c>
      <c r="E24" s="174" t="s">
        <v>259</v>
      </c>
      <c r="F24" s="174" t="e">
        <f>VLOOKUP(E24,'95 Chỉ tiêu'!$B$4:$F$177,2,0)</f>
        <v>#N/A</v>
      </c>
      <c r="G24" s="174" t="s">
        <v>111</v>
      </c>
      <c r="H24" s="174" t="s">
        <v>260</v>
      </c>
      <c r="I24" s="174" t="s">
        <v>696</v>
      </c>
      <c r="J24" s="174" t="s">
        <v>658</v>
      </c>
      <c r="K24" s="174" t="s">
        <v>659</v>
      </c>
      <c r="L24" s="174" t="s">
        <v>543</v>
      </c>
      <c r="M24" s="174" t="s">
        <v>660</v>
      </c>
      <c r="N24" s="174" t="s">
        <v>661</v>
      </c>
      <c r="O24" s="174" t="s">
        <v>662</v>
      </c>
      <c r="P24" s="174" t="s">
        <v>663</v>
      </c>
      <c r="Q24" s="174" t="s">
        <v>607</v>
      </c>
      <c r="R24" s="174" t="s">
        <v>66</v>
      </c>
      <c r="S24" s="174" t="s">
        <v>60</v>
      </c>
      <c r="T24" s="174" t="s">
        <v>60</v>
      </c>
      <c r="U24" s="174" t="s">
        <v>60</v>
      </c>
      <c r="V24" s="174" t="s">
        <v>60</v>
      </c>
      <c r="W24" s="174" t="s">
        <v>60</v>
      </c>
      <c r="X24" s="174" t="s">
        <v>60</v>
      </c>
      <c r="Y24" s="174" t="s">
        <v>60</v>
      </c>
      <c r="Z24" s="174" t="s">
        <v>60</v>
      </c>
      <c r="AA24" s="174" t="s">
        <v>60</v>
      </c>
      <c r="AB24" s="174" t="s">
        <v>549</v>
      </c>
      <c r="AC24" s="174">
        <v>1</v>
      </c>
      <c r="AD24" s="174"/>
      <c r="AE24" s="174"/>
      <c r="AF24" s="174" t="s">
        <v>580</v>
      </c>
      <c r="AG24" s="174"/>
      <c r="AH24" s="174"/>
      <c r="AI24" s="174"/>
      <c r="AJ24" s="174" t="s">
        <v>695</v>
      </c>
      <c r="AK24" s="174" t="s">
        <v>260</v>
      </c>
      <c r="AL24" s="174"/>
      <c r="AM24" s="181" t="s">
        <v>554</v>
      </c>
      <c r="AN24" s="192"/>
    </row>
    <row r="25" spans="1:40" s="175" customFormat="1" ht="12" customHeight="1">
      <c r="A25" s="174">
        <v>23</v>
      </c>
      <c r="B25" s="174" t="s">
        <v>219</v>
      </c>
      <c r="C25" s="174" t="s">
        <v>538</v>
      </c>
      <c r="D25" s="174" t="s">
        <v>656</v>
      </c>
      <c r="E25" s="174" t="s">
        <v>259</v>
      </c>
      <c r="F25" s="174" t="e">
        <f>VLOOKUP(E25,'95 Chỉ tiêu'!$B$4:$F$177,2,0)</f>
        <v>#N/A</v>
      </c>
      <c r="G25" s="174" t="s">
        <v>111</v>
      </c>
      <c r="H25" s="174" t="s">
        <v>260</v>
      </c>
      <c r="I25" s="174" t="s">
        <v>697</v>
      </c>
      <c r="J25" s="174" t="s">
        <v>698</v>
      </c>
      <c r="K25" s="174" t="s">
        <v>699</v>
      </c>
      <c r="L25" s="174" t="s">
        <v>543</v>
      </c>
      <c r="M25" s="174" t="s">
        <v>700</v>
      </c>
      <c r="N25" s="174" t="s">
        <v>701</v>
      </c>
      <c r="O25" s="174" t="s">
        <v>702</v>
      </c>
      <c r="P25" s="174" t="s">
        <v>703</v>
      </c>
      <c r="Q25" s="174" t="s">
        <v>607</v>
      </c>
      <c r="R25" s="174" t="s">
        <v>66</v>
      </c>
      <c r="S25" s="174" t="s">
        <v>60</v>
      </c>
      <c r="T25" s="174" t="s">
        <v>60</v>
      </c>
      <c r="U25" s="174" t="s">
        <v>60</v>
      </c>
      <c r="V25" s="174" t="s">
        <v>60</v>
      </c>
      <c r="W25" s="174" t="s">
        <v>60</v>
      </c>
      <c r="X25" s="174" t="s">
        <v>60</v>
      </c>
      <c r="Y25" s="174" t="s">
        <v>60</v>
      </c>
      <c r="Z25" s="174" t="s">
        <v>60</v>
      </c>
      <c r="AA25" s="174" t="s">
        <v>60</v>
      </c>
      <c r="AB25" s="174" t="s">
        <v>60</v>
      </c>
      <c r="AC25" s="174">
        <v>1</v>
      </c>
      <c r="AD25" s="174"/>
      <c r="AE25" s="174"/>
      <c r="AF25" s="174" t="s">
        <v>580</v>
      </c>
      <c r="AG25" s="174"/>
      <c r="AH25" s="174"/>
      <c r="AI25" s="174"/>
      <c r="AJ25" s="174" t="s">
        <v>695</v>
      </c>
      <c r="AK25" s="174" t="s">
        <v>260</v>
      </c>
      <c r="AL25" s="174"/>
      <c r="AM25" s="181" t="s">
        <v>554</v>
      </c>
      <c r="AN25" s="192"/>
    </row>
    <row r="26" spans="1:40" s="175" customFormat="1" ht="12" customHeight="1">
      <c r="A26" s="174">
        <v>24</v>
      </c>
      <c r="B26" s="174" t="s">
        <v>219</v>
      </c>
      <c r="C26" s="174" t="s">
        <v>538</v>
      </c>
      <c r="D26" s="174" t="s">
        <v>656</v>
      </c>
      <c r="E26" s="174" t="s">
        <v>259</v>
      </c>
      <c r="F26" s="174" t="e">
        <f>VLOOKUP(E26,'95 Chỉ tiêu'!$B$4:$F$177,2,0)</f>
        <v>#N/A</v>
      </c>
      <c r="G26" s="174" t="s">
        <v>111</v>
      </c>
      <c r="H26" s="174" t="s">
        <v>260</v>
      </c>
      <c r="I26" s="174" t="s">
        <v>704</v>
      </c>
      <c r="J26" s="174" t="s">
        <v>705</v>
      </c>
      <c r="K26" s="174" t="s">
        <v>706</v>
      </c>
      <c r="L26" s="174" t="s">
        <v>543</v>
      </c>
      <c r="M26" s="174" t="s">
        <v>707</v>
      </c>
      <c r="N26" s="174" t="s">
        <v>708</v>
      </c>
      <c r="O26" s="174" t="s">
        <v>693</v>
      </c>
      <c r="P26" s="174" t="s">
        <v>578</v>
      </c>
      <c r="Q26" s="174" t="s">
        <v>681</v>
      </c>
      <c r="R26" s="174" t="s">
        <v>66</v>
      </c>
      <c r="S26" s="174" t="s">
        <v>60</v>
      </c>
      <c r="T26" s="174" t="s">
        <v>60</v>
      </c>
      <c r="U26" s="174" t="s">
        <v>60</v>
      </c>
      <c r="V26" s="174" t="s">
        <v>60</v>
      </c>
      <c r="W26" s="174" t="s">
        <v>60</v>
      </c>
      <c r="X26" s="174" t="s">
        <v>60</v>
      </c>
      <c r="Y26" s="174" t="s">
        <v>60</v>
      </c>
      <c r="Z26" s="174" t="s">
        <v>60</v>
      </c>
      <c r="AA26" s="174" t="s">
        <v>60</v>
      </c>
      <c r="AB26" s="174" t="s">
        <v>549</v>
      </c>
      <c r="AC26" s="174">
        <v>1</v>
      </c>
      <c r="AD26" s="174"/>
      <c r="AE26" s="174"/>
      <c r="AF26" s="174" t="s">
        <v>580</v>
      </c>
      <c r="AG26" s="174"/>
      <c r="AH26" s="174"/>
      <c r="AI26" s="174"/>
      <c r="AJ26" s="174" t="s">
        <v>695</v>
      </c>
      <c r="AK26" s="174" t="s">
        <v>260</v>
      </c>
      <c r="AL26" s="174"/>
      <c r="AM26" s="181" t="s">
        <v>709</v>
      </c>
      <c r="AN26" s="192"/>
    </row>
    <row r="27" spans="1:40" s="175" customFormat="1" ht="12" customHeight="1">
      <c r="A27" s="174">
        <v>25</v>
      </c>
      <c r="B27" s="174" t="s">
        <v>219</v>
      </c>
      <c r="C27" s="174" t="s">
        <v>538</v>
      </c>
      <c r="D27" s="174" t="s">
        <v>656</v>
      </c>
      <c r="E27" s="174" t="s">
        <v>259</v>
      </c>
      <c r="F27" s="174" t="e">
        <f>VLOOKUP(E27,'95 Chỉ tiêu'!$B$4:$F$177,2,0)</f>
        <v>#N/A</v>
      </c>
      <c r="G27" s="174" t="s">
        <v>111</v>
      </c>
      <c r="H27" s="174" t="s">
        <v>260</v>
      </c>
      <c r="I27" s="174" t="s">
        <v>710</v>
      </c>
      <c r="J27" s="174" t="s">
        <v>711</v>
      </c>
      <c r="K27" s="174" t="s">
        <v>712</v>
      </c>
      <c r="L27" s="174" t="s">
        <v>543</v>
      </c>
      <c r="M27" s="174" t="s">
        <v>713</v>
      </c>
      <c r="N27" s="174" t="s">
        <v>714</v>
      </c>
      <c r="O27" s="174" t="s">
        <v>693</v>
      </c>
      <c r="P27" s="174" t="s">
        <v>578</v>
      </c>
      <c r="Q27" s="174" t="s">
        <v>645</v>
      </c>
      <c r="R27" s="174" t="s">
        <v>66</v>
      </c>
      <c r="S27" s="174" t="s">
        <v>60</v>
      </c>
      <c r="T27" s="174" t="s">
        <v>60</v>
      </c>
      <c r="U27" s="174" t="s">
        <v>60</v>
      </c>
      <c r="V27" s="174" t="s">
        <v>60</v>
      </c>
      <c r="W27" s="174" t="s">
        <v>60</v>
      </c>
      <c r="X27" s="174" t="s">
        <v>60</v>
      </c>
      <c r="Y27" s="174" t="s">
        <v>60</v>
      </c>
      <c r="Z27" s="174" t="s">
        <v>549</v>
      </c>
      <c r="AA27" s="174" t="s">
        <v>60</v>
      </c>
      <c r="AB27" s="174" t="s">
        <v>60</v>
      </c>
      <c r="AC27" s="174">
        <v>1</v>
      </c>
      <c r="AD27" s="174"/>
      <c r="AE27" s="174"/>
      <c r="AF27" s="174" t="s">
        <v>580</v>
      </c>
      <c r="AG27" s="174"/>
      <c r="AH27" s="174"/>
      <c r="AI27" s="174"/>
      <c r="AJ27" s="174" t="s">
        <v>695</v>
      </c>
      <c r="AK27" s="174" t="s">
        <v>260</v>
      </c>
      <c r="AL27" s="174"/>
      <c r="AM27" s="181" t="s">
        <v>709</v>
      </c>
      <c r="AN27" s="192"/>
    </row>
    <row r="28" spans="1:40" s="175" customFormat="1" ht="12" customHeight="1">
      <c r="A28" s="174">
        <v>26</v>
      </c>
      <c r="B28" s="174" t="s">
        <v>219</v>
      </c>
      <c r="C28" s="174" t="s">
        <v>538</v>
      </c>
      <c r="D28" s="174" t="s">
        <v>656</v>
      </c>
      <c r="E28" s="174" t="s">
        <v>265</v>
      </c>
      <c r="F28" s="174" t="e">
        <f>VLOOKUP(E28,'95 Chỉ tiêu'!$B$4:$F$177,2,0)</f>
        <v>#N/A</v>
      </c>
      <c r="G28" s="174" t="s">
        <v>111</v>
      </c>
      <c r="H28" s="174" t="s">
        <v>266</v>
      </c>
      <c r="I28" s="174" t="s">
        <v>715</v>
      </c>
      <c r="J28" s="174" t="s">
        <v>716</v>
      </c>
      <c r="K28" s="174" t="s">
        <v>717</v>
      </c>
      <c r="L28" s="174" t="s">
        <v>543</v>
      </c>
      <c r="M28" s="176" t="s">
        <v>718</v>
      </c>
      <c r="N28" s="176" t="s">
        <v>719</v>
      </c>
      <c r="O28" s="176" t="s">
        <v>662</v>
      </c>
      <c r="P28" s="176" t="s">
        <v>720</v>
      </c>
      <c r="Q28" s="174" t="s">
        <v>645</v>
      </c>
      <c r="R28" s="174" t="s">
        <v>66</v>
      </c>
      <c r="S28" s="174" t="s">
        <v>60</v>
      </c>
      <c r="T28" s="174" t="s">
        <v>60</v>
      </c>
      <c r="U28" s="174" t="s">
        <v>60</v>
      </c>
      <c r="V28" s="174" t="s">
        <v>60</v>
      </c>
      <c r="W28" s="174" t="s">
        <v>60</v>
      </c>
      <c r="X28" s="174" t="s">
        <v>60</v>
      </c>
      <c r="Y28" s="174" t="s">
        <v>60</v>
      </c>
      <c r="Z28" s="174" t="s">
        <v>60</v>
      </c>
      <c r="AA28" s="174" t="s">
        <v>60</v>
      </c>
      <c r="AB28" s="174" t="s">
        <v>60</v>
      </c>
      <c r="AC28" s="174">
        <v>1</v>
      </c>
      <c r="AD28" s="174"/>
      <c r="AE28" s="174"/>
      <c r="AF28" s="174" t="s">
        <v>580</v>
      </c>
      <c r="AG28" s="174"/>
      <c r="AH28" s="174"/>
      <c r="AI28" s="174"/>
      <c r="AJ28" s="174" t="s">
        <v>721</v>
      </c>
      <c r="AK28" s="174" t="s">
        <v>266</v>
      </c>
      <c r="AL28" s="174"/>
      <c r="AM28" s="181" t="s">
        <v>554</v>
      </c>
      <c r="AN28" s="192"/>
    </row>
    <row r="29" spans="1:40" s="175" customFormat="1" ht="12" customHeight="1">
      <c r="A29" s="174">
        <v>27</v>
      </c>
      <c r="B29" s="174" t="s">
        <v>219</v>
      </c>
      <c r="C29" s="174" t="s">
        <v>538</v>
      </c>
      <c r="D29" s="174" t="s">
        <v>656</v>
      </c>
      <c r="E29" s="174" t="s">
        <v>265</v>
      </c>
      <c r="F29" s="174" t="e">
        <f>VLOOKUP(E29,'95 Chỉ tiêu'!$B$4:$F$177,2,0)</f>
        <v>#N/A</v>
      </c>
      <c r="G29" s="174" t="s">
        <v>111</v>
      </c>
      <c r="H29" s="174" t="s">
        <v>266</v>
      </c>
      <c r="I29" s="174" t="s">
        <v>722</v>
      </c>
      <c r="J29" s="174" t="s">
        <v>620</v>
      </c>
      <c r="K29" s="174" t="s">
        <v>723</v>
      </c>
      <c r="L29" s="174" t="s">
        <v>543</v>
      </c>
      <c r="M29" s="176" t="s">
        <v>724</v>
      </c>
      <c r="N29" s="176" t="s">
        <v>629</v>
      </c>
      <c r="O29" s="176" t="s">
        <v>662</v>
      </c>
      <c r="P29" s="176" t="s">
        <v>720</v>
      </c>
      <c r="Q29" s="174" t="s">
        <v>645</v>
      </c>
      <c r="R29" s="174" t="s">
        <v>66</v>
      </c>
      <c r="S29" s="174" t="s">
        <v>60</v>
      </c>
      <c r="T29" s="174" t="s">
        <v>60</v>
      </c>
      <c r="U29" s="174" t="s">
        <v>60</v>
      </c>
      <c r="V29" s="174" t="s">
        <v>60</v>
      </c>
      <c r="W29" s="174" t="s">
        <v>60</v>
      </c>
      <c r="X29" s="174" t="s">
        <v>60</v>
      </c>
      <c r="Y29" s="174" t="s">
        <v>60</v>
      </c>
      <c r="Z29" s="174" t="s">
        <v>60</v>
      </c>
      <c r="AA29" s="174" t="s">
        <v>60</v>
      </c>
      <c r="AB29" s="174" t="s">
        <v>60</v>
      </c>
      <c r="AC29" s="174">
        <v>1</v>
      </c>
      <c r="AD29" s="174"/>
      <c r="AE29" s="174"/>
      <c r="AF29" s="174" t="s">
        <v>580</v>
      </c>
      <c r="AG29" s="174"/>
      <c r="AH29" s="174"/>
      <c r="AI29" s="174"/>
      <c r="AJ29" s="174" t="s">
        <v>721</v>
      </c>
      <c r="AK29" s="174" t="s">
        <v>266</v>
      </c>
      <c r="AL29" s="174"/>
      <c r="AM29" s="181" t="s">
        <v>554</v>
      </c>
      <c r="AN29" s="192"/>
    </row>
    <row r="30" spans="1:40" s="175" customFormat="1" ht="12" customHeight="1">
      <c r="A30" s="174">
        <v>28</v>
      </c>
      <c r="B30" s="174" t="s">
        <v>219</v>
      </c>
      <c r="C30" s="174" t="s">
        <v>538</v>
      </c>
      <c r="D30" s="174" t="s">
        <v>656</v>
      </c>
      <c r="E30" s="174" t="s">
        <v>265</v>
      </c>
      <c r="F30" s="174" t="e">
        <f>VLOOKUP(E30,'95 Chỉ tiêu'!$B$4:$F$177,2,0)</f>
        <v>#N/A</v>
      </c>
      <c r="G30" s="174" t="s">
        <v>111</v>
      </c>
      <c r="H30" s="174" t="s">
        <v>266</v>
      </c>
      <c r="I30" s="174" t="s">
        <v>725</v>
      </c>
      <c r="J30" s="174" t="s">
        <v>726</v>
      </c>
      <c r="K30" s="174" t="s">
        <v>727</v>
      </c>
      <c r="L30" s="174" t="s">
        <v>543</v>
      </c>
      <c r="M30" s="176" t="s">
        <v>728</v>
      </c>
      <c r="N30" s="176" t="s">
        <v>729</v>
      </c>
      <c r="O30" s="176" t="s">
        <v>662</v>
      </c>
      <c r="P30" s="176" t="s">
        <v>720</v>
      </c>
      <c r="Q30" s="174" t="s">
        <v>645</v>
      </c>
      <c r="R30" s="174" t="s">
        <v>66</v>
      </c>
      <c r="S30" s="174" t="s">
        <v>60</v>
      </c>
      <c r="T30" s="174" t="s">
        <v>60</v>
      </c>
      <c r="U30" s="174" t="s">
        <v>60</v>
      </c>
      <c r="V30" s="174" t="s">
        <v>60</v>
      </c>
      <c r="W30" s="174" t="s">
        <v>60</v>
      </c>
      <c r="X30" s="174" t="s">
        <v>60</v>
      </c>
      <c r="Y30" s="174" t="s">
        <v>60</v>
      </c>
      <c r="Z30" s="174" t="s">
        <v>60</v>
      </c>
      <c r="AA30" s="174" t="s">
        <v>60</v>
      </c>
      <c r="AB30" s="174" t="s">
        <v>60</v>
      </c>
      <c r="AC30" s="174">
        <v>1</v>
      </c>
      <c r="AD30" s="174"/>
      <c r="AE30" s="174"/>
      <c r="AF30" s="174" t="s">
        <v>580</v>
      </c>
      <c r="AG30" s="174"/>
      <c r="AH30" s="174"/>
      <c r="AI30" s="174"/>
      <c r="AJ30" s="174" t="s">
        <v>721</v>
      </c>
      <c r="AK30" s="174" t="s">
        <v>266</v>
      </c>
      <c r="AL30" s="174"/>
      <c r="AM30" s="181" t="s">
        <v>554</v>
      </c>
      <c r="AN30" s="192"/>
    </row>
    <row r="31" spans="1:40" s="175" customFormat="1" ht="12" customHeight="1">
      <c r="A31" s="174">
        <v>29</v>
      </c>
      <c r="B31" s="174" t="s">
        <v>219</v>
      </c>
      <c r="C31" s="174" t="s">
        <v>538</v>
      </c>
      <c r="D31" s="174" t="s">
        <v>656</v>
      </c>
      <c r="E31" s="174" t="s">
        <v>265</v>
      </c>
      <c r="F31" s="174" t="e">
        <f>VLOOKUP(E31,'95 Chỉ tiêu'!$B$4:$F$177,2,0)</f>
        <v>#N/A</v>
      </c>
      <c r="G31" s="174" t="s">
        <v>111</v>
      </c>
      <c r="H31" s="174" t="s">
        <v>266</v>
      </c>
      <c r="I31" s="174" t="s">
        <v>730</v>
      </c>
      <c r="J31" s="174" t="s">
        <v>731</v>
      </c>
      <c r="K31" s="174" t="s">
        <v>732</v>
      </c>
      <c r="L31" s="174" t="s">
        <v>543</v>
      </c>
      <c r="M31" s="176" t="s">
        <v>733</v>
      </c>
      <c r="N31" s="176" t="s">
        <v>734</v>
      </c>
      <c r="O31" s="176" t="s">
        <v>662</v>
      </c>
      <c r="P31" s="176" t="s">
        <v>720</v>
      </c>
      <c r="Q31" s="174" t="s">
        <v>645</v>
      </c>
      <c r="R31" s="174" t="s">
        <v>66</v>
      </c>
      <c r="S31" s="174" t="s">
        <v>60</v>
      </c>
      <c r="T31" s="174" t="s">
        <v>60</v>
      </c>
      <c r="U31" s="174" t="s">
        <v>60</v>
      </c>
      <c r="V31" s="174" t="s">
        <v>60</v>
      </c>
      <c r="W31" s="174" t="s">
        <v>60</v>
      </c>
      <c r="X31" s="174" t="s">
        <v>60</v>
      </c>
      <c r="Y31" s="174" t="s">
        <v>60</v>
      </c>
      <c r="Z31" s="174" t="s">
        <v>60</v>
      </c>
      <c r="AA31" s="174" t="s">
        <v>60</v>
      </c>
      <c r="AB31" s="174" t="s">
        <v>60</v>
      </c>
      <c r="AC31" s="174">
        <v>1</v>
      </c>
      <c r="AD31" s="174"/>
      <c r="AE31" s="174"/>
      <c r="AF31" s="174" t="s">
        <v>580</v>
      </c>
      <c r="AG31" s="174"/>
      <c r="AH31" s="174"/>
      <c r="AI31" s="174"/>
      <c r="AJ31" s="174" t="s">
        <v>721</v>
      </c>
      <c r="AK31" s="174" t="s">
        <v>266</v>
      </c>
      <c r="AL31" s="174"/>
      <c r="AM31" s="181" t="s">
        <v>554</v>
      </c>
      <c r="AN31" s="192"/>
    </row>
    <row r="32" spans="1:40" s="175" customFormat="1" ht="12" customHeight="1">
      <c r="A32" s="174">
        <v>30</v>
      </c>
      <c r="B32" s="174" t="s">
        <v>219</v>
      </c>
      <c r="C32" s="174" t="s">
        <v>538</v>
      </c>
      <c r="D32" s="174" t="s">
        <v>656</v>
      </c>
      <c r="E32" s="174" t="s">
        <v>265</v>
      </c>
      <c r="F32" s="174" t="e">
        <f>VLOOKUP(E32,'95 Chỉ tiêu'!$B$4:$F$177,2,0)</f>
        <v>#N/A</v>
      </c>
      <c r="G32" s="174" t="s">
        <v>111</v>
      </c>
      <c r="H32" s="174" t="s">
        <v>266</v>
      </c>
      <c r="I32" s="174" t="s">
        <v>735</v>
      </c>
      <c r="J32" s="174" t="s">
        <v>736</v>
      </c>
      <c r="K32" s="174" t="s">
        <v>737</v>
      </c>
      <c r="L32" s="174" t="s">
        <v>543</v>
      </c>
      <c r="M32" s="176" t="s">
        <v>738</v>
      </c>
      <c r="N32" s="176" t="s">
        <v>739</v>
      </c>
      <c r="O32" s="176" t="s">
        <v>662</v>
      </c>
      <c r="P32" s="176" t="s">
        <v>720</v>
      </c>
      <c r="Q32" s="174" t="s">
        <v>645</v>
      </c>
      <c r="R32" s="174" t="s">
        <v>66</v>
      </c>
      <c r="S32" s="174" t="s">
        <v>60</v>
      </c>
      <c r="T32" s="174" t="s">
        <v>60</v>
      </c>
      <c r="U32" s="174" t="s">
        <v>60</v>
      </c>
      <c r="V32" s="174" t="s">
        <v>60</v>
      </c>
      <c r="W32" s="174" t="s">
        <v>60</v>
      </c>
      <c r="X32" s="174" t="s">
        <v>60</v>
      </c>
      <c r="Y32" s="174" t="s">
        <v>60</v>
      </c>
      <c r="Z32" s="174" t="s">
        <v>60</v>
      </c>
      <c r="AA32" s="174" t="s">
        <v>60</v>
      </c>
      <c r="AB32" s="174" t="s">
        <v>60</v>
      </c>
      <c r="AC32" s="174">
        <v>1</v>
      </c>
      <c r="AD32" s="174"/>
      <c r="AE32" s="174"/>
      <c r="AF32" s="174" t="s">
        <v>580</v>
      </c>
      <c r="AG32" s="174"/>
      <c r="AH32" s="174"/>
      <c r="AI32" s="174"/>
      <c r="AJ32" s="174" t="s">
        <v>721</v>
      </c>
      <c r="AK32" s="174" t="s">
        <v>266</v>
      </c>
      <c r="AL32" s="174"/>
      <c r="AM32" s="181" t="s">
        <v>554</v>
      </c>
      <c r="AN32" s="192"/>
    </row>
    <row r="33" spans="1:40" s="175" customFormat="1" ht="12" customHeight="1">
      <c r="A33" s="174">
        <v>31</v>
      </c>
      <c r="B33" s="174" t="s">
        <v>219</v>
      </c>
      <c r="C33" s="174" t="s">
        <v>538</v>
      </c>
      <c r="D33" s="174" t="s">
        <v>656</v>
      </c>
      <c r="E33" s="174" t="s">
        <v>265</v>
      </c>
      <c r="F33" s="174" t="e">
        <f>VLOOKUP(E33,'95 Chỉ tiêu'!$B$4:$F$177,2,0)</f>
        <v>#N/A</v>
      </c>
      <c r="G33" s="174" t="s">
        <v>111</v>
      </c>
      <c r="H33" s="174" t="s">
        <v>266</v>
      </c>
      <c r="I33" s="174" t="s">
        <v>740</v>
      </c>
      <c r="J33" s="174" t="s">
        <v>741</v>
      </c>
      <c r="K33" s="174" t="s">
        <v>742</v>
      </c>
      <c r="L33" s="174" t="s">
        <v>543</v>
      </c>
      <c r="M33" s="176" t="s">
        <v>743</v>
      </c>
      <c r="N33" s="176" t="s">
        <v>629</v>
      </c>
      <c r="O33" s="176" t="s">
        <v>662</v>
      </c>
      <c r="P33" s="176" t="s">
        <v>720</v>
      </c>
      <c r="Q33" s="174" t="s">
        <v>645</v>
      </c>
      <c r="R33" s="174" t="s">
        <v>66</v>
      </c>
      <c r="S33" s="174" t="s">
        <v>60</v>
      </c>
      <c r="T33" s="174" t="s">
        <v>60</v>
      </c>
      <c r="U33" s="174" t="s">
        <v>60</v>
      </c>
      <c r="V33" s="174" t="s">
        <v>60</v>
      </c>
      <c r="W33" s="174" t="s">
        <v>60</v>
      </c>
      <c r="X33" s="174" t="s">
        <v>60</v>
      </c>
      <c r="Y33" s="174" t="s">
        <v>60</v>
      </c>
      <c r="Z33" s="174" t="s">
        <v>60</v>
      </c>
      <c r="AA33" s="174" t="s">
        <v>60</v>
      </c>
      <c r="AB33" s="174" t="s">
        <v>60</v>
      </c>
      <c r="AC33" s="174">
        <v>1</v>
      </c>
      <c r="AD33" s="174"/>
      <c r="AE33" s="174"/>
      <c r="AF33" s="174" t="s">
        <v>580</v>
      </c>
      <c r="AG33" s="174"/>
      <c r="AH33" s="174"/>
      <c r="AI33" s="174"/>
      <c r="AJ33" s="174" t="s">
        <v>721</v>
      </c>
      <c r="AK33" s="174" t="s">
        <v>266</v>
      </c>
      <c r="AL33" s="174"/>
      <c r="AM33" s="181" t="s">
        <v>682</v>
      </c>
      <c r="AN33" s="192"/>
    </row>
    <row r="34" spans="1:40" s="175" customFormat="1" ht="12" customHeight="1">
      <c r="A34" s="174">
        <v>32</v>
      </c>
      <c r="B34" s="174" t="s">
        <v>219</v>
      </c>
      <c r="C34" s="174" t="s">
        <v>538</v>
      </c>
      <c r="D34" s="174" t="s">
        <v>656</v>
      </c>
      <c r="E34" s="174" t="s">
        <v>265</v>
      </c>
      <c r="F34" s="174" t="e">
        <f>VLOOKUP(E34,'95 Chỉ tiêu'!$B$4:$F$177,2,0)</f>
        <v>#N/A</v>
      </c>
      <c r="G34" s="174" t="s">
        <v>111</v>
      </c>
      <c r="H34" s="174" t="s">
        <v>266</v>
      </c>
      <c r="I34" s="174" t="s">
        <v>744</v>
      </c>
      <c r="J34" s="174" t="s">
        <v>745</v>
      </c>
      <c r="K34" s="174" t="s">
        <v>746</v>
      </c>
      <c r="L34" s="174" t="s">
        <v>543</v>
      </c>
      <c r="M34" s="176" t="s">
        <v>747</v>
      </c>
      <c r="N34" s="176" t="s">
        <v>629</v>
      </c>
      <c r="O34" s="176" t="s">
        <v>662</v>
      </c>
      <c r="P34" s="176" t="s">
        <v>720</v>
      </c>
      <c r="Q34" s="174" t="s">
        <v>645</v>
      </c>
      <c r="R34" s="174" t="s">
        <v>66</v>
      </c>
      <c r="S34" s="174" t="s">
        <v>60</v>
      </c>
      <c r="T34" s="174" t="s">
        <v>60</v>
      </c>
      <c r="U34" s="174" t="s">
        <v>60</v>
      </c>
      <c r="V34" s="174" t="s">
        <v>60</v>
      </c>
      <c r="W34" s="174" t="s">
        <v>60</v>
      </c>
      <c r="X34" s="174" t="s">
        <v>60</v>
      </c>
      <c r="Y34" s="174" t="s">
        <v>60</v>
      </c>
      <c r="Z34" s="174" t="s">
        <v>60</v>
      </c>
      <c r="AA34" s="174" t="s">
        <v>60</v>
      </c>
      <c r="AB34" s="174" t="s">
        <v>60</v>
      </c>
      <c r="AC34" s="174">
        <v>1</v>
      </c>
      <c r="AD34" s="174"/>
      <c r="AE34" s="174"/>
      <c r="AF34" s="174" t="s">
        <v>580</v>
      </c>
      <c r="AG34" s="174"/>
      <c r="AH34" s="174"/>
      <c r="AI34" s="174"/>
      <c r="AJ34" s="174" t="s">
        <v>721</v>
      </c>
      <c r="AK34" s="174" t="s">
        <v>266</v>
      </c>
      <c r="AL34" s="174"/>
      <c r="AM34" s="181" t="s">
        <v>682</v>
      </c>
      <c r="AN34" s="192"/>
    </row>
    <row r="35" spans="1:40" s="175" customFormat="1" ht="12" customHeight="1">
      <c r="A35" s="174">
        <v>33</v>
      </c>
      <c r="B35" s="174" t="s">
        <v>219</v>
      </c>
      <c r="C35" s="174" t="s">
        <v>538</v>
      </c>
      <c r="D35" s="174" t="s">
        <v>656</v>
      </c>
      <c r="E35" s="174" t="s">
        <v>273</v>
      </c>
      <c r="F35" s="174" t="e">
        <f>VLOOKUP(E35,'95 Chỉ tiêu'!$B$4:$F$177,2,0)</f>
        <v>#N/A</v>
      </c>
      <c r="G35" s="174" t="s">
        <v>111</v>
      </c>
      <c r="H35" s="174" t="s">
        <v>748</v>
      </c>
      <c r="I35" s="174"/>
      <c r="J35" s="174"/>
      <c r="K35" s="174" t="s">
        <v>749</v>
      </c>
      <c r="L35" s="174" t="s">
        <v>543</v>
      </c>
      <c r="M35" s="174"/>
      <c r="N35" s="174"/>
      <c r="O35" s="174"/>
      <c r="P35" s="174"/>
      <c r="Q35" s="174"/>
      <c r="R35" s="174"/>
      <c r="S35" s="174"/>
      <c r="T35" s="174"/>
      <c r="U35" s="174"/>
      <c r="V35" s="174"/>
      <c r="W35" s="174"/>
      <c r="X35" s="174"/>
      <c r="Y35" s="174"/>
      <c r="Z35" s="174"/>
      <c r="AA35" s="174"/>
      <c r="AB35" s="174"/>
      <c r="AC35" s="174"/>
      <c r="AD35" s="174"/>
      <c r="AE35" s="174" t="s">
        <v>750</v>
      </c>
      <c r="AF35" s="174"/>
      <c r="AG35" s="174"/>
      <c r="AH35" s="174"/>
      <c r="AI35" s="174"/>
      <c r="AJ35" s="174" t="s">
        <v>748</v>
      </c>
      <c r="AK35" s="174" t="s">
        <v>751</v>
      </c>
      <c r="AL35" s="174"/>
      <c r="AM35" s="181" t="s">
        <v>554</v>
      </c>
      <c r="AN35" s="192"/>
    </row>
    <row r="36" spans="1:40" s="175" customFormat="1" ht="12" customHeight="1">
      <c r="A36" s="174">
        <v>34</v>
      </c>
      <c r="B36" s="174" t="s">
        <v>219</v>
      </c>
      <c r="C36" s="174" t="s">
        <v>538</v>
      </c>
      <c r="D36" s="174" t="s">
        <v>656</v>
      </c>
      <c r="E36" s="174" t="s">
        <v>273</v>
      </c>
      <c r="F36" s="174" t="e">
        <f>VLOOKUP(E36,'95 Chỉ tiêu'!$B$4:$F$177,2,0)</f>
        <v>#N/A</v>
      </c>
      <c r="G36" s="174" t="s">
        <v>111</v>
      </c>
      <c r="H36" s="174" t="s">
        <v>748</v>
      </c>
      <c r="I36" s="174"/>
      <c r="J36" s="174"/>
      <c r="K36" s="174" t="s">
        <v>752</v>
      </c>
      <c r="L36" s="174" t="s">
        <v>543</v>
      </c>
      <c r="M36" s="174"/>
      <c r="N36" s="174"/>
      <c r="O36" s="174"/>
      <c r="P36" s="174"/>
      <c r="Q36" s="174"/>
      <c r="R36" s="174"/>
      <c r="S36" s="174"/>
      <c r="T36" s="174"/>
      <c r="U36" s="174"/>
      <c r="V36" s="174"/>
      <c r="W36" s="174"/>
      <c r="X36" s="174"/>
      <c r="Y36" s="174"/>
      <c r="Z36" s="174"/>
      <c r="AA36" s="174"/>
      <c r="AB36" s="174"/>
      <c r="AC36" s="174"/>
      <c r="AD36" s="174"/>
      <c r="AE36" s="174"/>
      <c r="AF36" s="174"/>
      <c r="AG36" s="174"/>
      <c r="AH36" s="174"/>
      <c r="AI36" s="174"/>
      <c r="AJ36" s="174" t="s">
        <v>748</v>
      </c>
      <c r="AK36" s="174" t="s">
        <v>751</v>
      </c>
      <c r="AL36" s="174"/>
      <c r="AM36" s="181" t="s">
        <v>554</v>
      </c>
      <c r="AN36" s="192"/>
    </row>
    <row r="37" spans="1:40" s="175" customFormat="1" ht="12" customHeight="1">
      <c r="A37" s="174">
        <v>35</v>
      </c>
      <c r="B37" s="174" t="s">
        <v>219</v>
      </c>
      <c r="C37" s="174" t="s">
        <v>538</v>
      </c>
      <c r="D37" s="174" t="s">
        <v>656</v>
      </c>
      <c r="E37" s="174" t="s">
        <v>273</v>
      </c>
      <c r="F37" s="174" t="e">
        <f>VLOOKUP(E37,'95 Chỉ tiêu'!$B$4:$F$177,2,0)</f>
        <v>#N/A</v>
      </c>
      <c r="G37" s="174" t="s">
        <v>111</v>
      </c>
      <c r="H37" s="174" t="s">
        <v>748</v>
      </c>
      <c r="I37" s="174"/>
      <c r="J37" s="174"/>
      <c r="K37" s="174" t="s">
        <v>753</v>
      </c>
      <c r="L37" s="174" t="s">
        <v>543</v>
      </c>
      <c r="M37" s="174"/>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t="s">
        <v>748</v>
      </c>
      <c r="AK37" s="174" t="s">
        <v>751</v>
      </c>
      <c r="AL37" s="174"/>
      <c r="AM37" s="181" t="s">
        <v>554</v>
      </c>
      <c r="AN37" s="192"/>
    </row>
    <row r="38" spans="1:40" s="175" customFormat="1" ht="12" customHeight="1">
      <c r="A38" s="174">
        <v>36</v>
      </c>
      <c r="B38" s="174" t="s">
        <v>219</v>
      </c>
      <c r="C38" s="174" t="s">
        <v>538</v>
      </c>
      <c r="D38" s="174" t="s">
        <v>656</v>
      </c>
      <c r="E38" s="174" t="s">
        <v>273</v>
      </c>
      <c r="F38" s="174" t="e">
        <f>VLOOKUP(E38,'95 Chỉ tiêu'!$B$4:$F$177,2,0)</f>
        <v>#N/A</v>
      </c>
      <c r="G38" s="174" t="s">
        <v>111</v>
      </c>
      <c r="H38" s="174" t="s">
        <v>748</v>
      </c>
      <c r="I38" s="174"/>
      <c r="J38" s="174"/>
      <c r="K38" s="174" t="s">
        <v>754</v>
      </c>
      <c r="L38" s="174" t="s">
        <v>543</v>
      </c>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t="s">
        <v>748</v>
      </c>
      <c r="AK38" s="174" t="s">
        <v>751</v>
      </c>
      <c r="AL38" s="174"/>
      <c r="AM38" s="181" t="s">
        <v>755</v>
      </c>
      <c r="AN38" s="192"/>
    </row>
    <row r="39" spans="1:40" s="175" customFormat="1" ht="12" customHeight="1">
      <c r="A39" s="174">
        <v>37</v>
      </c>
      <c r="B39" s="174" t="s">
        <v>219</v>
      </c>
      <c r="C39" s="174" t="s">
        <v>538</v>
      </c>
      <c r="D39" s="174" t="s">
        <v>656</v>
      </c>
      <c r="E39" s="174" t="s">
        <v>273</v>
      </c>
      <c r="F39" s="174" t="e">
        <f>VLOOKUP(E39,'95 Chỉ tiêu'!$B$4:$F$177,2,0)</f>
        <v>#N/A</v>
      </c>
      <c r="G39" s="174" t="s">
        <v>111</v>
      </c>
      <c r="H39" s="174" t="s">
        <v>748</v>
      </c>
      <c r="I39" s="174"/>
      <c r="J39" s="174"/>
      <c r="K39" s="174" t="s">
        <v>756</v>
      </c>
      <c r="L39" s="174" t="s">
        <v>543</v>
      </c>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t="s">
        <v>748</v>
      </c>
      <c r="AK39" s="174" t="s">
        <v>751</v>
      </c>
      <c r="AL39" s="174"/>
      <c r="AM39" s="181" t="s">
        <v>755</v>
      </c>
      <c r="AN39" s="192"/>
    </row>
    <row r="40" spans="1:40" s="175" customFormat="1" ht="12" customHeight="1">
      <c r="A40" s="174">
        <v>38</v>
      </c>
      <c r="B40" s="174" t="s">
        <v>219</v>
      </c>
      <c r="C40" s="174" t="s">
        <v>538</v>
      </c>
      <c r="D40" s="174" t="s">
        <v>656</v>
      </c>
      <c r="E40" s="174" t="s">
        <v>273</v>
      </c>
      <c r="F40" s="174" t="e">
        <f>VLOOKUP(E40,'95 Chỉ tiêu'!$B$4:$F$177,2,0)</f>
        <v>#N/A</v>
      </c>
      <c r="G40" s="174" t="s">
        <v>111</v>
      </c>
      <c r="H40" s="174" t="s">
        <v>748</v>
      </c>
      <c r="I40" s="174"/>
      <c r="J40" s="174"/>
      <c r="K40" s="174" t="s">
        <v>757</v>
      </c>
      <c r="L40" s="174" t="s">
        <v>543</v>
      </c>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174"/>
      <c r="AJ40" s="174" t="s">
        <v>748</v>
      </c>
      <c r="AK40" s="174" t="s">
        <v>751</v>
      </c>
      <c r="AL40" s="174"/>
      <c r="AM40" s="181" t="s">
        <v>682</v>
      </c>
      <c r="AN40" s="192"/>
    </row>
    <row r="41" spans="1:40" s="175" customFormat="1" ht="12" customHeight="1">
      <c r="A41" s="174">
        <v>39</v>
      </c>
      <c r="B41" s="174" t="s">
        <v>219</v>
      </c>
      <c r="C41" s="174" t="s">
        <v>538</v>
      </c>
      <c r="D41" s="174" t="s">
        <v>656</v>
      </c>
      <c r="E41" s="174" t="s">
        <v>273</v>
      </c>
      <c r="F41" s="174" t="e">
        <f>VLOOKUP(E41,'95 Chỉ tiêu'!$B$4:$F$177,2,0)</f>
        <v>#N/A</v>
      </c>
      <c r="G41" s="174" t="s">
        <v>111</v>
      </c>
      <c r="H41" s="174" t="s">
        <v>748</v>
      </c>
      <c r="I41" s="174"/>
      <c r="J41" s="174"/>
      <c r="K41" s="174" t="s">
        <v>758</v>
      </c>
      <c r="L41" s="174" t="s">
        <v>543</v>
      </c>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t="s">
        <v>748</v>
      </c>
      <c r="AK41" s="174" t="s">
        <v>751</v>
      </c>
      <c r="AL41" s="174"/>
      <c r="AM41" s="181" t="s">
        <v>682</v>
      </c>
      <c r="AN41" s="192"/>
    </row>
    <row r="42" spans="1:40" s="175" customFormat="1" ht="12" customHeight="1">
      <c r="A42" s="174">
        <v>40</v>
      </c>
      <c r="B42" s="174" t="s">
        <v>759</v>
      </c>
      <c r="C42" s="174" t="s">
        <v>405</v>
      </c>
      <c r="D42" s="174" t="s">
        <v>539</v>
      </c>
      <c r="E42" s="174" t="s">
        <v>399</v>
      </c>
      <c r="F42" s="174" t="e">
        <f>VLOOKUP(E42,'95 Chỉ tiêu'!$B$4:$F$177,2,0)</f>
        <v>#N/A</v>
      </c>
      <c r="G42" s="174" t="s">
        <v>111</v>
      </c>
      <c r="H42" s="174" t="s">
        <v>408</v>
      </c>
      <c r="I42" s="174" t="s">
        <v>760</v>
      </c>
      <c r="J42" s="174" t="s">
        <v>761</v>
      </c>
      <c r="K42" s="174" t="s">
        <v>762</v>
      </c>
      <c r="L42" s="174" t="s">
        <v>763</v>
      </c>
      <c r="M42" s="174" t="s">
        <v>764</v>
      </c>
      <c r="N42" s="174" t="s">
        <v>765</v>
      </c>
      <c r="O42" s="176" t="s">
        <v>766</v>
      </c>
      <c r="P42" s="176" t="s">
        <v>767</v>
      </c>
      <c r="Q42" s="174" t="s">
        <v>548</v>
      </c>
      <c r="R42" s="174" t="s">
        <v>66</v>
      </c>
      <c r="S42" s="174"/>
      <c r="T42" s="174"/>
      <c r="U42" s="174"/>
      <c r="V42" s="174"/>
      <c r="W42" s="174"/>
      <c r="X42" s="174"/>
      <c r="Y42" s="174"/>
      <c r="Z42" s="174"/>
      <c r="AA42" s="174"/>
      <c r="AB42" s="174"/>
      <c r="AC42" s="174"/>
      <c r="AD42" s="174"/>
      <c r="AE42" s="174"/>
      <c r="AF42" s="174"/>
      <c r="AG42" s="174"/>
      <c r="AH42" s="174"/>
      <c r="AI42" s="174"/>
      <c r="AJ42" s="174" t="s">
        <v>768</v>
      </c>
      <c r="AK42" s="174" t="s">
        <v>408</v>
      </c>
      <c r="AL42" s="174" t="s">
        <v>769</v>
      </c>
      <c r="AM42" s="181" t="s">
        <v>554</v>
      </c>
      <c r="AN42" s="192"/>
    </row>
    <row r="43" spans="1:40" s="175" customFormat="1" ht="12" customHeight="1">
      <c r="A43" s="174">
        <v>41</v>
      </c>
      <c r="B43" s="174" t="s">
        <v>759</v>
      </c>
      <c r="C43" s="174" t="s">
        <v>405</v>
      </c>
      <c r="D43" s="174" t="s">
        <v>539</v>
      </c>
      <c r="E43" s="174" t="s">
        <v>399</v>
      </c>
      <c r="F43" s="174" t="e">
        <f>VLOOKUP(E43,'95 Chỉ tiêu'!$B$4:$F$177,2,0)</f>
        <v>#N/A</v>
      </c>
      <c r="G43" s="174" t="s">
        <v>111</v>
      </c>
      <c r="H43" s="174" t="s">
        <v>408</v>
      </c>
      <c r="I43" s="174" t="s">
        <v>770</v>
      </c>
      <c r="J43" s="174" t="s">
        <v>771</v>
      </c>
      <c r="K43" s="174" t="s">
        <v>772</v>
      </c>
      <c r="L43" s="174" t="s">
        <v>763</v>
      </c>
      <c r="M43" s="174" t="s">
        <v>773</v>
      </c>
      <c r="N43" s="174" t="s">
        <v>774</v>
      </c>
      <c r="O43" s="174" t="s">
        <v>775</v>
      </c>
      <c r="P43" s="176" t="s">
        <v>767</v>
      </c>
      <c r="Q43" s="174" t="s">
        <v>548</v>
      </c>
      <c r="R43" s="174" t="s">
        <v>66</v>
      </c>
      <c r="S43" s="174"/>
      <c r="T43" s="174"/>
      <c r="U43" s="174"/>
      <c r="V43" s="174"/>
      <c r="W43" s="174"/>
      <c r="X43" s="174"/>
      <c r="Y43" s="174"/>
      <c r="Z43" s="174"/>
      <c r="AA43" s="174"/>
      <c r="AB43" s="174"/>
      <c r="AC43" s="174"/>
      <c r="AD43" s="174"/>
      <c r="AE43" s="174"/>
      <c r="AF43" s="174"/>
      <c r="AG43" s="174"/>
      <c r="AH43" s="174"/>
      <c r="AI43" s="174"/>
      <c r="AJ43" s="174" t="s">
        <v>768</v>
      </c>
      <c r="AK43" s="174" t="s">
        <v>408</v>
      </c>
      <c r="AL43" s="174" t="s">
        <v>769</v>
      </c>
      <c r="AM43" s="181" t="s">
        <v>554</v>
      </c>
      <c r="AN43" s="192"/>
    </row>
    <row r="44" spans="1:40" s="175" customFormat="1" ht="12" customHeight="1">
      <c r="A44" s="174">
        <v>42</v>
      </c>
      <c r="B44" s="174" t="s">
        <v>759</v>
      </c>
      <c r="C44" s="174" t="s">
        <v>405</v>
      </c>
      <c r="D44" s="174" t="s">
        <v>539</v>
      </c>
      <c r="E44" s="174" t="s">
        <v>399</v>
      </c>
      <c r="F44" s="174" t="e">
        <f>VLOOKUP(E44,'95 Chỉ tiêu'!$B$4:$F$177,2,0)</f>
        <v>#N/A</v>
      </c>
      <c r="G44" s="174" t="s">
        <v>111</v>
      </c>
      <c r="H44" s="174" t="s">
        <v>408</v>
      </c>
      <c r="I44" s="174" t="s">
        <v>776</v>
      </c>
      <c r="J44" s="174" t="s">
        <v>777</v>
      </c>
      <c r="K44" s="174" t="s">
        <v>778</v>
      </c>
      <c r="L44" s="174" t="s">
        <v>763</v>
      </c>
      <c r="M44" s="174" t="s">
        <v>779</v>
      </c>
      <c r="N44" s="174" t="s">
        <v>780</v>
      </c>
      <c r="O44" s="174" t="s">
        <v>781</v>
      </c>
      <c r="P44" s="176" t="s">
        <v>782</v>
      </c>
      <c r="Q44" s="176" t="s">
        <v>783</v>
      </c>
      <c r="R44" s="174" t="s">
        <v>66</v>
      </c>
      <c r="S44" s="174"/>
      <c r="T44" s="174"/>
      <c r="U44" s="174"/>
      <c r="V44" s="174"/>
      <c r="W44" s="174"/>
      <c r="X44" s="174"/>
      <c r="Y44" s="174"/>
      <c r="Z44" s="174"/>
      <c r="AA44" s="174"/>
      <c r="AB44" s="174"/>
      <c r="AC44" s="174"/>
      <c r="AD44" s="174"/>
      <c r="AE44" s="174"/>
      <c r="AF44" s="174"/>
      <c r="AG44" s="174"/>
      <c r="AH44" s="174"/>
      <c r="AI44" s="174"/>
      <c r="AJ44" s="174" t="s">
        <v>768</v>
      </c>
      <c r="AK44" s="174" t="s">
        <v>408</v>
      </c>
      <c r="AL44" s="174" t="s">
        <v>769</v>
      </c>
      <c r="AM44" s="181" t="s">
        <v>554</v>
      </c>
      <c r="AN44" s="192"/>
    </row>
    <row r="45" spans="1:40" s="175" customFormat="1" ht="12" customHeight="1">
      <c r="A45" s="174">
        <v>43</v>
      </c>
      <c r="B45" s="174" t="s">
        <v>759</v>
      </c>
      <c r="C45" s="174" t="s">
        <v>405</v>
      </c>
      <c r="D45" s="174" t="s">
        <v>539</v>
      </c>
      <c r="E45" s="174" t="s">
        <v>399</v>
      </c>
      <c r="F45" s="174" t="e">
        <f>VLOOKUP(E45,'95 Chỉ tiêu'!$B$4:$F$177,2,0)</f>
        <v>#N/A</v>
      </c>
      <c r="G45" s="174" t="s">
        <v>111</v>
      </c>
      <c r="H45" s="174" t="s">
        <v>408</v>
      </c>
      <c r="I45" s="174" t="s">
        <v>784</v>
      </c>
      <c r="J45" s="174" t="s">
        <v>785</v>
      </c>
      <c r="K45" s="174" t="s">
        <v>786</v>
      </c>
      <c r="L45" s="174" t="s">
        <v>763</v>
      </c>
      <c r="M45" s="174" t="s">
        <v>787</v>
      </c>
      <c r="N45" s="174" t="s">
        <v>788</v>
      </c>
      <c r="O45" s="174" t="s">
        <v>781</v>
      </c>
      <c r="P45" s="176" t="s">
        <v>782</v>
      </c>
      <c r="Q45" s="176" t="s">
        <v>789</v>
      </c>
      <c r="R45" s="174" t="s">
        <v>66</v>
      </c>
      <c r="S45" s="174"/>
      <c r="T45" s="174"/>
      <c r="U45" s="174"/>
      <c r="V45" s="174"/>
      <c r="W45" s="174"/>
      <c r="X45" s="174"/>
      <c r="Y45" s="174"/>
      <c r="Z45" s="174"/>
      <c r="AA45" s="174"/>
      <c r="AB45" s="174"/>
      <c r="AC45" s="174"/>
      <c r="AD45" s="174"/>
      <c r="AE45" s="174"/>
      <c r="AF45" s="174"/>
      <c r="AG45" s="174"/>
      <c r="AH45" s="174"/>
      <c r="AI45" s="174"/>
      <c r="AJ45" s="174" t="s">
        <v>768</v>
      </c>
      <c r="AK45" s="174" t="s">
        <v>408</v>
      </c>
      <c r="AL45" s="174" t="s">
        <v>769</v>
      </c>
      <c r="AM45" s="181" t="s">
        <v>554</v>
      </c>
      <c r="AN45" s="192"/>
    </row>
    <row r="46" spans="1:40" s="175" customFormat="1" ht="12" customHeight="1">
      <c r="A46" s="174">
        <v>44</v>
      </c>
      <c r="B46" s="174" t="s">
        <v>759</v>
      </c>
      <c r="C46" s="174" t="s">
        <v>405</v>
      </c>
      <c r="D46" s="174" t="s">
        <v>539</v>
      </c>
      <c r="E46" s="174" t="s">
        <v>399</v>
      </c>
      <c r="F46" s="174" t="e">
        <f>VLOOKUP(E46,'95 Chỉ tiêu'!$B$4:$F$177,2,0)</f>
        <v>#N/A</v>
      </c>
      <c r="G46" s="174" t="s">
        <v>111</v>
      </c>
      <c r="H46" s="174" t="s">
        <v>408</v>
      </c>
      <c r="I46" s="174" t="s">
        <v>790</v>
      </c>
      <c r="J46" s="174" t="s">
        <v>791</v>
      </c>
      <c r="K46" s="174" t="s">
        <v>792</v>
      </c>
      <c r="L46" s="174" t="s">
        <v>763</v>
      </c>
      <c r="M46" s="174" t="s">
        <v>793</v>
      </c>
      <c r="N46" s="174" t="s">
        <v>794</v>
      </c>
      <c r="O46" s="174" t="s">
        <v>795</v>
      </c>
      <c r="P46" s="176" t="s">
        <v>782</v>
      </c>
      <c r="Q46" s="176" t="s">
        <v>789</v>
      </c>
      <c r="R46" s="174" t="s">
        <v>66</v>
      </c>
      <c r="S46" s="174"/>
      <c r="T46" s="174"/>
      <c r="U46" s="174"/>
      <c r="V46" s="174"/>
      <c r="W46" s="174"/>
      <c r="X46" s="174"/>
      <c r="Y46" s="174"/>
      <c r="Z46" s="174"/>
      <c r="AA46" s="174"/>
      <c r="AB46" s="174"/>
      <c r="AC46" s="174"/>
      <c r="AD46" s="174"/>
      <c r="AE46" s="174"/>
      <c r="AF46" s="174"/>
      <c r="AG46" s="174"/>
      <c r="AH46" s="174"/>
      <c r="AI46" s="174"/>
      <c r="AJ46" s="174" t="s">
        <v>768</v>
      </c>
      <c r="AK46" s="174" t="s">
        <v>408</v>
      </c>
      <c r="AL46" s="174" t="s">
        <v>769</v>
      </c>
      <c r="AM46" s="181" t="s">
        <v>709</v>
      </c>
      <c r="AN46" s="192"/>
    </row>
    <row r="47" spans="1:40" s="175" customFormat="1" ht="12" customHeight="1">
      <c r="A47" s="174">
        <v>46</v>
      </c>
      <c r="B47" s="174" t="s">
        <v>759</v>
      </c>
      <c r="C47" s="174" t="s">
        <v>405</v>
      </c>
      <c r="D47" s="174" t="s">
        <v>539</v>
      </c>
      <c r="E47" s="174" t="s">
        <v>399</v>
      </c>
      <c r="F47" s="174" t="e">
        <f>VLOOKUP(E47,'95 Chỉ tiêu'!$B$4:$F$177,2,0)</f>
        <v>#N/A</v>
      </c>
      <c r="G47" s="174" t="s">
        <v>111</v>
      </c>
      <c r="H47" s="174" t="s">
        <v>408</v>
      </c>
      <c r="I47" s="174" t="s">
        <v>796</v>
      </c>
      <c r="J47" s="174" t="s">
        <v>797</v>
      </c>
      <c r="K47" s="174" t="s">
        <v>798</v>
      </c>
      <c r="L47" s="174" t="s">
        <v>763</v>
      </c>
      <c r="M47" s="174" t="s">
        <v>799</v>
      </c>
      <c r="N47" s="174" t="s">
        <v>800</v>
      </c>
      <c r="O47" s="174" t="s">
        <v>781</v>
      </c>
      <c r="P47" s="176" t="s">
        <v>782</v>
      </c>
      <c r="Q47" s="176" t="s">
        <v>789</v>
      </c>
      <c r="R47" s="174" t="s">
        <v>66</v>
      </c>
      <c r="S47" s="174"/>
      <c r="T47" s="174"/>
      <c r="U47" s="174"/>
      <c r="V47" s="174"/>
      <c r="W47" s="174"/>
      <c r="X47" s="174"/>
      <c r="Y47" s="174"/>
      <c r="Z47" s="174"/>
      <c r="AA47" s="174"/>
      <c r="AB47" s="174"/>
      <c r="AC47" s="174"/>
      <c r="AD47" s="174"/>
      <c r="AE47" s="174" t="s">
        <v>801</v>
      </c>
      <c r="AF47" s="174"/>
      <c r="AG47" s="174"/>
      <c r="AH47" s="174"/>
      <c r="AI47" s="174"/>
      <c r="AJ47" s="174" t="s">
        <v>768</v>
      </c>
      <c r="AK47" s="174" t="s">
        <v>408</v>
      </c>
      <c r="AL47" s="174" t="s">
        <v>769</v>
      </c>
      <c r="AM47" s="181" t="s">
        <v>600</v>
      </c>
      <c r="AN47" s="192"/>
    </row>
    <row r="48" spans="1:40" s="175" customFormat="1" ht="12" customHeight="1">
      <c r="A48" s="174">
        <v>45</v>
      </c>
      <c r="B48" s="174" t="s">
        <v>759</v>
      </c>
      <c r="C48" s="174" t="s">
        <v>405</v>
      </c>
      <c r="D48" s="174" t="s">
        <v>539</v>
      </c>
      <c r="E48" s="174" t="s">
        <v>399</v>
      </c>
      <c r="F48" s="174" t="e">
        <f>VLOOKUP(E48,'95 Chỉ tiêu'!$B$4:$F$177,2,0)</f>
        <v>#N/A</v>
      </c>
      <c r="G48" s="174" t="s">
        <v>111</v>
      </c>
      <c r="H48" s="174" t="s">
        <v>408</v>
      </c>
      <c r="I48" s="174" t="s">
        <v>802</v>
      </c>
      <c r="J48" s="174" t="s">
        <v>803</v>
      </c>
      <c r="K48" s="174" t="s">
        <v>804</v>
      </c>
      <c r="L48" s="174" t="s">
        <v>763</v>
      </c>
      <c r="M48" s="174" t="s">
        <v>805</v>
      </c>
      <c r="N48" s="174" t="s">
        <v>806</v>
      </c>
      <c r="O48" s="174" t="s">
        <v>807</v>
      </c>
      <c r="P48" s="176" t="s">
        <v>782</v>
      </c>
      <c r="Q48" s="176" t="s">
        <v>789</v>
      </c>
      <c r="R48" s="174" t="s">
        <v>66</v>
      </c>
      <c r="S48" s="174"/>
      <c r="T48" s="174"/>
      <c r="U48" s="174"/>
      <c r="V48" s="174"/>
      <c r="W48" s="174"/>
      <c r="X48" s="174"/>
      <c r="Y48" s="174"/>
      <c r="Z48" s="174"/>
      <c r="AA48" s="174"/>
      <c r="AB48" s="174"/>
      <c r="AC48" s="174"/>
      <c r="AD48" s="174"/>
      <c r="AE48" s="174" t="s">
        <v>808</v>
      </c>
      <c r="AF48" s="174"/>
      <c r="AG48" s="174"/>
      <c r="AH48" s="174"/>
      <c r="AI48" s="174"/>
      <c r="AJ48" s="174" t="s">
        <v>768</v>
      </c>
      <c r="AK48" s="174" t="s">
        <v>408</v>
      </c>
      <c r="AL48" s="174" t="s">
        <v>769</v>
      </c>
      <c r="AM48" s="181" t="s">
        <v>600</v>
      </c>
      <c r="AN48" s="192"/>
    </row>
    <row r="49" spans="1:40" s="175" customFormat="1" ht="12" customHeight="1">
      <c r="A49" s="174">
        <v>47</v>
      </c>
      <c r="B49" s="174" t="s">
        <v>759</v>
      </c>
      <c r="C49" s="174" t="s">
        <v>405</v>
      </c>
      <c r="D49" s="174" t="s">
        <v>539</v>
      </c>
      <c r="E49" s="174" t="s">
        <v>399</v>
      </c>
      <c r="F49" s="174" t="e">
        <f>VLOOKUP(E49,'95 Chỉ tiêu'!$B$4:$F$177,2,0)</f>
        <v>#N/A</v>
      </c>
      <c r="G49" s="174" t="s">
        <v>111</v>
      </c>
      <c r="H49" s="174" t="s">
        <v>408</v>
      </c>
      <c r="I49" s="174" t="s">
        <v>809</v>
      </c>
      <c r="J49" s="174" t="s">
        <v>810</v>
      </c>
      <c r="K49" s="174" t="s">
        <v>811</v>
      </c>
      <c r="L49" s="174" t="s">
        <v>763</v>
      </c>
      <c r="M49" s="174" t="s">
        <v>812</v>
      </c>
      <c r="N49" s="174" t="s">
        <v>813</v>
      </c>
      <c r="O49" s="174" t="s">
        <v>781</v>
      </c>
      <c r="P49" s="176" t="s">
        <v>782</v>
      </c>
      <c r="Q49" s="176" t="s">
        <v>789</v>
      </c>
      <c r="R49" s="174" t="s">
        <v>66</v>
      </c>
      <c r="S49" s="174"/>
      <c r="T49" s="174"/>
      <c r="U49" s="174"/>
      <c r="V49" s="174"/>
      <c r="W49" s="174"/>
      <c r="X49" s="174"/>
      <c r="Y49" s="174"/>
      <c r="Z49" s="174"/>
      <c r="AA49" s="174"/>
      <c r="AB49" s="174"/>
      <c r="AC49" s="174"/>
      <c r="AD49" s="174"/>
      <c r="AE49" s="174"/>
      <c r="AF49" s="174"/>
      <c r="AG49" s="174"/>
      <c r="AH49" s="174"/>
      <c r="AI49" s="174"/>
      <c r="AJ49" s="174" t="s">
        <v>768</v>
      </c>
      <c r="AK49" s="174" t="s">
        <v>408</v>
      </c>
      <c r="AL49" s="174" t="s">
        <v>769</v>
      </c>
      <c r="AM49" s="181" t="s">
        <v>682</v>
      </c>
      <c r="AN49" s="192"/>
    </row>
    <row r="50" spans="1:40" s="175" customFormat="1" ht="12" customHeight="1">
      <c r="A50" s="174">
        <v>48</v>
      </c>
      <c r="B50" s="174" t="s">
        <v>759</v>
      </c>
      <c r="C50" s="174" t="s">
        <v>405</v>
      </c>
      <c r="D50" s="174" t="s">
        <v>539</v>
      </c>
      <c r="E50" s="174" t="s">
        <v>399</v>
      </c>
      <c r="F50" s="174" t="e">
        <f>VLOOKUP(E50,'95 Chỉ tiêu'!$B$4:$F$177,2,0)</f>
        <v>#N/A</v>
      </c>
      <c r="G50" s="174" t="s">
        <v>111</v>
      </c>
      <c r="H50" s="174" t="s">
        <v>408</v>
      </c>
      <c r="I50" s="174" t="s">
        <v>814</v>
      </c>
      <c r="J50" s="174" t="s">
        <v>815</v>
      </c>
      <c r="K50" s="174" t="s">
        <v>816</v>
      </c>
      <c r="L50" s="174" t="s">
        <v>763</v>
      </c>
      <c r="M50" s="174" t="s">
        <v>817</v>
      </c>
      <c r="N50" s="174" t="s">
        <v>818</v>
      </c>
      <c r="O50" s="174" t="s">
        <v>781</v>
      </c>
      <c r="P50" s="176" t="s">
        <v>782</v>
      </c>
      <c r="Q50" s="176" t="s">
        <v>789</v>
      </c>
      <c r="R50" s="174" t="s">
        <v>66</v>
      </c>
      <c r="S50" s="174"/>
      <c r="T50" s="174"/>
      <c r="U50" s="174"/>
      <c r="V50" s="174"/>
      <c r="W50" s="174"/>
      <c r="X50" s="174"/>
      <c r="Y50" s="174"/>
      <c r="Z50" s="174"/>
      <c r="AA50" s="174"/>
      <c r="AB50" s="174"/>
      <c r="AC50" s="174"/>
      <c r="AD50" s="174"/>
      <c r="AE50" s="174"/>
      <c r="AF50" s="174"/>
      <c r="AG50" s="174"/>
      <c r="AH50" s="174"/>
      <c r="AI50" s="174"/>
      <c r="AJ50" s="174" t="s">
        <v>768</v>
      </c>
      <c r="AK50" s="174" t="s">
        <v>408</v>
      </c>
      <c r="AL50" s="174" t="s">
        <v>819</v>
      </c>
      <c r="AM50" s="181" t="s">
        <v>820</v>
      </c>
      <c r="AN50" s="192"/>
    </row>
    <row r="51" spans="1:40" s="175" customFormat="1" ht="12" customHeight="1">
      <c r="A51" s="174">
        <v>49</v>
      </c>
      <c r="B51" s="174" t="s">
        <v>759</v>
      </c>
      <c r="C51" s="174" t="s">
        <v>405</v>
      </c>
      <c r="D51" s="174" t="s">
        <v>539</v>
      </c>
      <c r="E51" s="174" t="s">
        <v>399</v>
      </c>
      <c r="F51" s="174" t="e">
        <f>VLOOKUP(E51,'95 Chỉ tiêu'!$B$4:$F$177,2,0)</f>
        <v>#N/A</v>
      </c>
      <c r="G51" s="174" t="s">
        <v>111</v>
      </c>
      <c r="H51" s="174" t="s">
        <v>408</v>
      </c>
      <c r="I51" s="174" t="s">
        <v>821</v>
      </c>
      <c r="J51" s="174" t="s">
        <v>822</v>
      </c>
      <c r="K51" s="174" t="s">
        <v>823</v>
      </c>
      <c r="L51" s="174" t="s">
        <v>763</v>
      </c>
      <c r="M51" s="174" t="s">
        <v>824</v>
      </c>
      <c r="N51" s="174" t="s">
        <v>825</v>
      </c>
      <c r="O51" s="174" t="s">
        <v>781</v>
      </c>
      <c r="P51" s="176" t="s">
        <v>767</v>
      </c>
      <c r="Q51" s="174" t="s">
        <v>548</v>
      </c>
      <c r="R51" s="174" t="s">
        <v>66</v>
      </c>
      <c r="S51" s="174"/>
      <c r="T51" s="174"/>
      <c r="U51" s="174"/>
      <c r="V51" s="174"/>
      <c r="W51" s="174"/>
      <c r="X51" s="174"/>
      <c r="Y51" s="174"/>
      <c r="Z51" s="174"/>
      <c r="AA51" s="174"/>
      <c r="AB51" s="174"/>
      <c r="AC51" s="174"/>
      <c r="AD51" s="174"/>
      <c r="AE51" s="174"/>
      <c r="AF51" s="174"/>
      <c r="AG51" s="174"/>
      <c r="AH51" s="174"/>
      <c r="AI51" s="174"/>
      <c r="AJ51" s="174" t="s">
        <v>768</v>
      </c>
      <c r="AK51" s="174" t="s">
        <v>408</v>
      </c>
      <c r="AL51" s="174" t="s">
        <v>819</v>
      </c>
      <c r="AM51" s="181" t="s">
        <v>820</v>
      </c>
      <c r="AN51" s="192"/>
    </row>
    <row r="52" spans="1:40" s="175" customFormat="1" ht="12" customHeight="1">
      <c r="A52" s="174">
        <v>50</v>
      </c>
      <c r="B52" s="174" t="s">
        <v>759</v>
      </c>
      <c r="C52" s="174" t="s">
        <v>405</v>
      </c>
      <c r="D52" s="174" t="s">
        <v>539</v>
      </c>
      <c r="E52" s="174" t="s">
        <v>399</v>
      </c>
      <c r="F52" s="174" t="e">
        <f>VLOOKUP(E52,'95 Chỉ tiêu'!$B$4:$F$177,2,0)</f>
        <v>#N/A</v>
      </c>
      <c r="G52" s="174" t="s">
        <v>111</v>
      </c>
      <c r="H52" s="174" t="s">
        <v>408</v>
      </c>
      <c r="I52" s="174" t="s">
        <v>826</v>
      </c>
      <c r="J52" s="174" t="s">
        <v>827</v>
      </c>
      <c r="K52" s="174" t="s">
        <v>828</v>
      </c>
      <c r="L52" s="174" t="s">
        <v>763</v>
      </c>
      <c r="M52" s="174" t="s">
        <v>829</v>
      </c>
      <c r="N52" s="174" t="s">
        <v>830</v>
      </c>
      <c r="O52" s="174" t="s">
        <v>766</v>
      </c>
      <c r="P52" s="176" t="s">
        <v>767</v>
      </c>
      <c r="Q52" s="174" t="s">
        <v>548</v>
      </c>
      <c r="R52" s="174" t="s">
        <v>66</v>
      </c>
      <c r="S52" s="174"/>
      <c r="T52" s="174"/>
      <c r="U52" s="174"/>
      <c r="V52" s="174"/>
      <c r="W52" s="174"/>
      <c r="X52" s="174"/>
      <c r="Y52" s="174"/>
      <c r="Z52" s="174"/>
      <c r="AA52" s="174"/>
      <c r="AB52" s="174"/>
      <c r="AC52" s="174"/>
      <c r="AD52" s="174"/>
      <c r="AE52" s="174"/>
      <c r="AF52" s="174"/>
      <c r="AG52" s="174"/>
      <c r="AH52" s="174"/>
      <c r="AI52" s="174"/>
      <c r="AJ52" s="174" t="s">
        <v>768</v>
      </c>
      <c r="AK52" s="174" t="s">
        <v>408</v>
      </c>
      <c r="AL52" s="174" t="s">
        <v>831</v>
      </c>
      <c r="AM52" s="181" t="s">
        <v>554</v>
      </c>
      <c r="AN52" s="192"/>
    </row>
    <row r="53" spans="1:40" s="175" customFormat="1" ht="12" customHeight="1">
      <c r="A53" s="174">
        <v>51</v>
      </c>
      <c r="B53" s="174" t="s">
        <v>759</v>
      </c>
      <c r="C53" s="174" t="s">
        <v>405</v>
      </c>
      <c r="D53" s="174" t="s">
        <v>539</v>
      </c>
      <c r="E53" s="174" t="s">
        <v>399</v>
      </c>
      <c r="F53" s="174" t="e">
        <f>VLOOKUP(E53,'95 Chỉ tiêu'!$B$4:$F$177,2,0)</f>
        <v>#N/A</v>
      </c>
      <c r="G53" s="174" t="s">
        <v>111</v>
      </c>
      <c r="H53" s="174" t="s">
        <v>408</v>
      </c>
      <c r="I53" s="174" t="s">
        <v>832</v>
      </c>
      <c r="J53" s="174" t="s">
        <v>833</v>
      </c>
      <c r="K53" s="174" t="s">
        <v>834</v>
      </c>
      <c r="L53" s="174" t="s">
        <v>763</v>
      </c>
      <c r="M53" s="174" t="s">
        <v>835</v>
      </c>
      <c r="N53" s="174" t="s">
        <v>836</v>
      </c>
      <c r="O53" s="174" t="s">
        <v>775</v>
      </c>
      <c r="P53" s="176" t="s">
        <v>767</v>
      </c>
      <c r="Q53" s="174" t="s">
        <v>548</v>
      </c>
      <c r="R53" s="174" t="s">
        <v>66</v>
      </c>
      <c r="S53" s="174"/>
      <c r="T53" s="174"/>
      <c r="U53" s="174"/>
      <c r="V53" s="174"/>
      <c r="W53" s="174"/>
      <c r="X53" s="174"/>
      <c r="Y53" s="174"/>
      <c r="Z53" s="174"/>
      <c r="AA53" s="174"/>
      <c r="AB53" s="174"/>
      <c r="AC53" s="174"/>
      <c r="AD53" s="174"/>
      <c r="AE53" s="174"/>
      <c r="AF53" s="174"/>
      <c r="AG53" s="174"/>
      <c r="AH53" s="174"/>
      <c r="AI53" s="174"/>
      <c r="AJ53" s="174" t="s">
        <v>768</v>
      </c>
      <c r="AK53" s="174" t="s">
        <v>408</v>
      </c>
      <c r="AL53" s="174" t="s">
        <v>831</v>
      </c>
      <c r="AM53" s="181" t="s">
        <v>554</v>
      </c>
      <c r="AN53" s="192"/>
    </row>
    <row r="54" spans="1:40" s="175" customFormat="1" ht="12" customHeight="1">
      <c r="A54" s="174">
        <v>52</v>
      </c>
      <c r="B54" s="174" t="s">
        <v>759</v>
      </c>
      <c r="C54" s="174" t="s">
        <v>405</v>
      </c>
      <c r="D54" s="174" t="s">
        <v>539</v>
      </c>
      <c r="E54" s="174" t="s">
        <v>399</v>
      </c>
      <c r="F54" s="174" t="e">
        <f>VLOOKUP(E54,'95 Chỉ tiêu'!$B$4:$F$177,2,0)</f>
        <v>#N/A</v>
      </c>
      <c r="G54" s="174" t="s">
        <v>111</v>
      </c>
      <c r="H54" s="174" t="s">
        <v>408</v>
      </c>
      <c r="I54" s="174" t="s">
        <v>837</v>
      </c>
      <c r="J54" s="174" t="s">
        <v>838</v>
      </c>
      <c r="K54" s="174" t="s">
        <v>839</v>
      </c>
      <c r="L54" s="174" t="s">
        <v>763</v>
      </c>
      <c r="M54" s="174" t="s">
        <v>840</v>
      </c>
      <c r="N54" s="174" t="s">
        <v>841</v>
      </c>
      <c r="O54" s="174" t="s">
        <v>781</v>
      </c>
      <c r="P54" s="176" t="s">
        <v>782</v>
      </c>
      <c r="Q54" s="176" t="s">
        <v>783</v>
      </c>
      <c r="R54" s="174" t="s">
        <v>66</v>
      </c>
      <c r="S54" s="174"/>
      <c r="T54" s="174"/>
      <c r="U54" s="174"/>
      <c r="V54" s="174"/>
      <c r="W54" s="174"/>
      <c r="X54" s="174"/>
      <c r="Y54" s="174"/>
      <c r="Z54" s="174"/>
      <c r="AA54" s="174"/>
      <c r="AB54" s="174"/>
      <c r="AC54" s="174"/>
      <c r="AD54" s="174"/>
      <c r="AE54" s="174"/>
      <c r="AF54" s="174"/>
      <c r="AG54" s="174"/>
      <c r="AH54" s="174"/>
      <c r="AI54" s="174"/>
      <c r="AJ54" s="174" t="s">
        <v>768</v>
      </c>
      <c r="AK54" s="174" t="s">
        <v>408</v>
      </c>
      <c r="AL54" s="174" t="s">
        <v>831</v>
      </c>
      <c r="AM54" s="181" t="s">
        <v>554</v>
      </c>
      <c r="AN54" s="192"/>
    </row>
    <row r="55" spans="1:40" s="175" customFormat="1" ht="12" customHeight="1">
      <c r="A55" s="174">
        <v>53</v>
      </c>
      <c r="B55" s="174" t="s">
        <v>759</v>
      </c>
      <c r="C55" s="174" t="s">
        <v>405</v>
      </c>
      <c r="D55" s="174" t="s">
        <v>539</v>
      </c>
      <c r="E55" s="174" t="s">
        <v>399</v>
      </c>
      <c r="F55" s="174" t="e">
        <f>VLOOKUP(E55,'95 Chỉ tiêu'!$B$4:$F$177,2,0)</f>
        <v>#N/A</v>
      </c>
      <c r="G55" s="174" t="s">
        <v>111</v>
      </c>
      <c r="H55" s="174" t="s">
        <v>408</v>
      </c>
      <c r="I55" s="174" t="s">
        <v>842</v>
      </c>
      <c r="J55" s="174" t="s">
        <v>843</v>
      </c>
      <c r="K55" s="174" t="s">
        <v>844</v>
      </c>
      <c r="L55" s="174" t="s">
        <v>763</v>
      </c>
      <c r="M55" s="174" t="s">
        <v>845</v>
      </c>
      <c r="N55" s="174" t="s">
        <v>846</v>
      </c>
      <c r="O55" s="174" t="s">
        <v>781</v>
      </c>
      <c r="P55" s="176" t="s">
        <v>782</v>
      </c>
      <c r="Q55" s="176" t="s">
        <v>789</v>
      </c>
      <c r="R55" s="174" t="s">
        <v>66</v>
      </c>
      <c r="S55" s="174"/>
      <c r="T55" s="174"/>
      <c r="U55" s="174"/>
      <c r="V55" s="174"/>
      <c r="W55" s="174"/>
      <c r="X55" s="174"/>
      <c r="Y55" s="174"/>
      <c r="Z55" s="174"/>
      <c r="AA55" s="174"/>
      <c r="AB55" s="174"/>
      <c r="AC55" s="174"/>
      <c r="AD55" s="174"/>
      <c r="AE55" s="174"/>
      <c r="AF55" s="174"/>
      <c r="AG55" s="174"/>
      <c r="AH55" s="174"/>
      <c r="AI55" s="174"/>
      <c r="AJ55" s="174" t="s">
        <v>768</v>
      </c>
      <c r="AK55" s="174" t="s">
        <v>408</v>
      </c>
      <c r="AL55" s="174" t="s">
        <v>831</v>
      </c>
      <c r="AM55" s="181" t="s">
        <v>554</v>
      </c>
      <c r="AN55" s="192"/>
    </row>
    <row r="56" spans="1:40" s="175" customFormat="1" ht="12" customHeight="1">
      <c r="A56" s="174">
        <v>56</v>
      </c>
      <c r="B56" s="174" t="s">
        <v>759</v>
      </c>
      <c r="C56" s="174" t="s">
        <v>405</v>
      </c>
      <c r="D56" s="174" t="s">
        <v>539</v>
      </c>
      <c r="E56" s="174" t="s">
        <v>399</v>
      </c>
      <c r="F56" s="174" t="e">
        <f>VLOOKUP(E56,'95 Chỉ tiêu'!$B$4:$F$177,2,0)</f>
        <v>#N/A</v>
      </c>
      <c r="G56" s="174" t="s">
        <v>111</v>
      </c>
      <c r="H56" s="174" t="s">
        <v>408</v>
      </c>
      <c r="I56" s="174" t="s">
        <v>847</v>
      </c>
      <c r="J56" s="174" t="s">
        <v>848</v>
      </c>
      <c r="K56" s="174" t="s">
        <v>849</v>
      </c>
      <c r="L56" s="174" t="s">
        <v>763</v>
      </c>
      <c r="M56" s="174" t="s">
        <v>793</v>
      </c>
      <c r="N56" s="174" t="s">
        <v>794</v>
      </c>
      <c r="O56" s="174" t="s">
        <v>795</v>
      </c>
      <c r="P56" s="176" t="s">
        <v>782</v>
      </c>
      <c r="Q56" s="176" t="s">
        <v>789</v>
      </c>
      <c r="R56" s="174" t="s">
        <v>66</v>
      </c>
      <c r="S56" s="174"/>
      <c r="T56" s="174"/>
      <c r="U56" s="174"/>
      <c r="V56" s="174"/>
      <c r="W56" s="174"/>
      <c r="X56" s="174"/>
      <c r="Y56" s="174"/>
      <c r="Z56" s="174"/>
      <c r="AA56" s="174"/>
      <c r="AB56" s="174"/>
      <c r="AC56" s="174"/>
      <c r="AD56" s="174"/>
      <c r="AE56" s="174"/>
      <c r="AF56" s="174"/>
      <c r="AG56" s="174"/>
      <c r="AH56" s="174"/>
      <c r="AI56" s="174"/>
      <c r="AJ56" s="174" t="s">
        <v>768</v>
      </c>
      <c r="AK56" s="174" t="s">
        <v>408</v>
      </c>
      <c r="AL56" s="174" t="s">
        <v>831</v>
      </c>
      <c r="AM56" s="181" t="s">
        <v>709</v>
      </c>
      <c r="AN56" s="192"/>
    </row>
    <row r="57" spans="1:40" s="175" customFormat="1" ht="12" customHeight="1">
      <c r="A57" s="174">
        <v>54</v>
      </c>
      <c r="B57" s="174" t="s">
        <v>759</v>
      </c>
      <c r="C57" s="174" t="s">
        <v>405</v>
      </c>
      <c r="D57" s="174" t="s">
        <v>539</v>
      </c>
      <c r="E57" s="174" t="s">
        <v>399</v>
      </c>
      <c r="F57" s="174" t="e">
        <f>VLOOKUP(E57,'95 Chỉ tiêu'!$B$4:$F$177,2,0)</f>
        <v>#N/A</v>
      </c>
      <c r="G57" s="174" t="s">
        <v>111</v>
      </c>
      <c r="H57" s="174" t="s">
        <v>408</v>
      </c>
      <c r="I57" s="174" t="s">
        <v>850</v>
      </c>
      <c r="J57" s="174" t="s">
        <v>851</v>
      </c>
      <c r="K57" s="174" t="s">
        <v>852</v>
      </c>
      <c r="L57" s="174" t="s">
        <v>763</v>
      </c>
      <c r="M57" s="174" t="s">
        <v>799</v>
      </c>
      <c r="N57" s="174" t="s">
        <v>800</v>
      </c>
      <c r="O57" s="174" t="s">
        <v>781</v>
      </c>
      <c r="P57" s="176" t="s">
        <v>782</v>
      </c>
      <c r="Q57" s="176" t="s">
        <v>789</v>
      </c>
      <c r="R57" s="174" t="s">
        <v>66</v>
      </c>
      <c r="S57" s="174"/>
      <c r="T57" s="174"/>
      <c r="U57" s="174"/>
      <c r="V57" s="174"/>
      <c r="W57" s="174"/>
      <c r="X57" s="174"/>
      <c r="Y57" s="174"/>
      <c r="Z57" s="174"/>
      <c r="AA57" s="174"/>
      <c r="AB57" s="174"/>
      <c r="AC57" s="174"/>
      <c r="AD57" s="174"/>
      <c r="AE57" s="174" t="s">
        <v>801</v>
      </c>
      <c r="AF57" s="174"/>
      <c r="AG57" s="174"/>
      <c r="AH57" s="174"/>
      <c r="AI57" s="174"/>
      <c r="AJ57" s="174" t="s">
        <v>768</v>
      </c>
      <c r="AK57" s="174" t="s">
        <v>408</v>
      </c>
      <c r="AL57" s="174" t="s">
        <v>831</v>
      </c>
      <c r="AM57" s="181" t="s">
        <v>600</v>
      </c>
      <c r="AN57" s="192"/>
    </row>
    <row r="58" spans="1:40" s="175" customFormat="1" ht="12" customHeight="1">
      <c r="A58" s="174">
        <v>55</v>
      </c>
      <c r="B58" s="174" t="s">
        <v>759</v>
      </c>
      <c r="C58" s="174" t="s">
        <v>405</v>
      </c>
      <c r="D58" s="174" t="s">
        <v>539</v>
      </c>
      <c r="E58" s="174" t="s">
        <v>399</v>
      </c>
      <c r="F58" s="174" t="e">
        <f>VLOOKUP(E58,'95 Chỉ tiêu'!$B$4:$F$177,2,0)</f>
        <v>#N/A</v>
      </c>
      <c r="G58" s="174" t="s">
        <v>111</v>
      </c>
      <c r="H58" s="174" t="s">
        <v>408</v>
      </c>
      <c r="I58" s="174" t="s">
        <v>853</v>
      </c>
      <c r="J58" s="174" t="s">
        <v>854</v>
      </c>
      <c r="K58" s="174" t="s">
        <v>855</v>
      </c>
      <c r="L58" s="174" t="s">
        <v>763</v>
      </c>
      <c r="M58" s="174" t="s">
        <v>805</v>
      </c>
      <c r="N58" s="174" t="s">
        <v>806</v>
      </c>
      <c r="O58" s="174" t="s">
        <v>807</v>
      </c>
      <c r="P58" s="176" t="s">
        <v>782</v>
      </c>
      <c r="Q58" s="176" t="s">
        <v>789</v>
      </c>
      <c r="R58" s="174" t="s">
        <v>66</v>
      </c>
      <c r="S58" s="174"/>
      <c r="T58" s="174"/>
      <c r="U58" s="174"/>
      <c r="V58" s="174"/>
      <c r="W58" s="174"/>
      <c r="X58" s="174"/>
      <c r="Y58" s="174"/>
      <c r="Z58" s="174"/>
      <c r="AA58" s="174"/>
      <c r="AB58" s="174"/>
      <c r="AC58" s="174"/>
      <c r="AD58" s="174"/>
      <c r="AE58" s="174" t="s">
        <v>808</v>
      </c>
      <c r="AF58" s="174"/>
      <c r="AG58" s="174"/>
      <c r="AH58" s="174"/>
      <c r="AI58" s="174"/>
      <c r="AJ58" s="174" t="s">
        <v>768</v>
      </c>
      <c r="AK58" s="174" t="s">
        <v>408</v>
      </c>
      <c r="AL58" s="174" t="s">
        <v>831</v>
      </c>
      <c r="AM58" s="181" t="s">
        <v>600</v>
      </c>
      <c r="AN58" s="192"/>
    </row>
    <row r="59" spans="1:40" s="175" customFormat="1" ht="12" customHeight="1">
      <c r="A59" s="174">
        <v>57</v>
      </c>
      <c r="B59" s="174" t="s">
        <v>759</v>
      </c>
      <c r="C59" s="174" t="s">
        <v>405</v>
      </c>
      <c r="D59" s="174" t="s">
        <v>539</v>
      </c>
      <c r="E59" s="174" t="s">
        <v>399</v>
      </c>
      <c r="F59" s="174" t="e">
        <f>VLOOKUP(E59,'95 Chỉ tiêu'!$B$4:$F$177,2,0)</f>
        <v>#N/A</v>
      </c>
      <c r="G59" s="174" t="s">
        <v>111</v>
      </c>
      <c r="H59" s="174" t="s">
        <v>408</v>
      </c>
      <c r="I59" s="174" t="s">
        <v>856</v>
      </c>
      <c r="J59" s="174" t="s">
        <v>857</v>
      </c>
      <c r="K59" s="174" t="s">
        <v>858</v>
      </c>
      <c r="L59" s="174" t="s">
        <v>763</v>
      </c>
      <c r="M59" s="174" t="s">
        <v>859</v>
      </c>
      <c r="N59" s="176" t="s">
        <v>788</v>
      </c>
      <c r="O59" s="174" t="s">
        <v>781</v>
      </c>
      <c r="P59" s="176" t="s">
        <v>782</v>
      </c>
      <c r="Q59" s="176" t="s">
        <v>789</v>
      </c>
      <c r="R59" s="174" t="s">
        <v>66</v>
      </c>
      <c r="S59" s="174"/>
      <c r="T59" s="174"/>
      <c r="U59" s="174"/>
      <c r="V59" s="174"/>
      <c r="W59" s="174"/>
      <c r="X59" s="174"/>
      <c r="Y59" s="174"/>
      <c r="Z59" s="174"/>
      <c r="AA59" s="174"/>
      <c r="AB59" s="174"/>
      <c r="AC59" s="174"/>
      <c r="AD59" s="174"/>
      <c r="AE59" s="174"/>
      <c r="AF59" s="174"/>
      <c r="AG59" s="174"/>
      <c r="AH59" s="174"/>
      <c r="AI59" s="174"/>
      <c r="AJ59" s="174" t="s">
        <v>768</v>
      </c>
      <c r="AK59" s="174" t="s">
        <v>408</v>
      </c>
      <c r="AL59" s="174" t="s">
        <v>831</v>
      </c>
      <c r="AM59" s="181" t="s">
        <v>682</v>
      </c>
      <c r="AN59" s="192"/>
    </row>
    <row r="60" spans="1:40" s="175" customFormat="1" ht="12" customHeight="1">
      <c r="A60" s="174">
        <v>58</v>
      </c>
      <c r="B60" s="174" t="s">
        <v>219</v>
      </c>
      <c r="C60" s="174" t="s">
        <v>538</v>
      </c>
      <c r="D60" s="174" t="s">
        <v>539</v>
      </c>
      <c r="E60" s="174" t="s">
        <v>399</v>
      </c>
      <c r="F60" s="174" t="e">
        <f>VLOOKUP(E60,'95 Chỉ tiêu'!$B$4:$F$177,2,0)</f>
        <v>#N/A</v>
      </c>
      <c r="G60" s="174" t="s">
        <v>111</v>
      </c>
      <c r="H60" s="174" t="s">
        <v>415</v>
      </c>
      <c r="I60" s="174" t="s">
        <v>860</v>
      </c>
      <c r="J60" s="174" t="s">
        <v>861</v>
      </c>
      <c r="K60" s="174" t="s">
        <v>862</v>
      </c>
      <c r="L60" s="174" t="s">
        <v>543</v>
      </c>
      <c r="M60" s="176" t="s">
        <v>863</v>
      </c>
      <c r="N60" s="176" t="s">
        <v>788</v>
      </c>
      <c r="O60" s="176" t="s">
        <v>766</v>
      </c>
      <c r="P60" s="176" t="s">
        <v>767</v>
      </c>
      <c r="Q60" s="174" t="s">
        <v>548</v>
      </c>
      <c r="R60" s="174" t="s">
        <v>66</v>
      </c>
      <c r="S60" s="174"/>
      <c r="T60" s="174"/>
      <c r="U60" s="174"/>
      <c r="V60" s="174"/>
      <c r="W60" s="174"/>
      <c r="X60" s="174"/>
      <c r="Y60" s="174"/>
      <c r="Z60" s="174"/>
      <c r="AA60" s="174"/>
      <c r="AB60" s="174"/>
      <c r="AC60" s="174"/>
      <c r="AD60" s="174"/>
      <c r="AE60" s="174"/>
      <c r="AF60" s="174"/>
      <c r="AG60" s="174"/>
      <c r="AH60" s="174"/>
      <c r="AI60" s="174"/>
      <c r="AJ60" s="174" t="s">
        <v>416</v>
      </c>
      <c r="AK60" s="174" t="s">
        <v>415</v>
      </c>
      <c r="AL60" s="174" t="s">
        <v>864</v>
      </c>
      <c r="AM60" s="181" t="s">
        <v>554</v>
      </c>
      <c r="AN60" s="192"/>
    </row>
    <row r="61" spans="1:40" s="175" customFormat="1" ht="12" customHeight="1">
      <c r="A61" s="174">
        <v>59</v>
      </c>
      <c r="B61" s="174" t="s">
        <v>219</v>
      </c>
      <c r="C61" s="174" t="s">
        <v>538</v>
      </c>
      <c r="D61" s="174" t="s">
        <v>539</v>
      </c>
      <c r="E61" s="174" t="s">
        <v>399</v>
      </c>
      <c r="F61" s="174" t="e">
        <f>VLOOKUP(E61,'95 Chỉ tiêu'!$B$4:$F$177,2,0)</f>
        <v>#N/A</v>
      </c>
      <c r="G61" s="174" t="s">
        <v>111</v>
      </c>
      <c r="H61" s="174" t="s">
        <v>415</v>
      </c>
      <c r="I61" s="174" t="s">
        <v>865</v>
      </c>
      <c r="J61" s="174" t="s">
        <v>866</v>
      </c>
      <c r="K61" s="174" t="s">
        <v>867</v>
      </c>
      <c r="L61" s="174" t="s">
        <v>543</v>
      </c>
      <c r="M61" s="176" t="s">
        <v>868</v>
      </c>
      <c r="N61" s="176" t="s">
        <v>788</v>
      </c>
      <c r="O61" s="176" t="s">
        <v>766</v>
      </c>
      <c r="P61" s="176" t="s">
        <v>767</v>
      </c>
      <c r="Q61" s="174" t="s">
        <v>548</v>
      </c>
      <c r="R61" s="174" t="s">
        <v>66</v>
      </c>
      <c r="S61" s="174"/>
      <c r="T61" s="174"/>
      <c r="U61" s="174"/>
      <c r="V61" s="174"/>
      <c r="W61" s="174"/>
      <c r="X61" s="174"/>
      <c r="Y61" s="174"/>
      <c r="Z61" s="174"/>
      <c r="AA61" s="174"/>
      <c r="AB61" s="174"/>
      <c r="AC61" s="174"/>
      <c r="AD61" s="174"/>
      <c r="AE61" s="174"/>
      <c r="AF61" s="174"/>
      <c r="AG61" s="174"/>
      <c r="AH61" s="174"/>
      <c r="AI61" s="174"/>
      <c r="AJ61" s="174" t="s">
        <v>416</v>
      </c>
      <c r="AK61" s="174" t="s">
        <v>415</v>
      </c>
      <c r="AL61" s="174" t="s">
        <v>864</v>
      </c>
      <c r="AM61" s="181" t="s">
        <v>554</v>
      </c>
      <c r="AN61" s="192"/>
    </row>
    <row r="62" spans="1:40" s="175" customFormat="1" ht="12" customHeight="1">
      <c r="A62" s="174">
        <v>60</v>
      </c>
      <c r="B62" s="174" t="s">
        <v>219</v>
      </c>
      <c r="C62" s="174" t="s">
        <v>538</v>
      </c>
      <c r="D62" s="174" t="s">
        <v>539</v>
      </c>
      <c r="E62" s="174" t="s">
        <v>399</v>
      </c>
      <c r="F62" s="174" t="e">
        <f>VLOOKUP(E62,'95 Chỉ tiêu'!$B$4:$F$177,2,0)</f>
        <v>#N/A</v>
      </c>
      <c r="G62" s="174" t="s">
        <v>111</v>
      </c>
      <c r="H62" s="174" t="s">
        <v>415</v>
      </c>
      <c r="I62" s="174" t="s">
        <v>869</v>
      </c>
      <c r="J62" s="174" t="s">
        <v>870</v>
      </c>
      <c r="K62" s="174" t="s">
        <v>871</v>
      </c>
      <c r="L62" s="174" t="s">
        <v>543</v>
      </c>
      <c r="M62" s="176" t="s">
        <v>872</v>
      </c>
      <c r="N62" s="174" t="s">
        <v>873</v>
      </c>
      <c r="O62" s="174" t="s">
        <v>781</v>
      </c>
      <c r="P62" s="176" t="s">
        <v>767</v>
      </c>
      <c r="Q62" s="176" t="s">
        <v>874</v>
      </c>
      <c r="R62" s="174" t="s">
        <v>66</v>
      </c>
      <c r="S62" s="174"/>
      <c r="T62" s="174"/>
      <c r="U62" s="174"/>
      <c r="V62" s="174"/>
      <c r="W62" s="174"/>
      <c r="X62" s="174"/>
      <c r="Y62" s="174"/>
      <c r="Z62" s="174"/>
      <c r="AA62" s="174"/>
      <c r="AB62" s="174"/>
      <c r="AC62" s="174"/>
      <c r="AD62" s="174"/>
      <c r="AE62" s="174"/>
      <c r="AF62" s="174"/>
      <c r="AG62" s="174"/>
      <c r="AH62" s="174"/>
      <c r="AI62" s="174"/>
      <c r="AJ62" s="174" t="s">
        <v>416</v>
      </c>
      <c r="AK62" s="174" t="s">
        <v>415</v>
      </c>
      <c r="AL62" s="174" t="s">
        <v>864</v>
      </c>
      <c r="AM62" s="181" t="s">
        <v>554</v>
      </c>
      <c r="AN62" s="192"/>
    </row>
    <row r="63" spans="1:40" s="175" customFormat="1" ht="12" customHeight="1">
      <c r="A63" s="174">
        <v>61</v>
      </c>
      <c r="B63" s="174" t="s">
        <v>219</v>
      </c>
      <c r="C63" s="174" t="s">
        <v>538</v>
      </c>
      <c r="D63" s="174" t="s">
        <v>539</v>
      </c>
      <c r="E63" s="174" t="s">
        <v>399</v>
      </c>
      <c r="F63" s="174" t="e">
        <f>VLOOKUP(E63,'95 Chỉ tiêu'!$B$4:$F$177,2,0)</f>
        <v>#N/A</v>
      </c>
      <c r="G63" s="174" t="s">
        <v>111</v>
      </c>
      <c r="H63" s="174" t="s">
        <v>415</v>
      </c>
      <c r="I63" s="174" t="s">
        <v>875</v>
      </c>
      <c r="J63" s="174" t="s">
        <v>876</v>
      </c>
      <c r="K63" s="174" t="s">
        <v>877</v>
      </c>
      <c r="L63" s="174" t="s">
        <v>543</v>
      </c>
      <c r="M63" s="174" t="s">
        <v>878</v>
      </c>
      <c r="N63" s="174" t="s">
        <v>879</v>
      </c>
      <c r="O63" s="174" t="s">
        <v>781</v>
      </c>
      <c r="P63" s="176" t="s">
        <v>767</v>
      </c>
      <c r="Q63" s="176" t="s">
        <v>874</v>
      </c>
      <c r="R63" s="174" t="s">
        <v>66</v>
      </c>
      <c r="S63" s="174"/>
      <c r="T63" s="174"/>
      <c r="U63" s="174"/>
      <c r="V63" s="174"/>
      <c r="W63" s="174"/>
      <c r="X63" s="174"/>
      <c r="Y63" s="174"/>
      <c r="Z63" s="174"/>
      <c r="AA63" s="174"/>
      <c r="AB63" s="174"/>
      <c r="AC63" s="174"/>
      <c r="AD63" s="174"/>
      <c r="AE63" s="174"/>
      <c r="AF63" s="174"/>
      <c r="AG63" s="174"/>
      <c r="AH63" s="174"/>
      <c r="AI63" s="174"/>
      <c r="AJ63" s="174" t="s">
        <v>416</v>
      </c>
      <c r="AK63" s="174" t="s">
        <v>415</v>
      </c>
      <c r="AL63" s="174" t="s">
        <v>864</v>
      </c>
      <c r="AM63" s="181" t="s">
        <v>600</v>
      </c>
      <c r="AN63" s="192"/>
    </row>
    <row r="64" spans="1:40" s="175" customFormat="1" ht="12" customHeight="1">
      <c r="A64" s="174">
        <v>62</v>
      </c>
      <c r="B64" s="174" t="s">
        <v>219</v>
      </c>
      <c r="C64" s="174" t="s">
        <v>538</v>
      </c>
      <c r="D64" s="174" t="s">
        <v>539</v>
      </c>
      <c r="E64" s="174" t="s">
        <v>399</v>
      </c>
      <c r="F64" s="174" t="e">
        <f>VLOOKUP(E64,'95 Chỉ tiêu'!$B$4:$F$177,2,0)</f>
        <v>#N/A</v>
      </c>
      <c r="G64" s="174" t="s">
        <v>111</v>
      </c>
      <c r="H64" s="174" t="s">
        <v>415</v>
      </c>
      <c r="I64" s="174" t="s">
        <v>880</v>
      </c>
      <c r="J64" s="174" t="s">
        <v>881</v>
      </c>
      <c r="K64" s="174" t="s">
        <v>882</v>
      </c>
      <c r="L64" s="174" t="s">
        <v>543</v>
      </c>
      <c r="M64" s="174" t="s">
        <v>883</v>
      </c>
      <c r="N64" s="174" t="s">
        <v>884</v>
      </c>
      <c r="O64" s="174" t="s">
        <v>807</v>
      </c>
      <c r="P64" s="174" t="s">
        <v>65</v>
      </c>
      <c r="Q64" s="176" t="s">
        <v>874</v>
      </c>
      <c r="R64" s="174" t="s">
        <v>66</v>
      </c>
      <c r="S64" s="174"/>
      <c r="T64" s="174"/>
      <c r="U64" s="174"/>
      <c r="V64" s="174"/>
      <c r="W64" s="174"/>
      <c r="X64" s="174"/>
      <c r="Y64" s="174"/>
      <c r="Z64" s="174"/>
      <c r="AA64" s="174"/>
      <c r="AB64" s="174"/>
      <c r="AC64" s="174"/>
      <c r="AD64" s="174"/>
      <c r="AE64" s="174"/>
      <c r="AF64" s="174"/>
      <c r="AG64" s="174"/>
      <c r="AH64" s="174"/>
      <c r="AI64" s="174"/>
      <c r="AJ64" s="174" t="s">
        <v>416</v>
      </c>
      <c r="AK64" s="174" t="s">
        <v>415</v>
      </c>
      <c r="AL64" s="174" t="s">
        <v>864</v>
      </c>
      <c r="AM64" s="181" t="s">
        <v>655</v>
      </c>
      <c r="AN64" s="192"/>
    </row>
    <row r="65" spans="1:40" s="175" customFormat="1" ht="12" customHeight="1">
      <c r="A65" s="174">
        <v>63</v>
      </c>
      <c r="B65" s="174" t="s">
        <v>219</v>
      </c>
      <c r="C65" s="174" t="s">
        <v>538</v>
      </c>
      <c r="D65" s="174" t="s">
        <v>539</v>
      </c>
      <c r="E65" s="174" t="s">
        <v>399</v>
      </c>
      <c r="F65" s="174" t="e">
        <f>VLOOKUP(E65,'95 Chỉ tiêu'!$B$4:$F$177,2,0)</f>
        <v>#N/A</v>
      </c>
      <c r="G65" s="174" t="s">
        <v>111</v>
      </c>
      <c r="H65" s="174" t="s">
        <v>415</v>
      </c>
      <c r="I65" s="174" t="s">
        <v>885</v>
      </c>
      <c r="J65" s="174" t="s">
        <v>886</v>
      </c>
      <c r="K65" s="174" t="s">
        <v>887</v>
      </c>
      <c r="L65" s="174" t="s">
        <v>543</v>
      </c>
      <c r="M65" s="174" t="s">
        <v>888</v>
      </c>
      <c r="N65" s="174" t="s">
        <v>879</v>
      </c>
      <c r="O65" s="174" t="s">
        <v>781</v>
      </c>
      <c r="P65" s="176" t="s">
        <v>767</v>
      </c>
      <c r="Q65" s="176" t="s">
        <v>874</v>
      </c>
      <c r="R65" s="174" t="s">
        <v>66</v>
      </c>
      <c r="S65" s="174"/>
      <c r="T65" s="174"/>
      <c r="U65" s="174"/>
      <c r="V65" s="174"/>
      <c r="W65" s="174"/>
      <c r="X65" s="174"/>
      <c r="Y65" s="174"/>
      <c r="Z65" s="174"/>
      <c r="AA65" s="174"/>
      <c r="AB65" s="174"/>
      <c r="AC65" s="174"/>
      <c r="AD65" s="174"/>
      <c r="AE65" s="174"/>
      <c r="AF65" s="174"/>
      <c r="AG65" s="174"/>
      <c r="AH65" s="174"/>
      <c r="AI65" s="174"/>
      <c r="AJ65" s="174" t="s">
        <v>416</v>
      </c>
      <c r="AK65" s="174" t="s">
        <v>415</v>
      </c>
      <c r="AL65" s="174" t="s">
        <v>864</v>
      </c>
      <c r="AM65" s="181" t="s">
        <v>755</v>
      </c>
      <c r="AN65" s="192"/>
    </row>
    <row r="66" spans="1:40" s="175" customFormat="1" ht="12" customHeight="1">
      <c r="A66" s="174">
        <v>64</v>
      </c>
      <c r="B66" s="174" t="s">
        <v>219</v>
      </c>
      <c r="C66" s="174" t="s">
        <v>538</v>
      </c>
      <c r="D66" s="174" t="s">
        <v>539</v>
      </c>
      <c r="E66" s="174" t="s">
        <v>399</v>
      </c>
      <c r="F66" s="174" t="e">
        <f>VLOOKUP(E66,'95 Chỉ tiêu'!$B$4:$F$177,2,0)</f>
        <v>#N/A</v>
      </c>
      <c r="G66" s="174" t="s">
        <v>111</v>
      </c>
      <c r="H66" s="174" t="s">
        <v>415</v>
      </c>
      <c r="I66" s="174" t="s">
        <v>889</v>
      </c>
      <c r="J66" s="174" t="s">
        <v>890</v>
      </c>
      <c r="K66" s="174" t="s">
        <v>891</v>
      </c>
      <c r="L66" s="174" t="s">
        <v>543</v>
      </c>
      <c r="M66" s="174" t="s">
        <v>892</v>
      </c>
      <c r="N66" s="174" t="s">
        <v>879</v>
      </c>
      <c r="O66" s="174" t="s">
        <v>781</v>
      </c>
      <c r="P66" s="176" t="s">
        <v>767</v>
      </c>
      <c r="Q66" s="176" t="s">
        <v>874</v>
      </c>
      <c r="R66" s="174" t="s">
        <v>66</v>
      </c>
      <c r="S66" s="174"/>
      <c r="T66" s="174"/>
      <c r="U66" s="174"/>
      <c r="V66" s="174"/>
      <c r="W66" s="174"/>
      <c r="X66" s="174"/>
      <c r="Y66" s="174"/>
      <c r="Z66" s="174"/>
      <c r="AA66" s="174"/>
      <c r="AB66" s="174"/>
      <c r="AC66" s="174"/>
      <c r="AD66" s="174"/>
      <c r="AE66" s="174"/>
      <c r="AF66" s="174"/>
      <c r="AG66" s="174"/>
      <c r="AH66" s="174"/>
      <c r="AI66" s="174"/>
      <c r="AJ66" s="174" t="s">
        <v>416</v>
      </c>
      <c r="AK66" s="174" t="s">
        <v>415</v>
      </c>
      <c r="AL66" s="174" t="s">
        <v>864</v>
      </c>
      <c r="AM66" s="181" t="s">
        <v>582</v>
      </c>
      <c r="AN66" s="192"/>
    </row>
    <row r="67" spans="1:40" s="175" customFormat="1" ht="12" customHeight="1">
      <c r="A67" s="174">
        <v>65</v>
      </c>
      <c r="B67" s="174" t="s">
        <v>219</v>
      </c>
      <c r="C67" s="174" t="s">
        <v>538</v>
      </c>
      <c r="D67" s="174" t="s">
        <v>539</v>
      </c>
      <c r="E67" s="174" t="s">
        <v>399</v>
      </c>
      <c r="F67" s="174" t="e">
        <f>VLOOKUP(E67,'95 Chỉ tiêu'!$B$4:$F$177,2,0)</f>
        <v>#N/A</v>
      </c>
      <c r="G67" s="174" t="s">
        <v>111</v>
      </c>
      <c r="H67" s="174" t="s">
        <v>415</v>
      </c>
      <c r="I67" s="174" t="s">
        <v>893</v>
      </c>
      <c r="J67" s="174" t="s">
        <v>894</v>
      </c>
      <c r="K67" s="174" t="s">
        <v>895</v>
      </c>
      <c r="L67" s="174" t="s">
        <v>543</v>
      </c>
      <c r="M67" s="174" t="s">
        <v>896</v>
      </c>
      <c r="N67" s="174" t="s">
        <v>788</v>
      </c>
      <c r="O67" s="176" t="s">
        <v>766</v>
      </c>
      <c r="P67" s="174" t="s">
        <v>897</v>
      </c>
      <c r="Q67" s="174" t="s">
        <v>548</v>
      </c>
      <c r="R67" s="174" t="s">
        <v>66</v>
      </c>
      <c r="S67" s="174"/>
      <c r="T67" s="174"/>
      <c r="U67" s="174"/>
      <c r="V67" s="174"/>
      <c r="W67" s="174"/>
      <c r="X67" s="174"/>
      <c r="Y67" s="174"/>
      <c r="Z67" s="174"/>
      <c r="AA67" s="174"/>
      <c r="AB67" s="174"/>
      <c r="AC67" s="174"/>
      <c r="AD67" s="174"/>
      <c r="AE67" s="174"/>
      <c r="AF67" s="174"/>
      <c r="AG67" s="174"/>
      <c r="AH67" s="174"/>
      <c r="AI67" s="174"/>
      <c r="AJ67" s="174" t="s">
        <v>416</v>
      </c>
      <c r="AK67" s="174" t="s">
        <v>415</v>
      </c>
      <c r="AL67" s="174" t="s">
        <v>898</v>
      </c>
      <c r="AM67" s="181" t="s">
        <v>554</v>
      </c>
      <c r="AN67" s="192"/>
    </row>
    <row r="68" spans="1:40" s="175" customFormat="1" ht="12" customHeight="1">
      <c r="A68" s="174">
        <v>66</v>
      </c>
      <c r="B68" s="174" t="s">
        <v>219</v>
      </c>
      <c r="C68" s="174" t="s">
        <v>538</v>
      </c>
      <c r="D68" s="174" t="s">
        <v>539</v>
      </c>
      <c r="E68" s="174" t="s">
        <v>399</v>
      </c>
      <c r="F68" s="174" t="e">
        <f>VLOOKUP(E68,'95 Chỉ tiêu'!$B$4:$F$177,2,0)</f>
        <v>#N/A</v>
      </c>
      <c r="G68" s="174" t="s">
        <v>111</v>
      </c>
      <c r="H68" s="174" t="s">
        <v>415</v>
      </c>
      <c r="I68" s="174" t="s">
        <v>899</v>
      </c>
      <c r="J68" s="174" t="s">
        <v>900</v>
      </c>
      <c r="K68" s="174" t="s">
        <v>901</v>
      </c>
      <c r="L68" s="174" t="s">
        <v>543</v>
      </c>
      <c r="M68" s="174" t="s">
        <v>902</v>
      </c>
      <c r="N68" s="174" t="s">
        <v>788</v>
      </c>
      <c r="O68" s="176" t="s">
        <v>766</v>
      </c>
      <c r="P68" s="174" t="s">
        <v>897</v>
      </c>
      <c r="Q68" s="174" t="s">
        <v>548</v>
      </c>
      <c r="R68" s="174" t="s">
        <v>66</v>
      </c>
      <c r="S68" s="174"/>
      <c r="T68" s="174"/>
      <c r="U68" s="174"/>
      <c r="V68" s="174"/>
      <c r="W68" s="174"/>
      <c r="X68" s="174"/>
      <c r="Y68" s="174"/>
      <c r="Z68" s="174"/>
      <c r="AA68" s="174"/>
      <c r="AB68" s="174"/>
      <c r="AC68" s="174"/>
      <c r="AD68" s="174"/>
      <c r="AE68" s="174"/>
      <c r="AF68" s="174"/>
      <c r="AG68" s="174"/>
      <c r="AH68" s="174"/>
      <c r="AI68" s="174"/>
      <c r="AJ68" s="174" t="s">
        <v>416</v>
      </c>
      <c r="AK68" s="174" t="s">
        <v>415</v>
      </c>
      <c r="AL68" s="174" t="s">
        <v>898</v>
      </c>
      <c r="AM68" s="181" t="s">
        <v>554</v>
      </c>
      <c r="AN68" s="192"/>
    </row>
    <row r="69" spans="1:40" s="175" customFormat="1" ht="12" customHeight="1">
      <c r="A69" s="174">
        <v>67</v>
      </c>
      <c r="B69" s="174" t="s">
        <v>219</v>
      </c>
      <c r="C69" s="174" t="s">
        <v>538</v>
      </c>
      <c r="D69" s="174" t="s">
        <v>539</v>
      </c>
      <c r="E69" s="174" t="s">
        <v>399</v>
      </c>
      <c r="F69" s="174" t="e">
        <f>VLOOKUP(E69,'95 Chỉ tiêu'!$B$4:$F$177,2,0)</f>
        <v>#N/A</v>
      </c>
      <c r="G69" s="174" t="s">
        <v>111</v>
      </c>
      <c r="H69" s="174" t="s">
        <v>415</v>
      </c>
      <c r="I69" s="174" t="s">
        <v>903</v>
      </c>
      <c r="J69" s="174" t="s">
        <v>904</v>
      </c>
      <c r="K69" s="174" t="s">
        <v>871</v>
      </c>
      <c r="L69" s="174" t="s">
        <v>543</v>
      </c>
      <c r="M69" s="174" t="s">
        <v>905</v>
      </c>
      <c r="N69" s="174" t="s">
        <v>873</v>
      </c>
      <c r="O69" s="174" t="s">
        <v>781</v>
      </c>
      <c r="P69" s="174" t="s">
        <v>897</v>
      </c>
      <c r="Q69" s="176" t="s">
        <v>874</v>
      </c>
      <c r="R69" s="174" t="s">
        <v>66</v>
      </c>
      <c r="S69" s="174"/>
      <c r="T69" s="174"/>
      <c r="U69" s="174"/>
      <c r="V69" s="174"/>
      <c r="W69" s="174"/>
      <c r="X69" s="174"/>
      <c r="Y69" s="174"/>
      <c r="Z69" s="174"/>
      <c r="AA69" s="174"/>
      <c r="AB69" s="174"/>
      <c r="AC69" s="174"/>
      <c r="AD69" s="174"/>
      <c r="AE69" s="174"/>
      <c r="AF69" s="174"/>
      <c r="AG69" s="174"/>
      <c r="AH69" s="174"/>
      <c r="AI69" s="174"/>
      <c r="AJ69" s="174" t="s">
        <v>416</v>
      </c>
      <c r="AK69" s="174" t="s">
        <v>415</v>
      </c>
      <c r="AL69" s="174" t="s">
        <v>898</v>
      </c>
      <c r="AM69" s="181" t="s">
        <v>554</v>
      </c>
      <c r="AN69" s="192"/>
    </row>
    <row r="70" spans="1:40" s="175" customFormat="1" ht="12" customHeight="1">
      <c r="A70" s="174">
        <v>68</v>
      </c>
      <c r="B70" s="174" t="s">
        <v>219</v>
      </c>
      <c r="C70" s="174" t="s">
        <v>538</v>
      </c>
      <c r="D70" s="174" t="s">
        <v>539</v>
      </c>
      <c r="E70" s="174" t="s">
        <v>399</v>
      </c>
      <c r="F70" s="174" t="e">
        <f>VLOOKUP(E70,'95 Chỉ tiêu'!$B$4:$F$177,2,0)</f>
        <v>#N/A</v>
      </c>
      <c r="G70" s="174" t="s">
        <v>111</v>
      </c>
      <c r="H70" s="174" t="s">
        <v>415</v>
      </c>
      <c r="I70" s="174" t="s">
        <v>906</v>
      </c>
      <c r="J70" s="174" t="s">
        <v>876</v>
      </c>
      <c r="K70" s="174" t="s">
        <v>907</v>
      </c>
      <c r="L70" s="174" t="s">
        <v>543</v>
      </c>
      <c r="M70" s="174" t="s">
        <v>908</v>
      </c>
      <c r="N70" s="174" t="s">
        <v>909</v>
      </c>
      <c r="O70" s="174" t="s">
        <v>781</v>
      </c>
      <c r="P70" s="174" t="s">
        <v>897</v>
      </c>
      <c r="Q70" s="176" t="s">
        <v>874</v>
      </c>
      <c r="R70" s="174" t="s">
        <v>66</v>
      </c>
      <c r="S70" s="174"/>
      <c r="T70" s="174"/>
      <c r="U70" s="174"/>
      <c r="V70" s="174"/>
      <c r="W70" s="174"/>
      <c r="X70" s="174"/>
      <c r="Y70" s="174"/>
      <c r="Z70" s="174"/>
      <c r="AA70" s="174"/>
      <c r="AB70" s="174"/>
      <c r="AC70" s="174"/>
      <c r="AD70" s="174"/>
      <c r="AE70" s="174"/>
      <c r="AF70" s="174"/>
      <c r="AG70" s="174"/>
      <c r="AH70" s="174"/>
      <c r="AI70" s="174"/>
      <c r="AJ70" s="174" t="s">
        <v>416</v>
      </c>
      <c r="AK70" s="174" t="s">
        <v>415</v>
      </c>
      <c r="AL70" s="174" t="s">
        <v>898</v>
      </c>
      <c r="AM70" s="181" t="s">
        <v>600</v>
      </c>
      <c r="AN70" s="192"/>
    </row>
    <row r="71" spans="1:40" s="175" customFormat="1" ht="12" customHeight="1">
      <c r="A71" s="174">
        <v>69</v>
      </c>
      <c r="B71" s="174" t="s">
        <v>219</v>
      </c>
      <c r="C71" s="174" t="s">
        <v>538</v>
      </c>
      <c r="D71" s="174" t="s">
        <v>539</v>
      </c>
      <c r="E71" s="174" t="s">
        <v>399</v>
      </c>
      <c r="F71" s="174" t="e">
        <f>VLOOKUP(E71,'95 Chỉ tiêu'!$B$4:$F$177,2,0)</f>
        <v>#N/A</v>
      </c>
      <c r="G71" s="174" t="s">
        <v>111</v>
      </c>
      <c r="H71" s="174" t="s">
        <v>415</v>
      </c>
      <c r="I71" s="174" t="s">
        <v>910</v>
      </c>
      <c r="J71" s="174" t="s">
        <v>911</v>
      </c>
      <c r="K71" s="174" t="s">
        <v>912</v>
      </c>
      <c r="L71" s="174" t="s">
        <v>543</v>
      </c>
      <c r="M71" s="174" t="s">
        <v>913</v>
      </c>
      <c r="N71" s="174" t="s">
        <v>914</v>
      </c>
      <c r="O71" s="174" t="s">
        <v>807</v>
      </c>
      <c r="P71" s="174" t="s">
        <v>65</v>
      </c>
      <c r="Q71" s="176" t="s">
        <v>874</v>
      </c>
      <c r="R71" s="174" t="s">
        <v>66</v>
      </c>
      <c r="S71" s="174"/>
      <c r="T71" s="174"/>
      <c r="U71" s="174"/>
      <c r="V71" s="174"/>
      <c r="W71" s="174"/>
      <c r="X71" s="174"/>
      <c r="Y71" s="174"/>
      <c r="Z71" s="174"/>
      <c r="AA71" s="174"/>
      <c r="AB71" s="174"/>
      <c r="AC71" s="174"/>
      <c r="AD71" s="174"/>
      <c r="AE71" s="174"/>
      <c r="AF71" s="174"/>
      <c r="AG71" s="174"/>
      <c r="AH71" s="174"/>
      <c r="AI71" s="174"/>
      <c r="AJ71" s="174" t="s">
        <v>416</v>
      </c>
      <c r="AK71" s="174" t="s">
        <v>415</v>
      </c>
      <c r="AL71" s="174" t="s">
        <v>898</v>
      </c>
      <c r="AM71" s="181" t="s">
        <v>655</v>
      </c>
      <c r="AN71" s="192"/>
    </row>
    <row r="72" spans="1:40" s="175" customFormat="1" ht="12" customHeight="1">
      <c r="A72" s="174">
        <v>70</v>
      </c>
      <c r="B72" s="174" t="s">
        <v>219</v>
      </c>
      <c r="C72" s="174" t="s">
        <v>538</v>
      </c>
      <c r="D72" s="174" t="s">
        <v>539</v>
      </c>
      <c r="E72" s="174" t="s">
        <v>399</v>
      </c>
      <c r="F72" s="174" t="e">
        <f>VLOOKUP(E72,'95 Chỉ tiêu'!$B$4:$F$177,2,0)</f>
        <v>#N/A</v>
      </c>
      <c r="G72" s="174" t="s">
        <v>111</v>
      </c>
      <c r="H72" s="174" t="s">
        <v>415</v>
      </c>
      <c r="I72" s="174" t="s">
        <v>915</v>
      </c>
      <c r="J72" s="174" t="s">
        <v>916</v>
      </c>
      <c r="K72" s="174" t="s">
        <v>887</v>
      </c>
      <c r="L72" s="174" t="s">
        <v>543</v>
      </c>
      <c r="M72" s="174" t="s">
        <v>917</v>
      </c>
      <c r="N72" s="174" t="s">
        <v>909</v>
      </c>
      <c r="O72" s="174" t="s">
        <v>781</v>
      </c>
      <c r="P72" s="174" t="s">
        <v>897</v>
      </c>
      <c r="Q72" s="176" t="s">
        <v>874</v>
      </c>
      <c r="R72" s="174" t="s">
        <v>66</v>
      </c>
      <c r="S72" s="174"/>
      <c r="T72" s="174"/>
      <c r="U72" s="174"/>
      <c r="V72" s="174"/>
      <c r="W72" s="174"/>
      <c r="X72" s="174"/>
      <c r="Y72" s="174"/>
      <c r="Z72" s="174"/>
      <c r="AA72" s="174"/>
      <c r="AB72" s="174"/>
      <c r="AC72" s="174"/>
      <c r="AD72" s="174"/>
      <c r="AE72" s="174"/>
      <c r="AF72" s="174"/>
      <c r="AG72" s="174"/>
      <c r="AH72" s="174"/>
      <c r="AI72" s="174"/>
      <c r="AJ72" s="174" t="s">
        <v>416</v>
      </c>
      <c r="AK72" s="174" t="s">
        <v>415</v>
      </c>
      <c r="AL72" s="174" t="s">
        <v>898</v>
      </c>
      <c r="AM72" s="181" t="s">
        <v>755</v>
      </c>
      <c r="AN72" s="192"/>
    </row>
    <row r="73" spans="1:40" s="175" customFormat="1" ht="12" customHeight="1">
      <c r="A73" s="174">
        <v>71</v>
      </c>
      <c r="B73" s="174" t="s">
        <v>219</v>
      </c>
      <c r="C73" s="174" t="s">
        <v>538</v>
      </c>
      <c r="D73" s="174" t="s">
        <v>539</v>
      </c>
      <c r="E73" s="174" t="s">
        <v>399</v>
      </c>
      <c r="F73" s="174" t="e">
        <f>VLOOKUP(E73,'95 Chỉ tiêu'!$B$4:$F$177,2,0)</f>
        <v>#N/A</v>
      </c>
      <c r="G73" s="174" t="s">
        <v>111</v>
      </c>
      <c r="H73" s="174" t="s">
        <v>415</v>
      </c>
      <c r="I73" s="174" t="s">
        <v>918</v>
      </c>
      <c r="J73" s="174" t="s">
        <v>919</v>
      </c>
      <c r="K73" s="174" t="s">
        <v>891</v>
      </c>
      <c r="L73" s="174" t="s">
        <v>543</v>
      </c>
      <c r="M73" s="174" t="s">
        <v>920</v>
      </c>
      <c r="N73" s="174" t="s">
        <v>909</v>
      </c>
      <c r="O73" s="174" t="s">
        <v>781</v>
      </c>
      <c r="P73" s="174" t="s">
        <v>897</v>
      </c>
      <c r="Q73" s="176" t="s">
        <v>874</v>
      </c>
      <c r="R73" s="174" t="s">
        <v>66</v>
      </c>
      <c r="S73" s="174"/>
      <c r="T73" s="174"/>
      <c r="U73" s="174"/>
      <c r="V73" s="174"/>
      <c r="W73" s="174"/>
      <c r="X73" s="174"/>
      <c r="Y73" s="174"/>
      <c r="Z73" s="174"/>
      <c r="AA73" s="174"/>
      <c r="AB73" s="174"/>
      <c r="AC73" s="174"/>
      <c r="AD73" s="174"/>
      <c r="AE73" s="174"/>
      <c r="AF73" s="174"/>
      <c r="AG73" s="174"/>
      <c r="AH73" s="174"/>
      <c r="AI73" s="174"/>
      <c r="AJ73" s="174" t="s">
        <v>416</v>
      </c>
      <c r="AK73" s="174" t="s">
        <v>415</v>
      </c>
      <c r="AL73" s="174" t="s">
        <v>898</v>
      </c>
      <c r="AM73" s="181" t="s">
        <v>582</v>
      </c>
      <c r="AN73" s="192"/>
    </row>
    <row r="74" spans="1:40" s="175" customFormat="1" ht="12" customHeight="1">
      <c r="A74" s="174">
        <v>72</v>
      </c>
      <c r="B74" s="174" t="s">
        <v>219</v>
      </c>
      <c r="C74" s="174" t="s">
        <v>538</v>
      </c>
      <c r="D74" s="174" t="s">
        <v>539</v>
      </c>
      <c r="E74" s="174" t="s">
        <v>399</v>
      </c>
      <c r="F74" s="174" t="e">
        <f>VLOOKUP(E74,'95 Chỉ tiêu'!$B$4:$F$177,2,0)</f>
        <v>#N/A</v>
      </c>
      <c r="G74" s="174" t="s">
        <v>111</v>
      </c>
      <c r="H74" s="174" t="s">
        <v>415</v>
      </c>
      <c r="I74" s="174" t="s">
        <v>921</v>
      </c>
      <c r="J74" s="174" t="s">
        <v>922</v>
      </c>
      <c r="K74" s="174" t="s">
        <v>923</v>
      </c>
      <c r="L74" s="174" t="s">
        <v>543</v>
      </c>
      <c r="M74" s="174" t="s">
        <v>924</v>
      </c>
      <c r="N74" s="174" t="s">
        <v>925</v>
      </c>
      <c r="O74" s="176" t="s">
        <v>766</v>
      </c>
      <c r="P74" s="174" t="s">
        <v>897</v>
      </c>
      <c r="Q74" s="174" t="s">
        <v>548</v>
      </c>
      <c r="R74" s="174" t="s">
        <v>66</v>
      </c>
      <c r="S74" s="174"/>
      <c r="T74" s="174"/>
      <c r="U74" s="174"/>
      <c r="V74" s="174"/>
      <c r="W74" s="174"/>
      <c r="X74" s="174"/>
      <c r="Y74" s="174"/>
      <c r="Z74" s="174"/>
      <c r="AA74" s="174"/>
      <c r="AB74" s="174"/>
      <c r="AC74" s="174"/>
      <c r="AD74" s="174"/>
      <c r="AE74" s="174"/>
      <c r="AF74" s="174"/>
      <c r="AG74" s="174"/>
      <c r="AH74" s="174"/>
      <c r="AI74" s="174"/>
      <c r="AJ74" s="174" t="s">
        <v>416</v>
      </c>
      <c r="AK74" s="174" t="s">
        <v>415</v>
      </c>
      <c r="AL74" s="174" t="s">
        <v>926</v>
      </c>
      <c r="AM74" s="181" t="s">
        <v>554</v>
      </c>
      <c r="AN74" s="192"/>
    </row>
    <row r="75" spans="1:40" s="175" customFormat="1" ht="12" customHeight="1">
      <c r="A75" s="174">
        <v>73</v>
      </c>
      <c r="B75" s="174" t="s">
        <v>219</v>
      </c>
      <c r="C75" s="174" t="s">
        <v>538</v>
      </c>
      <c r="D75" s="174" t="s">
        <v>539</v>
      </c>
      <c r="E75" s="174" t="s">
        <v>399</v>
      </c>
      <c r="F75" s="174" t="e">
        <f>VLOOKUP(E75,'95 Chỉ tiêu'!$B$4:$F$177,2,0)</f>
        <v>#N/A</v>
      </c>
      <c r="G75" s="174" t="s">
        <v>111</v>
      </c>
      <c r="H75" s="174" t="s">
        <v>415</v>
      </c>
      <c r="I75" s="174" t="s">
        <v>927</v>
      </c>
      <c r="J75" s="174" t="s">
        <v>928</v>
      </c>
      <c r="K75" s="174" t="s">
        <v>929</v>
      </c>
      <c r="L75" s="174" t="s">
        <v>543</v>
      </c>
      <c r="M75" s="174" t="s">
        <v>930</v>
      </c>
      <c r="N75" s="174" t="s">
        <v>931</v>
      </c>
      <c r="O75" s="176" t="s">
        <v>766</v>
      </c>
      <c r="P75" s="174" t="s">
        <v>897</v>
      </c>
      <c r="Q75" s="174" t="s">
        <v>548</v>
      </c>
      <c r="R75" s="174" t="s">
        <v>66</v>
      </c>
      <c r="S75" s="174"/>
      <c r="T75" s="174"/>
      <c r="U75" s="174"/>
      <c r="V75" s="174"/>
      <c r="W75" s="174"/>
      <c r="X75" s="174"/>
      <c r="Y75" s="174"/>
      <c r="Z75" s="174"/>
      <c r="AA75" s="174"/>
      <c r="AB75" s="174"/>
      <c r="AC75" s="174"/>
      <c r="AD75" s="174"/>
      <c r="AE75" s="174"/>
      <c r="AF75" s="174"/>
      <c r="AG75" s="174"/>
      <c r="AH75" s="174"/>
      <c r="AI75" s="174"/>
      <c r="AJ75" s="174" t="s">
        <v>416</v>
      </c>
      <c r="AK75" s="174" t="s">
        <v>415</v>
      </c>
      <c r="AL75" s="174" t="s">
        <v>926</v>
      </c>
      <c r="AM75" s="181" t="s">
        <v>554</v>
      </c>
      <c r="AN75" s="192"/>
    </row>
    <row r="76" spans="1:40" s="175" customFormat="1" ht="12" customHeight="1">
      <c r="A76" s="174">
        <v>74</v>
      </c>
      <c r="B76" s="174" t="s">
        <v>219</v>
      </c>
      <c r="C76" s="174" t="s">
        <v>538</v>
      </c>
      <c r="D76" s="174" t="s">
        <v>539</v>
      </c>
      <c r="E76" s="174" t="s">
        <v>399</v>
      </c>
      <c r="F76" s="174" t="e">
        <f>VLOOKUP(E76,'95 Chỉ tiêu'!$B$4:$F$177,2,0)</f>
        <v>#N/A</v>
      </c>
      <c r="G76" s="174" t="s">
        <v>111</v>
      </c>
      <c r="H76" s="174" t="s">
        <v>415</v>
      </c>
      <c r="I76" s="174" t="s">
        <v>932</v>
      </c>
      <c r="J76" s="174" t="s">
        <v>933</v>
      </c>
      <c r="K76" s="174" t="s">
        <v>934</v>
      </c>
      <c r="L76" s="174" t="s">
        <v>543</v>
      </c>
      <c r="M76" s="174" t="s">
        <v>935</v>
      </c>
      <c r="N76" s="174" t="s">
        <v>909</v>
      </c>
      <c r="O76" s="174" t="s">
        <v>781</v>
      </c>
      <c r="P76" s="174" t="s">
        <v>897</v>
      </c>
      <c r="Q76" s="176" t="s">
        <v>874</v>
      </c>
      <c r="R76" s="174" t="s">
        <v>66</v>
      </c>
      <c r="S76" s="174"/>
      <c r="T76" s="174"/>
      <c r="U76" s="174"/>
      <c r="V76" s="174"/>
      <c r="W76" s="174"/>
      <c r="X76" s="174"/>
      <c r="Y76" s="174"/>
      <c r="Z76" s="174"/>
      <c r="AA76" s="174"/>
      <c r="AB76" s="174"/>
      <c r="AC76" s="174"/>
      <c r="AD76" s="174"/>
      <c r="AE76" s="174"/>
      <c r="AF76" s="174"/>
      <c r="AG76" s="174"/>
      <c r="AH76" s="174"/>
      <c r="AI76" s="174"/>
      <c r="AJ76" s="174" t="s">
        <v>416</v>
      </c>
      <c r="AK76" s="174" t="s">
        <v>415</v>
      </c>
      <c r="AL76" s="174" t="s">
        <v>926</v>
      </c>
      <c r="AM76" s="181" t="s">
        <v>554</v>
      </c>
      <c r="AN76" s="192"/>
    </row>
    <row r="77" spans="1:40" s="175" customFormat="1" ht="12" customHeight="1">
      <c r="A77" s="174">
        <v>75</v>
      </c>
      <c r="B77" s="174" t="s">
        <v>219</v>
      </c>
      <c r="C77" s="174" t="s">
        <v>538</v>
      </c>
      <c r="D77" s="174" t="s">
        <v>539</v>
      </c>
      <c r="E77" s="174" t="s">
        <v>399</v>
      </c>
      <c r="F77" s="174" t="e">
        <f>VLOOKUP(E77,'95 Chỉ tiêu'!$B$4:$F$177,2,0)</f>
        <v>#N/A</v>
      </c>
      <c r="G77" s="174" t="s">
        <v>111</v>
      </c>
      <c r="H77" s="174" t="s">
        <v>415</v>
      </c>
      <c r="I77" s="174" t="s">
        <v>936</v>
      </c>
      <c r="J77" s="174" t="s">
        <v>937</v>
      </c>
      <c r="K77" s="174" t="s">
        <v>938</v>
      </c>
      <c r="L77" s="174" t="s">
        <v>543</v>
      </c>
      <c r="M77" s="174" t="s">
        <v>939</v>
      </c>
      <c r="N77" s="174" t="s">
        <v>940</v>
      </c>
      <c r="O77" s="174" t="s">
        <v>781</v>
      </c>
      <c r="P77" s="174" t="s">
        <v>897</v>
      </c>
      <c r="Q77" s="176" t="s">
        <v>874</v>
      </c>
      <c r="R77" s="174" t="s">
        <v>66</v>
      </c>
      <c r="S77" s="174"/>
      <c r="T77" s="174"/>
      <c r="U77" s="174"/>
      <c r="V77" s="174"/>
      <c r="W77" s="174"/>
      <c r="X77" s="174"/>
      <c r="Y77" s="174"/>
      <c r="Z77" s="174"/>
      <c r="AA77" s="174"/>
      <c r="AB77" s="174"/>
      <c r="AC77" s="174"/>
      <c r="AD77" s="174"/>
      <c r="AE77" s="174"/>
      <c r="AF77" s="174"/>
      <c r="AG77" s="174"/>
      <c r="AH77" s="174"/>
      <c r="AI77" s="174"/>
      <c r="AJ77" s="174" t="s">
        <v>416</v>
      </c>
      <c r="AK77" s="174" t="s">
        <v>415</v>
      </c>
      <c r="AL77" s="174" t="s">
        <v>926</v>
      </c>
      <c r="AM77" s="181" t="s">
        <v>554</v>
      </c>
      <c r="AN77" s="192"/>
    </row>
    <row r="78" spans="1:40" s="175" customFormat="1" ht="12" customHeight="1">
      <c r="A78" s="174">
        <v>76</v>
      </c>
      <c r="B78" s="174" t="s">
        <v>219</v>
      </c>
      <c r="C78" s="174" t="s">
        <v>538</v>
      </c>
      <c r="D78" s="174" t="s">
        <v>539</v>
      </c>
      <c r="E78" s="174" t="s">
        <v>399</v>
      </c>
      <c r="F78" s="174" t="e">
        <f>VLOOKUP(E78,'95 Chỉ tiêu'!$B$4:$F$177,2,0)</f>
        <v>#N/A</v>
      </c>
      <c r="G78" s="174" t="s">
        <v>111</v>
      </c>
      <c r="H78" s="174" t="s">
        <v>415</v>
      </c>
      <c r="I78" s="174" t="s">
        <v>941</v>
      </c>
      <c r="J78" s="174" t="s">
        <v>942</v>
      </c>
      <c r="K78" s="174" t="s">
        <v>943</v>
      </c>
      <c r="L78" s="174" t="s">
        <v>543</v>
      </c>
      <c r="M78" s="174" t="s">
        <v>944</v>
      </c>
      <c r="N78" s="174" t="s">
        <v>945</v>
      </c>
      <c r="O78" s="174" t="s">
        <v>781</v>
      </c>
      <c r="P78" s="174" t="s">
        <v>897</v>
      </c>
      <c r="Q78" s="176" t="s">
        <v>874</v>
      </c>
      <c r="R78" s="174" t="s">
        <v>66</v>
      </c>
      <c r="S78" s="174"/>
      <c r="T78" s="174"/>
      <c r="U78" s="174"/>
      <c r="V78" s="174"/>
      <c r="W78" s="174"/>
      <c r="X78" s="174"/>
      <c r="Y78" s="174"/>
      <c r="Z78" s="174"/>
      <c r="AA78" s="174"/>
      <c r="AB78" s="174"/>
      <c r="AC78" s="174"/>
      <c r="AD78" s="174"/>
      <c r="AE78" s="174"/>
      <c r="AF78" s="174"/>
      <c r="AG78" s="174"/>
      <c r="AH78" s="174"/>
      <c r="AI78" s="174"/>
      <c r="AJ78" s="174" t="s">
        <v>416</v>
      </c>
      <c r="AK78" s="174" t="s">
        <v>415</v>
      </c>
      <c r="AL78" s="174" t="s">
        <v>926</v>
      </c>
      <c r="AM78" s="181" t="s">
        <v>554</v>
      </c>
      <c r="AN78" s="192"/>
    </row>
    <row r="79" spans="1:40" s="175" customFormat="1" ht="12" customHeight="1">
      <c r="A79" s="174">
        <v>77</v>
      </c>
      <c r="B79" s="174" t="s">
        <v>219</v>
      </c>
      <c r="C79" s="174" t="s">
        <v>538</v>
      </c>
      <c r="D79" s="174" t="s">
        <v>539</v>
      </c>
      <c r="E79" s="174" t="s">
        <v>399</v>
      </c>
      <c r="F79" s="174" t="e">
        <f>VLOOKUP(E79,'95 Chỉ tiêu'!$B$4:$F$177,2,0)</f>
        <v>#N/A</v>
      </c>
      <c r="G79" s="174" t="s">
        <v>111</v>
      </c>
      <c r="H79" s="174" t="s">
        <v>415</v>
      </c>
      <c r="I79" s="174" t="s">
        <v>946</v>
      </c>
      <c r="J79" s="174" t="s">
        <v>947</v>
      </c>
      <c r="K79" s="174" t="s">
        <v>948</v>
      </c>
      <c r="L79" s="174" t="s">
        <v>543</v>
      </c>
      <c r="M79" s="174" t="s">
        <v>949</v>
      </c>
      <c r="N79" s="174" t="s">
        <v>909</v>
      </c>
      <c r="O79" s="174" t="s">
        <v>781</v>
      </c>
      <c r="P79" s="174" t="s">
        <v>897</v>
      </c>
      <c r="Q79" s="176" t="s">
        <v>874</v>
      </c>
      <c r="R79" s="174" t="s">
        <v>66</v>
      </c>
      <c r="S79" s="174"/>
      <c r="T79" s="174"/>
      <c r="U79" s="174"/>
      <c r="V79" s="174"/>
      <c r="W79" s="174"/>
      <c r="X79" s="174"/>
      <c r="Y79" s="174"/>
      <c r="Z79" s="174"/>
      <c r="AA79" s="174"/>
      <c r="AB79" s="174"/>
      <c r="AC79" s="174"/>
      <c r="AD79" s="174"/>
      <c r="AE79" s="174"/>
      <c r="AF79" s="174"/>
      <c r="AG79" s="174"/>
      <c r="AH79" s="174"/>
      <c r="AI79" s="174"/>
      <c r="AJ79" s="174" t="s">
        <v>416</v>
      </c>
      <c r="AK79" s="174" t="s">
        <v>415</v>
      </c>
      <c r="AL79" s="174" t="s">
        <v>926</v>
      </c>
      <c r="AM79" s="181" t="s">
        <v>600</v>
      </c>
      <c r="AN79" s="192"/>
    </row>
    <row r="80" spans="1:40" s="175" customFormat="1" ht="12" customHeight="1">
      <c r="A80" s="174">
        <v>78</v>
      </c>
      <c r="B80" s="174" t="s">
        <v>219</v>
      </c>
      <c r="C80" s="174" t="s">
        <v>538</v>
      </c>
      <c r="D80" s="174" t="s">
        <v>539</v>
      </c>
      <c r="E80" s="174" t="s">
        <v>399</v>
      </c>
      <c r="F80" s="174" t="e">
        <f>VLOOKUP(E80,'95 Chỉ tiêu'!$B$4:$F$177,2,0)</f>
        <v>#N/A</v>
      </c>
      <c r="G80" s="174" t="s">
        <v>111</v>
      </c>
      <c r="H80" s="174" t="s">
        <v>415</v>
      </c>
      <c r="I80" s="174" t="s">
        <v>950</v>
      </c>
      <c r="J80" s="174" t="s">
        <v>951</v>
      </c>
      <c r="K80" s="174" t="s">
        <v>887</v>
      </c>
      <c r="L80" s="174" t="s">
        <v>543</v>
      </c>
      <c r="M80" s="174" t="s">
        <v>952</v>
      </c>
      <c r="N80" s="174" t="s">
        <v>909</v>
      </c>
      <c r="O80" s="174" t="s">
        <v>781</v>
      </c>
      <c r="P80" s="174" t="s">
        <v>897</v>
      </c>
      <c r="Q80" s="174" t="s">
        <v>548</v>
      </c>
      <c r="R80" s="174" t="s">
        <v>66</v>
      </c>
      <c r="S80" s="174"/>
      <c r="T80" s="174"/>
      <c r="U80" s="174"/>
      <c r="V80" s="174"/>
      <c r="W80" s="174"/>
      <c r="X80" s="174"/>
      <c r="Y80" s="174"/>
      <c r="Z80" s="174"/>
      <c r="AA80" s="174"/>
      <c r="AB80" s="174"/>
      <c r="AC80" s="174"/>
      <c r="AD80" s="174"/>
      <c r="AE80" s="174"/>
      <c r="AF80" s="174"/>
      <c r="AG80" s="174"/>
      <c r="AH80" s="174"/>
      <c r="AI80" s="174"/>
      <c r="AJ80" s="174" t="s">
        <v>416</v>
      </c>
      <c r="AK80" s="174" t="s">
        <v>415</v>
      </c>
      <c r="AL80" s="174" t="s">
        <v>926</v>
      </c>
      <c r="AM80" s="181" t="s">
        <v>755</v>
      </c>
      <c r="AN80" s="192"/>
    </row>
    <row r="81" spans="1:40" s="175" customFormat="1" ht="12" customHeight="1">
      <c r="A81" s="174">
        <v>79</v>
      </c>
      <c r="B81" s="174" t="s">
        <v>219</v>
      </c>
      <c r="C81" s="174" t="s">
        <v>538</v>
      </c>
      <c r="D81" s="174" t="s">
        <v>539</v>
      </c>
      <c r="E81" s="174" t="s">
        <v>399</v>
      </c>
      <c r="F81" s="174" t="e">
        <f>VLOOKUP(E81,'95 Chỉ tiêu'!$B$4:$F$177,2,0)</f>
        <v>#N/A</v>
      </c>
      <c r="G81" s="174" t="s">
        <v>111</v>
      </c>
      <c r="H81" s="174" t="s">
        <v>415</v>
      </c>
      <c r="I81" s="174" t="s">
        <v>953</v>
      </c>
      <c r="J81" s="174" t="s">
        <v>954</v>
      </c>
      <c r="K81" s="174" t="s">
        <v>955</v>
      </c>
      <c r="L81" s="174" t="s">
        <v>543</v>
      </c>
      <c r="M81" s="174" t="s">
        <v>956</v>
      </c>
      <c r="N81" s="174" t="s">
        <v>909</v>
      </c>
      <c r="O81" s="174" t="s">
        <v>781</v>
      </c>
      <c r="P81" s="174" t="s">
        <v>897</v>
      </c>
      <c r="Q81" s="174" t="s">
        <v>548</v>
      </c>
      <c r="R81" s="174" t="s">
        <v>66</v>
      </c>
      <c r="S81" s="174"/>
      <c r="T81" s="174"/>
      <c r="U81" s="174"/>
      <c r="V81" s="174"/>
      <c r="W81" s="174"/>
      <c r="X81" s="174"/>
      <c r="Y81" s="174"/>
      <c r="Z81" s="174"/>
      <c r="AA81" s="174"/>
      <c r="AB81" s="174"/>
      <c r="AC81" s="174"/>
      <c r="AD81" s="174"/>
      <c r="AE81" s="174"/>
      <c r="AF81" s="174"/>
      <c r="AG81" s="174"/>
      <c r="AH81" s="174"/>
      <c r="AI81" s="174"/>
      <c r="AJ81" s="174" t="s">
        <v>416</v>
      </c>
      <c r="AK81" s="174" t="s">
        <v>415</v>
      </c>
      <c r="AL81" s="174" t="s">
        <v>926</v>
      </c>
      <c r="AM81" s="181" t="s">
        <v>582</v>
      </c>
      <c r="AN81" s="192"/>
    </row>
    <row r="82" spans="1:40" s="175" customFormat="1" ht="12" customHeight="1">
      <c r="A82" s="174">
        <v>80</v>
      </c>
      <c r="B82" s="174" t="s">
        <v>434</v>
      </c>
      <c r="C82" s="174" t="s">
        <v>957</v>
      </c>
      <c r="D82" s="174" t="s">
        <v>958</v>
      </c>
      <c r="E82" s="174" t="s">
        <v>77</v>
      </c>
      <c r="F82" s="174" t="e">
        <f>VLOOKUP(E82,'95 Chỉ tiêu'!$B$4:$F$177,2,0)</f>
        <v>#N/A</v>
      </c>
      <c r="G82" s="174" t="s">
        <v>78</v>
      </c>
      <c r="H82" s="174" t="s">
        <v>959</v>
      </c>
      <c r="I82" s="174" t="s">
        <v>960</v>
      </c>
      <c r="J82" s="174" t="s">
        <v>961</v>
      </c>
      <c r="K82" s="174" t="s">
        <v>962</v>
      </c>
      <c r="L82" s="174" t="s">
        <v>963</v>
      </c>
      <c r="M82" s="174" t="s">
        <v>964</v>
      </c>
      <c r="N82" s="174" t="s">
        <v>965</v>
      </c>
      <c r="O82" s="174" t="s">
        <v>966</v>
      </c>
      <c r="P82" s="174" t="s">
        <v>967</v>
      </c>
      <c r="Q82" s="174" t="s">
        <v>968</v>
      </c>
      <c r="R82" s="174" t="s">
        <v>66</v>
      </c>
      <c r="S82" s="174" t="s">
        <v>60</v>
      </c>
      <c r="T82" s="174" t="s">
        <v>60</v>
      </c>
      <c r="U82" s="174" t="s">
        <v>60</v>
      </c>
      <c r="V82" s="174" t="s">
        <v>60</v>
      </c>
      <c r="W82" s="174" t="s">
        <v>60</v>
      </c>
      <c r="X82" s="174" t="s">
        <v>60</v>
      </c>
      <c r="Y82" s="174" t="s">
        <v>60</v>
      </c>
      <c r="Z82" s="174" t="s">
        <v>60</v>
      </c>
      <c r="AA82" s="174" t="s">
        <v>60</v>
      </c>
      <c r="AB82" s="174" t="s">
        <v>60</v>
      </c>
      <c r="AC82" s="174">
        <v>1</v>
      </c>
      <c r="AD82" s="174" t="s">
        <v>965</v>
      </c>
      <c r="AE82" s="174"/>
      <c r="AF82" s="174"/>
      <c r="AG82" s="174"/>
      <c r="AH82" s="174"/>
      <c r="AI82" s="174"/>
      <c r="AJ82" s="174" t="s">
        <v>80</v>
      </c>
      <c r="AK82" s="174" t="s">
        <v>79</v>
      </c>
      <c r="AL82" s="174"/>
      <c r="AM82" s="181" t="s">
        <v>554</v>
      </c>
      <c r="AN82" s="192"/>
    </row>
    <row r="83" spans="1:40" s="175" customFormat="1" ht="12" customHeight="1">
      <c r="A83" s="174">
        <v>81</v>
      </c>
      <c r="B83" s="174" t="s">
        <v>434</v>
      </c>
      <c r="C83" s="174" t="s">
        <v>957</v>
      </c>
      <c r="D83" s="174" t="s">
        <v>958</v>
      </c>
      <c r="E83" s="174" t="s">
        <v>104</v>
      </c>
      <c r="F83" s="174" t="e">
        <f>VLOOKUP(E83,'95 Chỉ tiêu'!$B$4:$F$177,2,0)</f>
        <v>#N/A</v>
      </c>
      <c r="G83" s="174" t="s">
        <v>99</v>
      </c>
      <c r="H83" s="174" t="s">
        <v>969</v>
      </c>
      <c r="I83" s="174" t="s">
        <v>970</v>
      </c>
      <c r="J83" s="174" t="s">
        <v>971</v>
      </c>
      <c r="K83" s="174" t="s">
        <v>972</v>
      </c>
      <c r="L83" s="174" t="s">
        <v>963</v>
      </c>
      <c r="M83" s="174" t="s">
        <v>973</v>
      </c>
      <c r="N83" s="174" t="s">
        <v>974</v>
      </c>
      <c r="O83" s="174" t="s">
        <v>975</v>
      </c>
      <c r="P83" s="174" t="s">
        <v>967</v>
      </c>
      <c r="Q83" s="174" t="s">
        <v>976</v>
      </c>
      <c r="R83" s="174" t="s">
        <v>66</v>
      </c>
      <c r="S83" s="174" t="s">
        <v>60</v>
      </c>
      <c r="T83" s="174" t="s">
        <v>60</v>
      </c>
      <c r="U83" s="174" t="s">
        <v>60</v>
      </c>
      <c r="V83" s="174" t="s">
        <v>60</v>
      </c>
      <c r="W83" s="174" t="s">
        <v>60</v>
      </c>
      <c r="X83" s="174" t="s">
        <v>60</v>
      </c>
      <c r="Y83" s="174" t="s">
        <v>60</v>
      </c>
      <c r="Z83" s="174" t="s">
        <v>60</v>
      </c>
      <c r="AA83" s="174" t="s">
        <v>60</v>
      </c>
      <c r="AB83" s="174" t="s">
        <v>60</v>
      </c>
      <c r="AC83" s="174">
        <v>1</v>
      </c>
      <c r="AD83" s="174" t="s">
        <v>965</v>
      </c>
      <c r="AE83" s="174"/>
      <c r="AF83" s="174"/>
      <c r="AG83" s="174"/>
      <c r="AH83" s="174"/>
      <c r="AI83" s="174"/>
      <c r="AJ83" s="174" t="s">
        <v>106</v>
      </c>
      <c r="AK83" s="174" t="s">
        <v>105</v>
      </c>
      <c r="AL83" s="174"/>
      <c r="AM83" s="181" t="s">
        <v>554</v>
      </c>
      <c r="AN83" s="192"/>
    </row>
    <row r="84" spans="1:40" s="175" customFormat="1" ht="12" customHeight="1">
      <c r="A84" s="174">
        <v>82</v>
      </c>
      <c r="B84" s="174" t="s">
        <v>434</v>
      </c>
      <c r="C84" s="174" t="s">
        <v>957</v>
      </c>
      <c r="D84" s="174" t="s">
        <v>958</v>
      </c>
      <c r="E84" s="174" t="s">
        <v>104</v>
      </c>
      <c r="F84" s="174" t="e">
        <f>VLOOKUP(E84,'95 Chỉ tiêu'!$B$4:$F$177,2,0)</f>
        <v>#N/A</v>
      </c>
      <c r="G84" s="174" t="s">
        <v>99</v>
      </c>
      <c r="H84" s="174" t="s">
        <v>969</v>
      </c>
      <c r="I84" s="174" t="s">
        <v>977</v>
      </c>
      <c r="J84" s="174" t="s">
        <v>978</v>
      </c>
      <c r="K84" s="174" t="s">
        <v>979</v>
      </c>
      <c r="L84" s="174" t="s">
        <v>963</v>
      </c>
      <c r="M84" s="174" t="s">
        <v>980</v>
      </c>
      <c r="N84" s="174" t="s">
        <v>965</v>
      </c>
      <c r="O84" s="174" t="s">
        <v>975</v>
      </c>
      <c r="P84" s="174" t="s">
        <v>967</v>
      </c>
      <c r="Q84" s="174" t="s">
        <v>976</v>
      </c>
      <c r="R84" s="174" t="s">
        <v>66</v>
      </c>
      <c r="S84" s="174" t="s">
        <v>60</v>
      </c>
      <c r="T84" s="174" t="s">
        <v>60</v>
      </c>
      <c r="U84" s="174" t="s">
        <v>60</v>
      </c>
      <c r="V84" s="174" t="s">
        <v>60</v>
      </c>
      <c r="W84" s="174" t="s">
        <v>60</v>
      </c>
      <c r="X84" s="174" t="s">
        <v>60</v>
      </c>
      <c r="Y84" s="174" t="s">
        <v>60</v>
      </c>
      <c r="Z84" s="174" t="s">
        <v>60</v>
      </c>
      <c r="AA84" s="174" t="s">
        <v>60</v>
      </c>
      <c r="AB84" s="174" t="s">
        <v>60</v>
      </c>
      <c r="AC84" s="174">
        <v>1</v>
      </c>
      <c r="AD84" s="174" t="s">
        <v>965</v>
      </c>
      <c r="AE84" s="174"/>
      <c r="AF84" s="174"/>
      <c r="AG84" s="174"/>
      <c r="AH84" s="174"/>
      <c r="AI84" s="174"/>
      <c r="AJ84" s="174" t="s">
        <v>106</v>
      </c>
      <c r="AK84" s="174" t="s">
        <v>105</v>
      </c>
      <c r="AL84" s="174"/>
      <c r="AM84" s="181" t="s">
        <v>981</v>
      </c>
      <c r="AN84" s="192"/>
    </row>
    <row r="85" spans="1:40" s="175" customFormat="1" ht="12" customHeight="1">
      <c r="A85" s="174">
        <v>83</v>
      </c>
      <c r="B85" s="174" t="s">
        <v>434</v>
      </c>
      <c r="C85" s="174" t="s">
        <v>957</v>
      </c>
      <c r="D85" s="174" t="s">
        <v>958</v>
      </c>
      <c r="E85" s="174" t="s">
        <v>104</v>
      </c>
      <c r="F85" s="174" t="e">
        <f>VLOOKUP(E85,'95 Chỉ tiêu'!$B$4:$F$177,2,0)</f>
        <v>#N/A</v>
      </c>
      <c r="G85" s="174" t="s">
        <v>99</v>
      </c>
      <c r="H85" s="174" t="s">
        <v>969</v>
      </c>
      <c r="I85" s="174" t="s">
        <v>982</v>
      </c>
      <c r="J85" s="174" t="s">
        <v>983</v>
      </c>
      <c r="K85" s="174" t="s">
        <v>984</v>
      </c>
      <c r="L85" s="174" t="s">
        <v>963</v>
      </c>
      <c r="M85" s="174" t="s">
        <v>985</v>
      </c>
      <c r="N85" s="174" t="s">
        <v>965</v>
      </c>
      <c r="O85" s="174" t="s">
        <v>975</v>
      </c>
      <c r="P85" s="174" t="s">
        <v>967</v>
      </c>
      <c r="Q85" s="174" t="s">
        <v>976</v>
      </c>
      <c r="R85" s="174" t="s">
        <v>66</v>
      </c>
      <c r="S85" s="174" t="s">
        <v>60</v>
      </c>
      <c r="T85" s="174" t="s">
        <v>60</v>
      </c>
      <c r="U85" s="174" t="s">
        <v>60</v>
      </c>
      <c r="V85" s="174" t="s">
        <v>60</v>
      </c>
      <c r="W85" s="174" t="s">
        <v>60</v>
      </c>
      <c r="X85" s="174" t="s">
        <v>60</v>
      </c>
      <c r="Y85" s="174" t="s">
        <v>60</v>
      </c>
      <c r="Z85" s="174" t="s">
        <v>60</v>
      </c>
      <c r="AA85" s="174" t="s">
        <v>60</v>
      </c>
      <c r="AB85" s="174" t="s">
        <v>60</v>
      </c>
      <c r="AC85" s="174">
        <v>1</v>
      </c>
      <c r="AD85" s="174" t="s">
        <v>965</v>
      </c>
      <c r="AE85" s="174"/>
      <c r="AF85" s="174"/>
      <c r="AG85" s="174"/>
      <c r="AH85" s="174"/>
      <c r="AI85" s="174"/>
      <c r="AJ85" s="174" t="s">
        <v>106</v>
      </c>
      <c r="AK85" s="174" t="s">
        <v>105</v>
      </c>
      <c r="AL85" s="174"/>
      <c r="AM85" s="181" t="s">
        <v>981</v>
      </c>
      <c r="AN85" s="192"/>
    </row>
    <row r="86" spans="1:40" s="175" customFormat="1" ht="12" customHeight="1">
      <c r="A86" s="174">
        <v>84</v>
      </c>
      <c r="B86" s="174" t="s">
        <v>434</v>
      </c>
      <c r="C86" s="174" t="s">
        <v>957</v>
      </c>
      <c r="D86" s="174" t="s">
        <v>958</v>
      </c>
      <c r="E86" s="174" t="s">
        <v>104</v>
      </c>
      <c r="F86" s="174" t="e">
        <f>VLOOKUP(E86,'95 Chỉ tiêu'!$B$4:$F$177,2,0)</f>
        <v>#N/A</v>
      </c>
      <c r="G86" s="174" t="s">
        <v>99</v>
      </c>
      <c r="H86" s="174" t="s">
        <v>969</v>
      </c>
      <c r="I86" s="174" t="s">
        <v>986</v>
      </c>
      <c r="J86" s="174" t="s">
        <v>987</v>
      </c>
      <c r="K86" s="174" t="s">
        <v>988</v>
      </c>
      <c r="L86" s="174" t="s">
        <v>963</v>
      </c>
      <c r="M86" s="174" t="s">
        <v>989</v>
      </c>
      <c r="N86" s="174" t="s">
        <v>974</v>
      </c>
      <c r="O86" s="174" t="s">
        <v>975</v>
      </c>
      <c r="P86" s="174" t="s">
        <v>967</v>
      </c>
      <c r="Q86" s="174" t="s">
        <v>976</v>
      </c>
      <c r="R86" s="174" t="s">
        <v>990</v>
      </c>
      <c r="S86" s="174" t="s">
        <v>60</v>
      </c>
      <c r="T86" s="174" t="s">
        <v>60</v>
      </c>
      <c r="U86" s="174" t="s">
        <v>60</v>
      </c>
      <c r="V86" s="174" t="s">
        <v>60</v>
      </c>
      <c r="W86" s="174" t="s">
        <v>60</v>
      </c>
      <c r="X86" s="174" t="s">
        <v>60</v>
      </c>
      <c r="Y86" s="174" t="s">
        <v>60</v>
      </c>
      <c r="Z86" s="174" t="s">
        <v>60</v>
      </c>
      <c r="AA86" s="174" t="s">
        <v>60</v>
      </c>
      <c r="AB86" s="174" t="s">
        <v>60</v>
      </c>
      <c r="AC86" s="174">
        <v>1</v>
      </c>
      <c r="AD86" s="174" t="s">
        <v>965</v>
      </c>
      <c r="AE86" s="174"/>
      <c r="AF86" s="174"/>
      <c r="AG86" s="174"/>
      <c r="AH86" s="174"/>
      <c r="AI86" s="174"/>
      <c r="AJ86" s="174" t="s">
        <v>106</v>
      </c>
      <c r="AK86" s="174" t="s">
        <v>105</v>
      </c>
      <c r="AL86" s="174"/>
      <c r="AM86" s="181" t="s">
        <v>991</v>
      </c>
      <c r="AN86" s="192"/>
    </row>
    <row r="87" spans="1:40" s="175" customFormat="1" ht="12" customHeight="1">
      <c r="A87" s="174">
        <v>85</v>
      </c>
      <c r="B87" s="174" t="s">
        <v>434</v>
      </c>
      <c r="C87" s="174" t="s">
        <v>957</v>
      </c>
      <c r="D87" s="174" t="s">
        <v>958</v>
      </c>
      <c r="E87" s="174" t="s">
        <v>123</v>
      </c>
      <c r="F87" s="174" t="e">
        <f>VLOOKUP(E87,'95 Chỉ tiêu'!$B$4:$F$177,2,0)</f>
        <v>#N/A</v>
      </c>
      <c r="G87" s="174" t="s">
        <v>78</v>
      </c>
      <c r="H87" s="174" t="s">
        <v>992</v>
      </c>
      <c r="I87" s="174" t="s">
        <v>993</v>
      </c>
      <c r="J87" s="174" t="s">
        <v>994</v>
      </c>
      <c r="K87" s="174" t="s">
        <v>995</v>
      </c>
      <c r="L87" s="174" t="s">
        <v>963</v>
      </c>
      <c r="M87" s="174" t="s">
        <v>996</v>
      </c>
      <c r="N87" s="174" t="s">
        <v>965</v>
      </c>
      <c r="O87" s="174" t="s">
        <v>997</v>
      </c>
      <c r="P87" s="174" t="s">
        <v>967</v>
      </c>
      <c r="Q87" s="174" t="s">
        <v>998</v>
      </c>
      <c r="R87" s="174" t="s">
        <v>66</v>
      </c>
      <c r="S87" s="174" t="s">
        <v>60</v>
      </c>
      <c r="T87" s="174" t="s">
        <v>60</v>
      </c>
      <c r="U87" s="174" t="s">
        <v>60</v>
      </c>
      <c r="V87" s="174" t="s">
        <v>60</v>
      </c>
      <c r="W87" s="174" t="s">
        <v>60</v>
      </c>
      <c r="X87" s="174" t="s">
        <v>60</v>
      </c>
      <c r="Y87" s="174" t="s">
        <v>60</v>
      </c>
      <c r="Z87" s="174" t="s">
        <v>60</v>
      </c>
      <c r="AA87" s="174" t="s">
        <v>60</v>
      </c>
      <c r="AB87" s="174" t="s">
        <v>60</v>
      </c>
      <c r="AC87" s="174">
        <v>1</v>
      </c>
      <c r="AD87" s="174" t="s">
        <v>965</v>
      </c>
      <c r="AE87" s="174"/>
      <c r="AF87" s="174"/>
      <c r="AG87" s="174"/>
      <c r="AH87" s="174"/>
      <c r="AI87" s="174"/>
      <c r="AJ87" s="174" t="s">
        <v>125</v>
      </c>
      <c r="AK87" s="174" t="s">
        <v>124</v>
      </c>
      <c r="AL87" s="174"/>
      <c r="AM87" s="181" t="s">
        <v>554</v>
      </c>
      <c r="AN87" s="192"/>
    </row>
    <row r="88" spans="1:40" s="175" customFormat="1" ht="12" customHeight="1">
      <c r="A88" s="174">
        <v>86</v>
      </c>
      <c r="B88" s="174" t="s">
        <v>434</v>
      </c>
      <c r="C88" s="174" t="s">
        <v>957</v>
      </c>
      <c r="D88" s="174" t="s">
        <v>958</v>
      </c>
      <c r="E88" s="174" t="s">
        <v>123</v>
      </c>
      <c r="F88" s="174" t="e">
        <f>VLOOKUP(E88,'95 Chỉ tiêu'!$B$4:$F$177,2,0)</f>
        <v>#N/A</v>
      </c>
      <c r="G88" s="174" t="s">
        <v>78</v>
      </c>
      <c r="H88" s="174" t="s">
        <v>992</v>
      </c>
      <c r="I88" s="174" t="s">
        <v>999</v>
      </c>
      <c r="J88" s="174" t="s">
        <v>1000</v>
      </c>
      <c r="K88" s="174" t="s">
        <v>1001</v>
      </c>
      <c r="L88" s="174" t="s">
        <v>963</v>
      </c>
      <c r="M88" s="174" t="s">
        <v>1002</v>
      </c>
      <c r="N88" s="174" t="s">
        <v>965</v>
      </c>
      <c r="O88" s="174" t="s">
        <v>997</v>
      </c>
      <c r="P88" s="174" t="s">
        <v>967</v>
      </c>
      <c r="Q88" s="174" t="s">
        <v>998</v>
      </c>
      <c r="R88" s="174" t="s">
        <v>66</v>
      </c>
      <c r="S88" s="174" t="s">
        <v>60</v>
      </c>
      <c r="T88" s="174" t="s">
        <v>60</v>
      </c>
      <c r="U88" s="174" t="s">
        <v>60</v>
      </c>
      <c r="V88" s="174" t="s">
        <v>60</v>
      </c>
      <c r="W88" s="174" t="s">
        <v>60</v>
      </c>
      <c r="X88" s="174" t="s">
        <v>60</v>
      </c>
      <c r="Y88" s="174" t="s">
        <v>60</v>
      </c>
      <c r="Z88" s="174" t="s">
        <v>60</v>
      </c>
      <c r="AA88" s="174" t="s">
        <v>60</v>
      </c>
      <c r="AB88" s="174" t="s">
        <v>60</v>
      </c>
      <c r="AC88" s="174">
        <v>1</v>
      </c>
      <c r="AD88" s="174" t="s">
        <v>965</v>
      </c>
      <c r="AE88" s="174"/>
      <c r="AF88" s="174"/>
      <c r="AG88" s="174"/>
      <c r="AH88" s="174"/>
      <c r="AI88" s="174"/>
      <c r="AJ88" s="174" t="s">
        <v>125</v>
      </c>
      <c r="AK88" s="174" t="s">
        <v>124</v>
      </c>
      <c r="AL88" s="174"/>
      <c r="AM88" s="181" t="s">
        <v>554</v>
      </c>
      <c r="AN88" s="192"/>
    </row>
    <row r="89" spans="1:40" s="175" customFormat="1" ht="12" customHeight="1">
      <c r="A89" s="174">
        <v>87</v>
      </c>
      <c r="B89" s="174" t="s">
        <v>434</v>
      </c>
      <c r="C89" s="174" t="s">
        <v>957</v>
      </c>
      <c r="D89" s="174" t="s">
        <v>958</v>
      </c>
      <c r="E89" s="174" t="s">
        <v>123</v>
      </c>
      <c r="F89" s="174" t="e">
        <f>VLOOKUP(E89,'95 Chỉ tiêu'!$B$4:$F$177,2,0)</f>
        <v>#N/A</v>
      </c>
      <c r="G89" s="174" t="s">
        <v>78</v>
      </c>
      <c r="H89" s="174" t="s">
        <v>992</v>
      </c>
      <c r="I89" s="174" t="s">
        <v>1003</v>
      </c>
      <c r="J89" s="174" t="s">
        <v>1004</v>
      </c>
      <c r="K89" s="174" t="s">
        <v>1005</v>
      </c>
      <c r="L89" s="174" t="s">
        <v>963</v>
      </c>
      <c r="M89" s="174" t="s">
        <v>1006</v>
      </c>
      <c r="N89" s="174" t="s">
        <v>965</v>
      </c>
      <c r="O89" s="174" t="s">
        <v>997</v>
      </c>
      <c r="P89" s="174" t="s">
        <v>967</v>
      </c>
      <c r="Q89" s="174" t="s">
        <v>998</v>
      </c>
      <c r="R89" s="174" t="s">
        <v>66</v>
      </c>
      <c r="S89" s="174" t="s">
        <v>60</v>
      </c>
      <c r="T89" s="174" t="s">
        <v>60</v>
      </c>
      <c r="U89" s="174" t="s">
        <v>60</v>
      </c>
      <c r="V89" s="174" t="s">
        <v>60</v>
      </c>
      <c r="W89" s="174" t="s">
        <v>60</v>
      </c>
      <c r="X89" s="174" t="s">
        <v>60</v>
      </c>
      <c r="Y89" s="174" t="s">
        <v>60</v>
      </c>
      <c r="Z89" s="174" t="s">
        <v>60</v>
      </c>
      <c r="AA89" s="174" t="s">
        <v>60</v>
      </c>
      <c r="AB89" s="174" t="s">
        <v>60</v>
      </c>
      <c r="AC89" s="174">
        <v>1</v>
      </c>
      <c r="AD89" s="174" t="s">
        <v>965</v>
      </c>
      <c r="AE89" s="174"/>
      <c r="AF89" s="174"/>
      <c r="AG89" s="174"/>
      <c r="AH89" s="174"/>
      <c r="AI89" s="174"/>
      <c r="AJ89" s="174" t="s">
        <v>125</v>
      </c>
      <c r="AK89" s="174" t="s">
        <v>124</v>
      </c>
      <c r="AL89" s="174"/>
      <c r="AM89" s="181" t="s">
        <v>554</v>
      </c>
      <c r="AN89" s="192"/>
    </row>
    <row r="90" spans="1:40" s="175" customFormat="1" ht="12" customHeight="1">
      <c r="A90" s="174">
        <v>88</v>
      </c>
      <c r="B90" s="174" t="s">
        <v>434</v>
      </c>
      <c r="C90" s="174" t="s">
        <v>957</v>
      </c>
      <c r="D90" s="174" t="s">
        <v>958</v>
      </c>
      <c r="E90" s="174" t="s">
        <v>123</v>
      </c>
      <c r="F90" s="174" t="e">
        <f>VLOOKUP(E90,'95 Chỉ tiêu'!$B$4:$F$177,2,0)</f>
        <v>#N/A</v>
      </c>
      <c r="G90" s="174" t="s">
        <v>78</v>
      </c>
      <c r="H90" s="174" t="s">
        <v>992</v>
      </c>
      <c r="I90" s="174" t="s">
        <v>1007</v>
      </c>
      <c r="J90" s="174" t="s">
        <v>1008</v>
      </c>
      <c r="K90" s="174" t="s">
        <v>1009</v>
      </c>
      <c r="L90" s="174" t="s">
        <v>963</v>
      </c>
      <c r="M90" s="174" t="s">
        <v>1010</v>
      </c>
      <c r="N90" s="174" t="s">
        <v>965</v>
      </c>
      <c r="O90" s="174" t="s">
        <v>997</v>
      </c>
      <c r="P90" s="174" t="s">
        <v>967</v>
      </c>
      <c r="Q90" s="174" t="s">
        <v>998</v>
      </c>
      <c r="R90" s="174" t="s">
        <v>66</v>
      </c>
      <c r="S90" s="174" t="s">
        <v>60</v>
      </c>
      <c r="T90" s="174" t="s">
        <v>60</v>
      </c>
      <c r="U90" s="174" t="s">
        <v>60</v>
      </c>
      <c r="V90" s="174" t="s">
        <v>60</v>
      </c>
      <c r="W90" s="174" t="s">
        <v>60</v>
      </c>
      <c r="X90" s="174" t="s">
        <v>60</v>
      </c>
      <c r="Y90" s="174" t="s">
        <v>60</v>
      </c>
      <c r="Z90" s="174" t="s">
        <v>60</v>
      </c>
      <c r="AA90" s="174" t="s">
        <v>60</v>
      </c>
      <c r="AB90" s="174" t="s">
        <v>60</v>
      </c>
      <c r="AC90" s="174">
        <v>1</v>
      </c>
      <c r="AD90" s="174" t="s">
        <v>965</v>
      </c>
      <c r="AE90" s="174"/>
      <c r="AF90" s="174"/>
      <c r="AG90" s="174"/>
      <c r="AH90" s="174"/>
      <c r="AI90" s="174"/>
      <c r="AJ90" s="174" t="s">
        <v>125</v>
      </c>
      <c r="AK90" s="174" t="s">
        <v>124</v>
      </c>
      <c r="AL90" s="174"/>
      <c r="AM90" s="181" t="s">
        <v>554</v>
      </c>
      <c r="AN90" s="192"/>
    </row>
    <row r="91" spans="1:40" s="175" customFormat="1" ht="12" customHeight="1">
      <c r="A91" s="174">
        <v>89</v>
      </c>
      <c r="B91" s="174" t="s">
        <v>434</v>
      </c>
      <c r="C91" s="174" t="s">
        <v>957</v>
      </c>
      <c r="D91" s="174" t="s">
        <v>958</v>
      </c>
      <c r="E91" s="174" t="s">
        <v>123</v>
      </c>
      <c r="F91" s="174" t="e">
        <f>VLOOKUP(E91,'95 Chỉ tiêu'!$B$4:$F$177,2,0)</f>
        <v>#N/A</v>
      </c>
      <c r="G91" s="174" t="s">
        <v>78</v>
      </c>
      <c r="H91" s="174" t="s">
        <v>992</v>
      </c>
      <c r="I91" s="174" t="s">
        <v>1011</v>
      </c>
      <c r="J91" s="174" t="s">
        <v>1012</v>
      </c>
      <c r="K91" s="174" t="s">
        <v>1013</v>
      </c>
      <c r="L91" s="174" t="s">
        <v>963</v>
      </c>
      <c r="M91" s="174" t="s">
        <v>1014</v>
      </c>
      <c r="N91" s="174" t="s">
        <v>965</v>
      </c>
      <c r="O91" s="174" t="s">
        <v>997</v>
      </c>
      <c r="P91" s="174" t="s">
        <v>967</v>
      </c>
      <c r="Q91" s="174" t="s">
        <v>998</v>
      </c>
      <c r="R91" s="174" t="s">
        <v>1015</v>
      </c>
      <c r="S91" s="174" t="s">
        <v>60</v>
      </c>
      <c r="T91" s="174" t="s">
        <v>60</v>
      </c>
      <c r="U91" s="174" t="s">
        <v>60</v>
      </c>
      <c r="V91" s="174" t="s">
        <v>60</v>
      </c>
      <c r="W91" s="174" t="s">
        <v>60</v>
      </c>
      <c r="X91" s="174" t="s">
        <v>60</v>
      </c>
      <c r="Y91" s="174" t="s">
        <v>60</v>
      </c>
      <c r="Z91" s="174" t="s">
        <v>60</v>
      </c>
      <c r="AA91" s="174" t="s">
        <v>60</v>
      </c>
      <c r="AB91" s="174" t="s">
        <v>60</v>
      </c>
      <c r="AC91" s="174">
        <v>1</v>
      </c>
      <c r="AD91" s="174" t="s">
        <v>965</v>
      </c>
      <c r="AE91" s="174"/>
      <c r="AG91" s="174"/>
      <c r="AH91" s="174"/>
      <c r="AI91" s="174"/>
      <c r="AJ91" s="174" t="s">
        <v>125</v>
      </c>
      <c r="AK91" s="174" t="s">
        <v>124</v>
      </c>
      <c r="AL91" s="174"/>
      <c r="AM91" s="181" t="s">
        <v>991</v>
      </c>
      <c r="AN91" s="192"/>
    </row>
    <row r="92" spans="1:40" s="175" customFormat="1" ht="12" customHeight="1">
      <c r="A92" s="174">
        <v>90</v>
      </c>
      <c r="B92" s="174" t="s">
        <v>434</v>
      </c>
      <c r="C92" s="174" t="s">
        <v>957</v>
      </c>
      <c r="D92" s="174" t="s">
        <v>656</v>
      </c>
      <c r="E92" s="174" t="s">
        <v>290</v>
      </c>
      <c r="F92" s="174" t="e">
        <f>VLOOKUP(E92,'95 Chỉ tiêu'!$B$4:$F$177,2,0)</f>
        <v>#N/A</v>
      </c>
      <c r="G92" s="174" t="s">
        <v>78</v>
      </c>
      <c r="H92" s="174" t="s">
        <v>292</v>
      </c>
      <c r="I92" s="174" t="s">
        <v>1016</v>
      </c>
      <c r="J92" s="174" t="s">
        <v>1017</v>
      </c>
      <c r="K92" s="174" t="s">
        <v>1018</v>
      </c>
      <c r="L92" s="174" t="s">
        <v>963</v>
      </c>
      <c r="M92" s="176" t="s">
        <v>1019</v>
      </c>
      <c r="N92" s="176" t="s">
        <v>965</v>
      </c>
      <c r="O92" s="176" t="s">
        <v>1020</v>
      </c>
      <c r="P92" s="176" t="s">
        <v>1021</v>
      </c>
      <c r="Q92" s="176" t="s">
        <v>1022</v>
      </c>
      <c r="R92" s="176" t="s">
        <v>1023</v>
      </c>
      <c r="S92" s="174" t="s">
        <v>60</v>
      </c>
      <c r="T92" s="174" t="s">
        <v>60</v>
      </c>
      <c r="U92" s="174" t="s">
        <v>60</v>
      </c>
      <c r="V92" s="174" t="s">
        <v>60</v>
      </c>
      <c r="W92" s="174" t="s">
        <v>60</v>
      </c>
      <c r="X92" s="174" t="s">
        <v>60</v>
      </c>
      <c r="Y92" s="174" t="s">
        <v>60</v>
      </c>
      <c r="Z92" s="174" t="s">
        <v>60</v>
      </c>
      <c r="AA92" s="174" t="s">
        <v>60</v>
      </c>
      <c r="AB92" s="174" t="s">
        <v>60</v>
      </c>
      <c r="AC92" s="174">
        <v>1</v>
      </c>
      <c r="AD92" s="174" t="s">
        <v>965</v>
      </c>
      <c r="AE92" s="174"/>
      <c r="AF92" s="174" t="s">
        <v>1024</v>
      </c>
      <c r="AG92" s="174"/>
      <c r="AH92" s="174"/>
      <c r="AI92" s="174"/>
      <c r="AJ92" s="174" t="s">
        <v>292</v>
      </c>
      <c r="AK92" s="174" t="s">
        <v>291</v>
      </c>
      <c r="AL92" s="174" t="s">
        <v>1025</v>
      </c>
      <c r="AM92" s="181" t="s">
        <v>554</v>
      </c>
      <c r="AN92" s="192"/>
    </row>
    <row r="93" spans="1:40" s="175" customFormat="1" ht="12" customHeight="1">
      <c r="A93" s="174">
        <v>91</v>
      </c>
      <c r="B93" s="174" t="s">
        <v>434</v>
      </c>
      <c r="C93" s="174" t="s">
        <v>957</v>
      </c>
      <c r="D93" s="174" t="s">
        <v>656</v>
      </c>
      <c r="E93" s="174" t="s">
        <v>290</v>
      </c>
      <c r="F93" s="174" t="e">
        <f>VLOOKUP(E93,'95 Chỉ tiêu'!$B$4:$F$177,2,0)</f>
        <v>#N/A</v>
      </c>
      <c r="G93" s="174" t="s">
        <v>78</v>
      </c>
      <c r="H93" s="174" t="s">
        <v>292</v>
      </c>
      <c r="I93" s="174" t="s">
        <v>1026</v>
      </c>
      <c r="J93" s="174" t="s">
        <v>1027</v>
      </c>
      <c r="K93" s="174" t="s">
        <v>1028</v>
      </c>
      <c r="L93" s="174" t="s">
        <v>963</v>
      </c>
      <c r="M93" s="176" t="s">
        <v>1029</v>
      </c>
      <c r="N93" s="176" t="s">
        <v>965</v>
      </c>
      <c r="O93" s="176" t="s">
        <v>1020</v>
      </c>
      <c r="P93" s="176" t="s">
        <v>1021</v>
      </c>
      <c r="Q93" s="176" t="s">
        <v>1022</v>
      </c>
      <c r="R93" s="176" t="s">
        <v>1023</v>
      </c>
      <c r="S93" s="174" t="s">
        <v>60</v>
      </c>
      <c r="T93" s="174" t="s">
        <v>60</v>
      </c>
      <c r="U93" s="174" t="s">
        <v>60</v>
      </c>
      <c r="V93" s="174" t="s">
        <v>60</v>
      </c>
      <c r="W93" s="174" t="s">
        <v>60</v>
      </c>
      <c r="X93" s="174" t="s">
        <v>60</v>
      </c>
      <c r="Y93" s="174" t="s">
        <v>60</v>
      </c>
      <c r="Z93" s="174" t="s">
        <v>60</v>
      </c>
      <c r="AA93" s="174" t="s">
        <v>60</v>
      </c>
      <c r="AB93" s="174" t="s">
        <v>60</v>
      </c>
      <c r="AC93" s="174">
        <v>1</v>
      </c>
      <c r="AD93" s="174" t="s">
        <v>965</v>
      </c>
      <c r="AE93" s="174"/>
      <c r="AF93" s="174" t="s">
        <v>1024</v>
      </c>
      <c r="AG93" s="174"/>
      <c r="AH93" s="174"/>
      <c r="AI93" s="174"/>
      <c r="AJ93" s="174" t="s">
        <v>292</v>
      </c>
      <c r="AK93" s="174" t="s">
        <v>291</v>
      </c>
      <c r="AL93" s="174" t="s">
        <v>1025</v>
      </c>
      <c r="AM93" s="181" t="s">
        <v>755</v>
      </c>
      <c r="AN93" s="192"/>
    </row>
    <row r="94" spans="1:40" s="175" customFormat="1" ht="12" customHeight="1">
      <c r="A94" s="174">
        <v>92</v>
      </c>
      <c r="B94" s="174" t="s">
        <v>434</v>
      </c>
      <c r="C94" s="174" t="s">
        <v>957</v>
      </c>
      <c r="D94" s="174" t="s">
        <v>656</v>
      </c>
      <c r="E94" s="174" t="s">
        <v>290</v>
      </c>
      <c r="F94" s="174" t="e">
        <f>VLOOKUP(E94,'95 Chỉ tiêu'!$B$4:$F$177,2,0)</f>
        <v>#N/A</v>
      </c>
      <c r="G94" s="174" t="s">
        <v>78</v>
      </c>
      <c r="H94" s="174" t="s">
        <v>292</v>
      </c>
      <c r="I94" s="174" t="s">
        <v>1030</v>
      </c>
      <c r="J94" s="174" t="s">
        <v>1031</v>
      </c>
      <c r="K94" s="174" t="s">
        <v>1032</v>
      </c>
      <c r="L94" s="174" t="s">
        <v>963</v>
      </c>
      <c r="M94" s="176" t="s">
        <v>1033</v>
      </c>
      <c r="N94" s="176" t="s">
        <v>965</v>
      </c>
      <c r="O94" s="176" t="s">
        <v>1020</v>
      </c>
      <c r="P94" s="176" t="s">
        <v>1021</v>
      </c>
      <c r="Q94" s="176" t="s">
        <v>1022</v>
      </c>
      <c r="R94" s="176" t="s">
        <v>1023</v>
      </c>
      <c r="S94" s="174" t="s">
        <v>60</v>
      </c>
      <c r="T94" s="174" t="s">
        <v>60</v>
      </c>
      <c r="U94" s="174" t="s">
        <v>60</v>
      </c>
      <c r="V94" s="174" t="s">
        <v>60</v>
      </c>
      <c r="W94" s="174" t="s">
        <v>60</v>
      </c>
      <c r="X94" s="174" t="s">
        <v>60</v>
      </c>
      <c r="Y94" s="174" t="s">
        <v>60</v>
      </c>
      <c r="Z94" s="174" t="s">
        <v>60</v>
      </c>
      <c r="AA94" s="174" t="s">
        <v>60</v>
      </c>
      <c r="AB94" s="174" t="s">
        <v>60</v>
      </c>
      <c r="AC94" s="174">
        <v>1</v>
      </c>
      <c r="AD94" s="174" t="s">
        <v>965</v>
      </c>
      <c r="AE94" s="174"/>
      <c r="AF94" s="174" t="s">
        <v>1024</v>
      </c>
      <c r="AG94" s="174"/>
      <c r="AH94" s="174"/>
      <c r="AI94" s="174"/>
      <c r="AJ94" s="174" t="s">
        <v>292</v>
      </c>
      <c r="AK94" s="174" t="s">
        <v>291</v>
      </c>
      <c r="AL94" s="174" t="s">
        <v>1025</v>
      </c>
      <c r="AM94" s="181" t="s">
        <v>755</v>
      </c>
      <c r="AN94" s="192"/>
    </row>
    <row r="95" spans="1:40" s="175" customFormat="1" ht="12" customHeight="1">
      <c r="A95" s="174">
        <v>93</v>
      </c>
      <c r="B95" s="174" t="s">
        <v>434</v>
      </c>
      <c r="C95" s="174" t="s">
        <v>957</v>
      </c>
      <c r="D95" s="174" t="s">
        <v>656</v>
      </c>
      <c r="E95" s="174" t="s">
        <v>290</v>
      </c>
      <c r="F95" s="174" t="e">
        <f>VLOOKUP(E95,'95 Chỉ tiêu'!$B$4:$F$177,2,0)</f>
        <v>#N/A</v>
      </c>
      <c r="G95" s="174" t="s">
        <v>78</v>
      </c>
      <c r="H95" s="174" t="s">
        <v>292</v>
      </c>
      <c r="I95" s="174" t="s">
        <v>1034</v>
      </c>
      <c r="J95" s="174" t="s">
        <v>1035</v>
      </c>
      <c r="K95" s="174" t="s">
        <v>1036</v>
      </c>
      <c r="L95" s="174" t="s">
        <v>963</v>
      </c>
      <c r="M95" s="176" t="s">
        <v>1037</v>
      </c>
      <c r="N95" s="176" t="s">
        <v>965</v>
      </c>
      <c r="O95" s="176" t="s">
        <v>1020</v>
      </c>
      <c r="P95" s="176" t="s">
        <v>1021</v>
      </c>
      <c r="Q95" s="176" t="s">
        <v>1022</v>
      </c>
      <c r="R95" s="176" t="s">
        <v>1023</v>
      </c>
      <c r="S95" s="174" t="s">
        <v>60</v>
      </c>
      <c r="T95" s="174" t="s">
        <v>60</v>
      </c>
      <c r="U95" s="174" t="s">
        <v>60</v>
      </c>
      <c r="V95" s="174" t="s">
        <v>60</v>
      </c>
      <c r="W95" s="174" t="s">
        <v>60</v>
      </c>
      <c r="X95" s="174" t="s">
        <v>60</v>
      </c>
      <c r="Y95" s="174" t="s">
        <v>60</v>
      </c>
      <c r="Z95" s="174" t="s">
        <v>60</v>
      </c>
      <c r="AA95" s="174" t="s">
        <v>60</v>
      </c>
      <c r="AB95" s="174" t="s">
        <v>60</v>
      </c>
      <c r="AC95" s="174">
        <v>1</v>
      </c>
      <c r="AD95" s="174" t="s">
        <v>965</v>
      </c>
      <c r="AE95" s="174"/>
      <c r="AF95" s="174" t="s">
        <v>1024</v>
      </c>
      <c r="AG95" s="174"/>
      <c r="AH95" s="174"/>
      <c r="AI95" s="174"/>
      <c r="AJ95" s="174" t="s">
        <v>292</v>
      </c>
      <c r="AK95" s="174" t="s">
        <v>291</v>
      </c>
      <c r="AL95" s="174" t="s">
        <v>1025</v>
      </c>
      <c r="AM95" s="181" t="s">
        <v>755</v>
      </c>
      <c r="AN95" s="192"/>
    </row>
    <row r="96" spans="1:40" s="175" customFormat="1" ht="12" customHeight="1">
      <c r="A96" s="174">
        <v>94</v>
      </c>
      <c r="B96" s="174" t="s">
        <v>434</v>
      </c>
      <c r="C96" s="174" t="s">
        <v>957</v>
      </c>
      <c r="D96" s="174" t="s">
        <v>656</v>
      </c>
      <c r="E96" s="174" t="s">
        <v>290</v>
      </c>
      <c r="F96" s="174" t="e">
        <f>VLOOKUP(E96,'95 Chỉ tiêu'!$B$4:$F$177,2,0)</f>
        <v>#N/A</v>
      </c>
      <c r="G96" s="174" t="s">
        <v>78</v>
      </c>
      <c r="H96" s="174" t="s">
        <v>292</v>
      </c>
      <c r="I96" s="174" t="s">
        <v>1038</v>
      </c>
      <c r="J96" s="174" t="s">
        <v>1039</v>
      </c>
      <c r="K96" s="174" t="s">
        <v>1040</v>
      </c>
      <c r="L96" s="174" t="s">
        <v>963</v>
      </c>
      <c r="M96" s="176" t="s">
        <v>1041</v>
      </c>
      <c r="N96" s="176" t="s">
        <v>965</v>
      </c>
      <c r="O96" s="176" t="s">
        <v>1020</v>
      </c>
      <c r="P96" s="176" t="s">
        <v>1021</v>
      </c>
      <c r="Q96" s="176" t="s">
        <v>1022</v>
      </c>
      <c r="R96" s="176" t="s">
        <v>1023</v>
      </c>
      <c r="S96" s="174" t="s">
        <v>60</v>
      </c>
      <c r="T96" s="174" t="s">
        <v>60</v>
      </c>
      <c r="U96" s="174" t="s">
        <v>60</v>
      </c>
      <c r="V96" s="174" t="s">
        <v>60</v>
      </c>
      <c r="W96" s="174" t="s">
        <v>60</v>
      </c>
      <c r="X96" s="174" t="s">
        <v>60</v>
      </c>
      <c r="Y96" s="174" t="s">
        <v>60</v>
      </c>
      <c r="Z96" s="174" t="s">
        <v>60</v>
      </c>
      <c r="AA96" s="174" t="s">
        <v>60</v>
      </c>
      <c r="AB96" s="174" t="s">
        <v>60</v>
      </c>
      <c r="AC96" s="174">
        <v>1</v>
      </c>
      <c r="AD96" s="174" t="s">
        <v>965</v>
      </c>
      <c r="AE96" s="174"/>
      <c r="AF96" s="174" t="s">
        <v>1024</v>
      </c>
      <c r="AG96" s="174"/>
      <c r="AH96" s="174"/>
      <c r="AI96" s="174"/>
      <c r="AJ96" s="174" t="s">
        <v>292</v>
      </c>
      <c r="AK96" s="174" t="s">
        <v>291</v>
      </c>
      <c r="AL96" s="174" t="s">
        <v>1025</v>
      </c>
      <c r="AM96" s="181" t="s">
        <v>755</v>
      </c>
      <c r="AN96" s="192"/>
    </row>
    <row r="97" spans="1:40" s="175" customFormat="1" ht="12" customHeight="1">
      <c r="A97" s="174">
        <v>95</v>
      </c>
      <c r="B97" s="174" t="s">
        <v>434</v>
      </c>
      <c r="C97" s="174" t="s">
        <v>957</v>
      </c>
      <c r="D97" s="174" t="s">
        <v>656</v>
      </c>
      <c r="E97" s="174" t="s">
        <v>290</v>
      </c>
      <c r="F97" s="174" t="e">
        <f>VLOOKUP(E97,'95 Chỉ tiêu'!$B$4:$F$177,2,0)</f>
        <v>#N/A</v>
      </c>
      <c r="G97" s="174" t="s">
        <v>78</v>
      </c>
      <c r="H97" s="174" t="s">
        <v>292</v>
      </c>
      <c r="I97" s="174" t="s">
        <v>1042</v>
      </c>
      <c r="J97" s="174" t="s">
        <v>1043</v>
      </c>
      <c r="K97" s="174" t="s">
        <v>1044</v>
      </c>
      <c r="L97" s="174" t="s">
        <v>963</v>
      </c>
      <c r="M97" s="176" t="s">
        <v>1045</v>
      </c>
      <c r="N97" s="176" t="s">
        <v>965</v>
      </c>
      <c r="O97" s="176" t="s">
        <v>1020</v>
      </c>
      <c r="P97" s="176" t="s">
        <v>1021</v>
      </c>
      <c r="Q97" s="176" t="s">
        <v>1022</v>
      </c>
      <c r="R97" s="176" t="s">
        <v>1023</v>
      </c>
      <c r="S97" s="174" t="s">
        <v>60</v>
      </c>
      <c r="T97" s="174" t="s">
        <v>60</v>
      </c>
      <c r="U97" s="174" t="s">
        <v>60</v>
      </c>
      <c r="V97" s="174" t="s">
        <v>60</v>
      </c>
      <c r="W97" s="174" t="s">
        <v>60</v>
      </c>
      <c r="X97" s="174" t="s">
        <v>60</v>
      </c>
      <c r="Y97" s="174" t="s">
        <v>60</v>
      </c>
      <c r="Z97" s="174" t="s">
        <v>60</v>
      </c>
      <c r="AA97" s="174" t="s">
        <v>60</v>
      </c>
      <c r="AB97" s="174" t="s">
        <v>60</v>
      </c>
      <c r="AC97" s="174">
        <v>1</v>
      </c>
      <c r="AD97" s="174" t="s">
        <v>965</v>
      </c>
      <c r="AE97" s="174"/>
      <c r="AF97" s="174" t="s">
        <v>1024</v>
      </c>
      <c r="AG97" s="174"/>
      <c r="AH97" s="174"/>
      <c r="AI97" s="174"/>
      <c r="AJ97" s="174" t="s">
        <v>292</v>
      </c>
      <c r="AK97" s="174" t="s">
        <v>291</v>
      </c>
      <c r="AL97" s="174" t="s">
        <v>1025</v>
      </c>
      <c r="AM97" s="181" t="s">
        <v>755</v>
      </c>
      <c r="AN97" s="192"/>
    </row>
    <row r="98" spans="1:40" s="175" customFormat="1" ht="12" customHeight="1">
      <c r="A98" s="174">
        <v>96</v>
      </c>
      <c r="B98" s="174" t="s">
        <v>434</v>
      </c>
      <c r="C98" s="174" t="s">
        <v>957</v>
      </c>
      <c r="D98" s="174" t="s">
        <v>656</v>
      </c>
      <c r="E98" s="174" t="s">
        <v>290</v>
      </c>
      <c r="F98" s="174" t="e">
        <f>VLOOKUP(E98,'95 Chỉ tiêu'!$B$4:$F$177,2,0)</f>
        <v>#N/A</v>
      </c>
      <c r="G98" s="174" t="s">
        <v>78</v>
      </c>
      <c r="H98" s="174" t="s">
        <v>292</v>
      </c>
      <c r="I98" s="174" t="s">
        <v>1046</v>
      </c>
      <c r="J98" s="174" t="s">
        <v>1047</v>
      </c>
      <c r="K98" s="174" t="s">
        <v>1048</v>
      </c>
      <c r="L98" s="174" t="s">
        <v>963</v>
      </c>
      <c r="M98" s="176" t="s">
        <v>1049</v>
      </c>
      <c r="N98" s="176" t="s">
        <v>965</v>
      </c>
      <c r="O98" s="176" t="s">
        <v>1020</v>
      </c>
      <c r="P98" s="176" t="s">
        <v>1021</v>
      </c>
      <c r="Q98" s="176" t="s">
        <v>1022</v>
      </c>
      <c r="R98" s="176" t="s">
        <v>1023</v>
      </c>
      <c r="S98" s="174" t="s">
        <v>60</v>
      </c>
      <c r="T98" s="174" t="s">
        <v>60</v>
      </c>
      <c r="U98" s="174" t="s">
        <v>60</v>
      </c>
      <c r="V98" s="174" t="s">
        <v>60</v>
      </c>
      <c r="W98" s="174" t="s">
        <v>60</v>
      </c>
      <c r="X98" s="174" t="s">
        <v>60</v>
      </c>
      <c r="Y98" s="174" t="s">
        <v>60</v>
      </c>
      <c r="Z98" s="174" t="s">
        <v>60</v>
      </c>
      <c r="AA98" s="174" t="s">
        <v>60</v>
      </c>
      <c r="AB98" s="174" t="s">
        <v>60</v>
      </c>
      <c r="AC98" s="174">
        <v>1</v>
      </c>
      <c r="AD98" s="174" t="s">
        <v>965</v>
      </c>
      <c r="AE98" s="174"/>
      <c r="AF98" s="174" t="s">
        <v>1024</v>
      </c>
      <c r="AG98" s="174"/>
      <c r="AH98" s="174"/>
      <c r="AI98" s="174"/>
      <c r="AJ98" s="174" t="s">
        <v>292</v>
      </c>
      <c r="AK98" s="174" t="s">
        <v>291</v>
      </c>
      <c r="AL98" s="174" t="s">
        <v>1025</v>
      </c>
      <c r="AM98" s="181" t="s">
        <v>755</v>
      </c>
      <c r="AN98" s="192"/>
    </row>
    <row r="99" spans="1:40" s="175" customFormat="1" ht="12" customHeight="1">
      <c r="A99" s="174">
        <v>97</v>
      </c>
      <c r="B99" s="174" t="s">
        <v>434</v>
      </c>
      <c r="C99" s="174" t="s">
        <v>957</v>
      </c>
      <c r="D99" s="174" t="s">
        <v>656</v>
      </c>
      <c r="E99" s="174" t="s">
        <v>290</v>
      </c>
      <c r="F99" s="174" t="e">
        <f>VLOOKUP(E99,'95 Chỉ tiêu'!$B$4:$F$177,2,0)</f>
        <v>#N/A</v>
      </c>
      <c r="G99" s="174" t="s">
        <v>78</v>
      </c>
      <c r="H99" s="174" t="s">
        <v>292</v>
      </c>
      <c r="I99" s="174" t="s">
        <v>1050</v>
      </c>
      <c r="J99" s="174" t="s">
        <v>1051</v>
      </c>
      <c r="K99" s="174" t="s">
        <v>1052</v>
      </c>
      <c r="L99" s="174" t="s">
        <v>963</v>
      </c>
      <c r="M99" s="176" t="s">
        <v>1053</v>
      </c>
      <c r="N99" s="176" t="s">
        <v>965</v>
      </c>
      <c r="O99" s="176" t="s">
        <v>1020</v>
      </c>
      <c r="P99" s="176" t="s">
        <v>1021</v>
      </c>
      <c r="Q99" s="176" t="s">
        <v>1022</v>
      </c>
      <c r="R99" s="176" t="s">
        <v>1023</v>
      </c>
      <c r="S99" s="174" t="s">
        <v>60</v>
      </c>
      <c r="T99" s="174" t="s">
        <v>60</v>
      </c>
      <c r="U99" s="174" t="s">
        <v>60</v>
      </c>
      <c r="V99" s="174" t="s">
        <v>60</v>
      </c>
      <c r="W99" s="174" t="s">
        <v>60</v>
      </c>
      <c r="X99" s="174" t="s">
        <v>60</v>
      </c>
      <c r="Y99" s="174" t="s">
        <v>60</v>
      </c>
      <c r="Z99" s="174" t="s">
        <v>60</v>
      </c>
      <c r="AA99" s="174" t="s">
        <v>60</v>
      </c>
      <c r="AB99" s="174" t="s">
        <v>60</v>
      </c>
      <c r="AC99" s="174">
        <v>1</v>
      </c>
      <c r="AD99" s="174" t="s">
        <v>965</v>
      </c>
      <c r="AE99" s="174"/>
      <c r="AF99" s="174" t="s">
        <v>1024</v>
      </c>
      <c r="AG99" s="174"/>
      <c r="AH99" s="174"/>
      <c r="AI99" s="174"/>
      <c r="AJ99" s="174" t="s">
        <v>292</v>
      </c>
      <c r="AK99" s="174" t="s">
        <v>291</v>
      </c>
      <c r="AL99" s="174" t="s">
        <v>1054</v>
      </c>
      <c r="AM99" s="181" t="s">
        <v>554</v>
      </c>
      <c r="AN99" s="192"/>
    </row>
    <row r="100" spans="1:40" s="175" customFormat="1" ht="12" customHeight="1">
      <c r="A100" s="174">
        <v>98</v>
      </c>
      <c r="B100" s="174" t="s">
        <v>434</v>
      </c>
      <c r="C100" s="174" t="s">
        <v>957</v>
      </c>
      <c r="D100" s="174" t="s">
        <v>656</v>
      </c>
      <c r="E100" s="174" t="s">
        <v>290</v>
      </c>
      <c r="F100" s="174" t="e">
        <f>VLOOKUP(E100,'95 Chỉ tiêu'!$B$4:$F$177,2,0)</f>
        <v>#N/A</v>
      </c>
      <c r="G100" s="174" t="s">
        <v>78</v>
      </c>
      <c r="H100" s="174" t="s">
        <v>292</v>
      </c>
      <c r="I100" s="174" t="s">
        <v>1055</v>
      </c>
      <c r="J100" s="174" t="s">
        <v>1056</v>
      </c>
      <c r="K100" s="174" t="s">
        <v>1057</v>
      </c>
      <c r="L100" s="174" t="s">
        <v>963</v>
      </c>
      <c r="M100" s="176" t="s">
        <v>1058</v>
      </c>
      <c r="N100" s="176" t="s">
        <v>965</v>
      </c>
      <c r="O100" s="176" t="s">
        <v>1020</v>
      </c>
      <c r="P100" s="176" t="s">
        <v>1021</v>
      </c>
      <c r="Q100" s="176" t="s">
        <v>1022</v>
      </c>
      <c r="R100" s="176" t="s">
        <v>1023</v>
      </c>
      <c r="S100" s="174" t="s">
        <v>60</v>
      </c>
      <c r="T100" s="174" t="s">
        <v>60</v>
      </c>
      <c r="U100" s="174" t="s">
        <v>60</v>
      </c>
      <c r="V100" s="174" t="s">
        <v>60</v>
      </c>
      <c r="W100" s="174" t="s">
        <v>60</v>
      </c>
      <c r="X100" s="174" t="s">
        <v>60</v>
      </c>
      <c r="Y100" s="174" t="s">
        <v>60</v>
      </c>
      <c r="Z100" s="174" t="s">
        <v>60</v>
      </c>
      <c r="AA100" s="174" t="s">
        <v>60</v>
      </c>
      <c r="AB100" s="174" t="s">
        <v>60</v>
      </c>
      <c r="AC100" s="174">
        <v>1</v>
      </c>
      <c r="AD100" s="174" t="s">
        <v>965</v>
      </c>
      <c r="AE100" s="174"/>
      <c r="AF100" s="174" t="s">
        <v>1024</v>
      </c>
      <c r="AG100" s="174"/>
      <c r="AH100" s="174"/>
      <c r="AI100" s="174"/>
      <c r="AJ100" s="174" t="s">
        <v>292</v>
      </c>
      <c r="AK100" s="174" t="s">
        <v>291</v>
      </c>
      <c r="AL100" s="174" t="s">
        <v>1054</v>
      </c>
      <c r="AM100" s="181" t="s">
        <v>554</v>
      </c>
      <c r="AN100" s="192"/>
    </row>
    <row r="101" spans="1:40" s="175" customFormat="1" ht="12" customHeight="1">
      <c r="A101" s="174">
        <v>99</v>
      </c>
      <c r="B101" s="174" t="s">
        <v>434</v>
      </c>
      <c r="C101" s="174" t="s">
        <v>957</v>
      </c>
      <c r="D101" s="174" t="s">
        <v>656</v>
      </c>
      <c r="E101" s="174" t="s">
        <v>290</v>
      </c>
      <c r="F101" s="174" t="e">
        <f>VLOOKUP(E101,'95 Chỉ tiêu'!$B$4:$F$177,2,0)</f>
        <v>#N/A</v>
      </c>
      <c r="G101" s="174" t="s">
        <v>78</v>
      </c>
      <c r="H101" s="174" t="s">
        <v>292</v>
      </c>
      <c r="I101" s="174" t="s">
        <v>1059</v>
      </c>
      <c r="J101" s="174" t="s">
        <v>1060</v>
      </c>
      <c r="K101" s="174" t="s">
        <v>1061</v>
      </c>
      <c r="L101" s="174" t="s">
        <v>963</v>
      </c>
      <c r="M101" s="176" t="s">
        <v>1062</v>
      </c>
      <c r="N101" s="176" t="s">
        <v>965</v>
      </c>
      <c r="O101" s="176" t="s">
        <v>1020</v>
      </c>
      <c r="P101" s="176" t="s">
        <v>1021</v>
      </c>
      <c r="Q101" s="176" t="s">
        <v>1022</v>
      </c>
      <c r="R101" s="176" t="s">
        <v>1023</v>
      </c>
      <c r="S101" s="174" t="s">
        <v>60</v>
      </c>
      <c r="T101" s="174" t="s">
        <v>60</v>
      </c>
      <c r="U101" s="174" t="s">
        <v>60</v>
      </c>
      <c r="V101" s="174" t="s">
        <v>60</v>
      </c>
      <c r="W101" s="174" t="s">
        <v>60</v>
      </c>
      <c r="X101" s="174" t="s">
        <v>60</v>
      </c>
      <c r="Y101" s="174" t="s">
        <v>60</v>
      </c>
      <c r="Z101" s="174" t="s">
        <v>60</v>
      </c>
      <c r="AA101" s="174" t="s">
        <v>60</v>
      </c>
      <c r="AB101" s="174" t="s">
        <v>60</v>
      </c>
      <c r="AC101" s="174">
        <v>1</v>
      </c>
      <c r="AD101" s="174" t="s">
        <v>965</v>
      </c>
      <c r="AE101" s="174"/>
      <c r="AF101" s="174" t="s">
        <v>1024</v>
      </c>
      <c r="AG101" s="174"/>
      <c r="AH101" s="174"/>
      <c r="AI101" s="174"/>
      <c r="AJ101" s="174" t="s">
        <v>292</v>
      </c>
      <c r="AK101" s="174" t="s">
        <v>291</v>
      </c>
      <c r="AL101" s="174" t="s">
        <v>1054</v>
      </c>
      <c r="AM101" s="181" t="s">
        <v>554</v>
      </c>
      <c r="AN101" s="192"/>
    </row>
    <row r="102" spans="1:40" s="175" customFormat="1" ht="12" customHeight="1">
      <c r="A102" s="174">
        <v>100</v>
      </c>
      <c r="B102" s="174" t="s">
        <v>434</v>
      </c>
      <c r="C102" s="174" t="s">
        <v>957</v>
      </c>
      <c r="D102" s="174" t="s">
        <v>656</v>
      </c>
      <c r="E102" s="174" t="s">
        <v>290</v>
      </c>
      <c r="F102" s="174" t="e">
        <f>VLOOKUP(E102,'95 Chỉ tiêu'!$B$4:$F$177,2,0)</f>
        <v>#N/A</v>
      </c>
      <c r="G102" s="174" t="s">
        <v>78</v>
      </c>
      <c r="H102" s="174" t="s">
        <v>292</v>
      </c>
      <c r="I102" s="174" t="s">
        <v>1063</v>
      </c>
      <c r="J102" s="174" t="s">
        <v>1064</v>
      </c>
      <c r="K102" s="174" t="s">
        <v>1065</v>
      </c>
      <c r="L102" s="174" t="s">
        <v>963</v>
      </c>
      <c r="M102" s="176" t="s">
        <v>1066</v>
      </c>
      <c r="N102" s="176" t="s">
        <v>965</v>
      </c>
      <c r="O102" s="176" t="s">
        <v>1020</v>
      </c>
      <c r="P102" s="176" t="s">
        <v>1021</v>
      </c>
      <c r="Q102" s="176" t="s">
        <v>1022</v>
      </c>
      <c r="R102" s="176" t="s">
        <v>1023</v>
      </c>
      <c r="S102" s="174" t="s">
        <v>60</v>
      </c>
      <c r="T102" s="174" t="s">
        <v>60</v>
      </c>
      <c r="U102" s="174" t="s">
        <v>60</v>
      </c>
      <c r="V102" s="174" t="s">
        <v>60</v>
      </c>
      <c r="W102" s="174" t="s">
        <v>60</v>
      </c>
      <c r="X102" s="174" t="s">
        <v>60</v>
      </c>
      <c r="Y102" s="174" t="s">
        <v>60</v>
      </c>
      <c r="Z102" s="174" t="s">
        <v>60</v>
      </c>
      <c r="AA102" s="174" t="s">
        <v>60</v>
      </c>
      <c r="AB102" s="174" t="s">
        <v>60</v>
      </c>
      <c r="AC102" s="174">
        <v>1</v>
      </c>
      <c r="AD102" s="174" t="s">
        <v>965</v>
      </c>
      <c r="AE102" s="174"/>
      <c r="AF102" s="174" t="s">
        <v>1024</v>
      </c>
      <c r="AG102" s="174"/>
      <c r="AH102" s="174"/>
      <c r="AI102" s="174"/>
      <c r="AJ102" s="174" t="s">
        <v>292</v>
      </c>
      <c r="AK102" s="174" t="s">
        <v>291</v>
      </c>
      <c r="AL102" s="174" t="s">
        <v>1054</v>
      </c>
      <c r="AM102" s="181" t="s">
        <v>755</v>
      </c>
      <c r="AN102" s="192"/>
    </row>
    <row r="103" spans="1:40" s="175" customFormat="1" ht="12" customHeight="1">
      <c r="A103" s="174">
        <v>101</v>
      </c>
      <c r="B103" s="174" t="s">
        <v>434</v>
      </c>
      <c r="C103" s="174" t="s">
        <v>957</v>
      </c>
      <c r="D103" s="174" t="s">
        <v>656</v>
      </c>
      <c r="E103" s="174" t="s">
        <v>290</v>
      </c>
      <c r="F103" s="174" t="e">
        <f>VLOOKUP(E103,'95 Chỉ tiêu'!$B$4:$F$177,2,0)</f>
        <v>#N/A</v>
      </c>
      <c r="G103" s="174" t="s">
        <v>78</v>
      </c>
      <c r="H103" s="174" t="s">
        <v>292</v>
      </c>
      <c r="I103" s="174" t="s">
        <v>1067</v>
      </c>
      <c r="J103" s="174" t="s">
        <v>1068</v>
      </c>
      <c r="K103" s="174" t="s">
        <v>1069</v>
      </c>
      <c r="L103" s="174" t="s">
        <v>963</v>
      </c>
      <c r="M103" s="176" t="s">
        <v>1070</v>
      </c>
      <c r="N103" s="176" t="s">
        <v>965</v>
      </c>
      <c r="O103" s="176" t="s">
        <v>1020</v>
      </c>
      <c r="P103" s="176" t="s">
        <v>1021</v>
      </c>
      <c r="Q103" s="176" t="s">
        <v>1022</v>
      </c>
      <c r="R103" s="176" t="s">
        <v>1023</v>
      </c>
      <c r="S103" s="174" t="s">
        <v>60</v>
      </c>
      <c r="T103" s="174" t="s">
        <v>60</v>
      </c>
      <c r="U103" s="174" t="s">
        <v>60</v>
      </c>
      <c r="V103" s="174" t="s">
        <v>60</v>
      </c>
      <c r="W103" s="174" t="s">
        <v>60</v>
      </c>
      <c r="X103" s="174" t="s">
        <v>60</v>
      </c>
      <c r="Y103" s="174" t="s">
        <v>60</v>
      </c>
      <c r="Z103" s="174" t="s">
        <v>60</v>
      </c>
      <c r="AA103" s="174" t="s">
        <v>60</v>
      </c>
      <c r="AB103" s="174" t="s">
        <v>60</v>
      </c>
      <c r="AC103" s="174">
        <v>1</v>
      </c>
      <c r="AD103" s="174" t="s">
        <v>965</v>
      </c>
      <c r="AE103" s="174"/>
      <c r="AF103" s="174" t="s">
        <v>1024</v>
      </c>
      <c r="AG103" s="174"/>
      <c r="AH103" s="174"/>
      <c r="AI103" s="174"/>
      <c r="AJ103" s="174" t="s">
        <v>292</v>
      </c>
      <c r="AK103" s="174" t="s">
        <v>291</v>
      </c>
      <c r="AL103" s="174" t="s">
        <v>1054</v>
      </c>
      <c r="AM103" s="181" t="s">
        <v>755</v>
      </c>
      <c r="AN103" s="192"/>
    </row>
    <row r="104" spans="1:40" s="175" customFormat="1" ht="12" customHeight="1">
      <c r="A104" s="174">
        <v>102</v>
      </c>
      <c r="B104" s="174" t="s">
        <v>434</v>
      </c>
      <c r="C104" s="174" t="s">
        <v>957</v>
      </c>
      <c r="D104" s="174" t="s">
        <v>656</v>
      </c>
      <c r="E104" s="174" t="s">
        <v>290</v>
      </c>
      <c r="F104" s="174" t="e">
        <f>VLOOKUP(E104,'95 Chỉ tiêu'!$B$4:$F$177,2,0)</f>
        <v>#N/A</v>
      </c>
      <c r="G104" s="174" t="s">
        <v>78</v>
      </c>
      <c r="H104" s="174" t="s">
        <v>292</v>
      </c>
      <c r="I104" s="174" t="s">
        <v>1071</v>
      </c>
      <c r="J104" s="174" t="s">
        <v>1072</v>
      </c>
      <c r="K104" s="174" t="s">
        <v>1073</v>
      </c>
      <c r="L104" s="174" t="s">
        <v>963</v>
      </c>
      <c r="M104" s="176" t="s">
        <v>1074</v>
      </c>
      <c r="N104" s="176" t="s">
        <v>965</v>
      </c>
      <c r="O104" s="176" t="s">
        <v>1020</v>
      </c>
      <c r="P104" s="176" t="s">
        <v>1021</v>
      </c>
      <c r="Q104" s="176" t="s">
        <v>1022</v>
      </c>
      <c r="R104" s="176" t="s">
        <v>1023</v>
      </c>
      <c r="S104" s="174" t="s">
        <v>60</v>
      </c>
      <c r="T104" s="174" t="s">
        <v>60</v>
      </c>
      <c r="U104" s="174" t="s">
        <v>60</v>
      </c>
      <c r="V104" s="174" t="s">
        <v>60</v>
      </c>
      <c r="W104" s="174" t="s">
        <v>60</v>
      </c>
      <c r="X104" s="174" t="s">
        <v>60</v>
      </c>
      <c r="Y104" s="174" t="s">
        <v>60</v>
      </c>
      <c r="Z104" s="174" t="s">
        <v>60</v>
      </c>
      <c r="AA104" s="174" t="s">
        <v>60</v>
      </c>
      <c r="AB104" s="174" t="s">
        <v>60</v>
      </c>
      <c r="AC104" s="174">
        <v>1</v>
      </c>
      <c r="AD104" s="174" t="s">
        <v>965</v>
      </c>
      <c r="AE104" s="174"/>
      <c r="AF104" s="174" t="s">
        <v>1024</v>
      </c>
      <c r="AG104" s="174"/>
      <c r="AH104" s="174"/>
      <c r="AI104" s="174"/>
      <c r="AJ104" s="174" t="s">
        <v>292</v>
      </c>
      <c r="AK104" s="174" t="s">
        <v>291</v>
      </c>
      <c r="AL104" s="174" t="s">
        <v>1054</v>
      </c>
      <c r="AM104" s="181" t="s">
        <v>755</v>
      </c>
      <c r="AN104" s="192"/>
    </row>
    <row r="105" spans="1:40" s="175" customFormat="1" ht="12" customHeight="1">
      <c r="A105" s="174">
        <v>103</v>
      </c>
      <c r="B105" s="174" t="s">
        <v>434</v>
      </c>
      <c r="C105" s="174" t="s">
        <v>957</v>
      </c>
      <c r="D105" s="174" t="s">
        <v>656</v>
      </c>
      <c r="E105" s="174" t="s">
        <v>290</v>
      </c>
      <c r="F105" s="174" t="e">
        <f>VLOOKUP(E105,'95 Chỉ tiêu'!$B$4:$F$177,2,0)</f>
        <v>#N/A</v>
      </c>
      <c r="G105" s="174" t="s">
        <v>78</v>
      </c>
      <c r="H105" s="174" t="s">
        <v>292</v>
      </c>
      <c r="I105" s="174" t="s">
        <v>1075</v>
      </c>
      <c r="J105" s="174" t="s">
        <v>1076</v>
      </c>
      <c r="K105" s="174" t="s">
        <v>1077</v>
      </c>
      <c r="L105" s="174" t="s">
        <v>963</v>
      </c>
      <c r="M105" s="176" t="s">
        <v>1078</v>
      </c>
      <c r="N105" s="176" t="s">
        <v>965</v>
      </c>
      <c r="O105" s="176" t="s">
        <v>1020</v>
      </c>
      <c r="P105" s="176" t="s">
        <v>1021</v>
      </c>
      <c r="Q105" s="176" t="s">
        <v>1022</v>
      </c>
      <c r="R105" s="176" t="s">
        <v>1023</v>
      </c>
      <c r="S105" s="174" t="s">
        <v>60</v>
      </c>
      <c r="T105" s="174" t="s">
        <v>60</v>
      </c>
      <c r="U105" s="174" t="s">
        <v>60</v>
      </c>
      <c r="V105" s="174" t="s">
        <v>60</v>
      </c>
      <c r="W105" s="174" t="s">
        <v>60</v>
      </c>
      <c r="X105" s="174" t="s">
        <v>60</v>
      </c>
      <c r="Y105" s="174" t="s">
        <v>60</v>
      </c>
      <c r="Z105" s="174" t="s">
        <v>60</v>
      </c>
      <c r="AA105" s="174" t="s">
        <v>60</v>
      </c>
      <c r="AB105" s="174" t="s">
        <v>60</v>
      </c>
      <c r="AC105" s="174">
        <v>1</v>
      </c>
      <c r="AD105" s="174" t="s">
        <v>965</v>
      </c>
      <c r="AE105" s="174"/>
      <c r="AF105" s="174" t="s">
        <v>1024</v>
      </c>
      <c r="AG105" s="174"/>
      <c r="AH105" s="174"/>
      <c r="AI105" s="174"/>
      <c r="AJ105" s="174" t="s">
        <v>292</v>
      </c>
      <c r="AK105" s="174" t="s">
        <v>291</v>
      </c>
      <c r="AL105" s="174" t="s">
        <v>1054</v>
      </c>
      <c r="AM105" s="181" t="s">
        <v>755</v>
      </c>
      <c r="AN105" s="192"/>
    </row>
    <row r="106" spans="1:40" s="175" customFormat="1" ht="12" customHeight="1">
      <c r="A106" s="174">
        <v>104</v>
      </c>
      <c r="B106" s="174" t="s">
        <v>434</v>
      </c>
      <c r="C106" s="174" t="s">
        <v>957</v>
      </c>
      <c r="D106" s="174" t="s">
        <v>656</v>
      </c>
      <c r="E106" s="174" t="s">
        <v>290</v>
      </c>
      <c r="F106" s="174" t="e">
        <f>VLOOKUP(E106,'95 Chỉ tiêu'!$B$4:$F$177,2,0)</f>
        <v>#N/A</v>
      </c>
      <c r="G106" s="174" t="s">
        <v>78</v>
      </c>
      <c r="H106" s="174" t="s">
        <v>292</v>
      </c>
      <c r="I106" s="174" t="s">
        <v>1079</v>
      </c>
      <c r="J106" s="174" t="s">
        <v>1080</v>
      </c>
      <c r="K106" s="174" t="s">
        <v>1081</v>
      </c>
      <c r="L106" s="174" t="s">
        <v>963</v>
      </c>
      <c r="M106" s="176" t="s">
        <v>1082</v>
      </c>
      <c r="N106" s="176" t="s">
        <v>965</v>
      </c>
      <c r="O106" s="176" t="s">
        <v>1020</v>
      </c>
      <c r="P106" s="176" t="s">
        <v>1021</v>
      </c>
      <c r="Q106" s="176" t="s">
        <v>1022</v>
      </c>
      <c r="R106" s="176" t="s">
        <v>1023</v>
      </c>
      <c r="S106" s="174" t="s">
        <v>60</v>
      </c>
      <c r="T106" s="174" t="s">
        <v>60</v>
      </c>
      <c r="U106" s="174" t="s">
        <v>60</v>
      </c>
      <c r="V106" s="174" t="s">
        <v>60</v>
      </c>
      <c r="W106" s="174" t="s">
        <v>60</v>
      </c>
      <c r="X106" s="174" t="s">
        <v>60</v>
      </c>
      <c r="Y106" s="174" t="s">
        <v>60</v>
      </c>
      <c r="Z106" s="174" t="s">
        <v>60</v>
      </c>
      <c r="AA106" s="174" t="s">
        <v>60</v>
      </c>
      <c r="AB106" s="174" t="s">
        <v>60</v>
      </c>
      <c r="AC106" s="174">
        <v>1</v>
      </c>
      <c r="AD106" s="174" t="s">
        <v>965</v>
      </c>
      <c r="AE106" s="174"/>
      <c r="AF106" s="174" t="s">
        <v>1024</v>
      </c>
      <c r="AG106" s="174"/>
      <c r="AH106" s="174"/>
      <c r="AI106" s="174"/>
      <c r="AJ106" s="174" t="s">
        <v>292</v>
      </c>
      <c r="AK106" s="174" t="s">
        <v>291</v>
      </c>
      <c r="AL106" s="174" t="s">
        <v>1054</v>
      </c>
      <c r="AM106" s="181" t="s">
        <v>755</v>
      </c>
      <c r="AN106" s="192"/>
    </row>
    <row r="107" spans="1:40" s="175" customFormat="1" ht="12" customHeight="1">
      <c r="A107" s="174">
        <v>105</v>
      </c>
      <c r="B107" s="174" t="s">
        <v>434</v>
      </c>
      <c r="C107" s="174" t="s">
        <v>957</v>
      </c>
      <c r="D107" s="174" t="s">
        <v>656</v>
      </c>
      <c r="E107" s="174" t="s">
        <v>290</v>
      </c>
      <c r="F107" s="174" t="e">
        <f>VLOOKUP(E107,'95 Chỉ tiêu'!$B$4:$F$177,2,0)</f>
        <v>#N/A</v>
      </c>
      <c r="G107" s="174" t="s">
        <v>78</v>
      </c>
      <c r="H107" s="174" t="s">
        <v>292</v>
      </c>
      <c r="I107" s="174" t="s">
        <v>1083</v>
      </c>
      <c r="J107" s="174" t="s">
        <v>1084</v>
      </c>
      <c r="K107" s="174" t="s">
        <v>1085</v>
      </c>
      <c r="L107" s="174" t="s">
        <v>963</v>
      </c>
      <c r="M107" s="176" t="s">
        <v>1086</v>
      </c>
      <c r="N107" s="176" t="s">
        <v>965</v>
      </c>
      <c r="O107" s="176" t="s">
        <v>1020</v>
      </c>
      <c r="P107" s="176" t="s">
        <v>1021</v>
      </c>
      <c r="Q107" s="176" t="s">
        <v>1022</v>
      </c>
      <c r="R107" s="176" t="s">
        <v>1023</v>
      </c>
      <c r="S107" s="174" t="s">
        <v>60</v>
      </c>
      <c r="T107" s="174" t="s">
        <v>60</v>
      </c>
      <c r="U107" s="174" t="s">
        <v>60</v>
      </c>
      <c r="V107" s="174" t="s">
        <v>60</v>
      </c>
      <c r="W107" s="174" t="s">
        <v>60</v>
      </c>
      <c r="X107" s="174" t="s">
        <v>60</v>
      </c>
      <c r="Y107" s="174" t="s">
        <v>60</v>
      </c>
      <c r="Z107" s="174" t="s">
        <v>60</v>
      </c>
      <c r="AA107" s="174" t="s">
        <v>60</v>
      </c>
      <c r="AB107" s="174" t="s">
        <v>60</v>
      </c>
      <c r="AC107" s="174">
        <v>1</v>
      </c>
      <c r="AD107" s="174" t="s">
        <v>965</v>
      </c>
      <c r="AE107" s="174"/>
      <c r="AF107" s="174" t="s">
        <v>1024</v>
      </c>
      <c r="AG107" s="174"/>
      <c r="AH107" s="174"/>
      <c r="AI107" s="174"/>
      <c r="AJ107" s="174" t="s">
        <v>292</v>
      </c>
      <c r="AK107" s="174" t="s">
        <v>291</v>
      </c>
      <c r="AL107" s="174" t="s">
        <v>1054</v>
      </c>
      <c r="AM107" s="181" t="s">
        <v>755</v>
      </c>
      <c r="AN107" s="192"/>
    </row>
    <row r="108" spans="1:40" s="175" customFormat="1" ht="12" customHeight="1">
      <c r="A108" s="174">
        <v>106</v>
      </c>
      <c r="B108" s="174" t="s">
        <v>434</v>
      </c>
      <c r="C108" s="174" t="s">
        <v>957</v>
      </c>
      <c r="D108" s="174" t="s">
        <v>656</v>
      </c>
      <c r="E108" s="174" t="s">
        <v>290</v>
      </c>
      <c r="F108" s="174" t="e">
        <f>VLOOKUP(E108,'95 Chỉ tiêu'!$B$4:$F$177,2,0)</f>
        <v>#N/A</v>
      </c>
      <c r="G108" s="174" t="s">
        <v>78</v>
      </c>
      <c r="H108" s="174" t="s">
        <v>292</v>
      </c>
      <c r="I108" s="174" t="s">
        <v>1087</v>
      </c>
      <c r="J108" s="174" t="s">
        <v>1088</v>
      </c>
      <c r="K108" s="174" t="s">
        <v>1089</v>
      </c>
      <c r="L108" s="174" t="s">
        <v>963</v>
      </c>
      <c r="M108" s="176" t="s">
        <v>1090</v>
      </c>
      <c r="N108" s="176" t="s">
        <v>965</v>
      </c>
      <c r="O108" s="176" t="s">
        <v>1020</v>
      </c>
      <c r="P108" s="176" t="s">
        <v>1021</v>
      </c>
      <c r="Q108" s="176" t="s">
        <v>1022</v>
      </c>
      <c r="R108" s="176" t="s">
        <v>1023</v>
      </c>
      <c r="S108" s="174" t="s">
        <v>60</v>
      </c>
      <c r="T108" s="174" t="s">
        <v>60</v>
      </c>
      <c r="U108" s="174" t="s">
        <v>60</v>
      </c>
      <c r="V108" s="174" t="s">
        <v>60</v>
      </c>
      <c r="W108" s="174" t="s">
        <v>60</v>
      </c>
      <c r="X108" s="174" t="s">
        <v>60</v>
      </c>
      <c r="Y108" s="174" t="s">
        <v>60</v>
      </c>
      <c r="Z108" s="174" t="s">
        <v>60</v>
      </c>
      <c r="AA108" s="174" t="s">
        <v>60</v>
      </c>
      <c r="AB108" s="174" t="s">
        <v>60</v>
      </c>
      <c r="AC108" s="174">
        <v>1</v>
      </c>
      <c r="AD108" s="174" t="s">
        <v>965</v>
      </c>
      <c r="AE108" s="174"/>
      <c r="AF108" s="174" t="s">
        <v>1024</v>
      </c>
      <c r="AG108" s="174"/>
      <c r="AH108" s="174"/>
      <c r="AI108" s="174"/>
      <c r="AJ108" s="174" t="s">
        <v>292</v>
      </c>
      <c r="AK108" s="174" t="s">
        <v>291</v>
      </c>
      <c r="AL108" s="174" t="s">
        <v>1054</v>
      </c>
      <c r="AM108" s="181" t="s">
        <v>755</v>
      </c>
      <c r="AN108" s="192"/>
    </row>
    <row r="109" spans="1:40" s="175" customFormat="1" ht="12" customHeight="1">
      <c r="A109" s="174">
        <v>107</v>
      </c>
      <c r="B109" s="174" t="s">
        <v>434</v>
      </c>
      <c r="C109" s="174" t="s">
        <v>957</v>
      </c>
      <c r="D109" s="174" t="s">
        <v>656</v>
      </c>
      <c r="E109" s="174" t="s">
        <v>290</v>
      </c>
      <c r="F109" s="174" t="e">
        <f>VLOOKUP(E109,'95 Chỉ tiêu'!$B$4:$F$177,2,0)</f>
        <v>#N/A</v>
      </c>
      <c r="G109" s="174" t="s">
        <v>78</v>
      </c>
      <c r="H109" s="174" t="s">
        <v>292</v>
      </c>
      <c r="I109" s="174" t="s">
        <v>1091</v>
      </c>
      <c r="J109" s="174" t="s">
        <v>1092</v>
      </c>
      <c r="K109" s="174" t="s">
        <v>1093</v>
      </c>
      <c r="L109" s="174" t="s">
        <v>963</v>
      </c>
      <c r="M109" s="176" t="s">
        <v>1094</v>
      </c>
      <c r="N109" s="176" t="s">
        <v>965</v>
      </c>
      <c r="O109" s="176" t="s">
        <v>1020</v>
      </c>
      <c r="P109" s="176" t="s">
        <v>1021</v>
      </c>
      <c r="Q109" s="176" t="s">
        <v>1022</v>
      </c>
      <c r="R109" s="176" t="s">
        <v>1023</v>
      </c>
      <c r="S109" s="174" t="s">
        <v>60</v>
      </c>
      <c r="T109" s="174" t="s">
        <v>60</v>
      </c>
      <c r="U109" s="174" t="s">
        <v>60</v>
      </c>
      <c r="V109" s="174" t="s">
        <v>60</v>
      </c>
      <c r="W109" s="174" t="s">
        <v>60</v>
      </c>
      <c r="X109" s="174" t="s">
        <v>60</v>
      </c>
      <c r="Y109" s="174" t="s">
        <v>60</v>
      </c>
      <c r="Z109" s="174" t="s">
        <v>60</v>
      </c>
      <c r="AA109" s="174" t="s">
        <v>60</v>
      </c>
      <c r="AB109" s="174" t="s">
        <v>60</v>
      </c>
      <c r="AC109" s="174">
        <v>1</v>
      </c>
      <c r="AD109" s="174" t="s">
        <v>965</v>
      </c>
      <c r="AE109" s="174"/>
      <c r="AF109" s="174" t="s">
        <v>1024</v>
      </c>
      <c r="AG109" s="174"/>
      <c r="AH109" s="174"/>
      <c r="AI109" s="174"/>
      <c r="AJ109" s="174" t="s">
        <v>292</v>
      </c>
      <c r="AK109" s="174" t="s">
        <v>291</v>
      </c>
      <c r="AL109" s="174" t="s">
        <v>1054</v>
      </c>
      <c r="AM109" s="181" t="s">
        <v>755</v>
      </c>
      <c r="AN109" s="192"/>
    </row>
    <row r="110" spans="1:40" s="175" customFormat="1" ht="12" customHeight="1">
      <c r="A110" s="174">
        <v>108</v>
      </c>
      <c r="B110" s="174" t="s">
        <v>434</v>
      </c>
      <c r="C110" s="174" t="s">
        <v>116</v>
      </c>
      <c r="D110" s="174" t="s">
        <v>1095</v>
      </c>
      <c r="E110" s="174" t="s">
        <v>296</v>
      </c>
      <c r="F110" s="174" t="e">
        <f>VLOOKUP(E110,'95 Chỉ tiêu'!$B$4:$F$177,2,0)</f>
        <v>#N/A</v>
      </c>
      <c r="G110" s="174" t="s">
        <v>99</v>
      </c>
      <c r="H110" s="174" t="s">
        <v>1096</v>
      </c>
      <c r="I110" s="174"/>
      <c r="J110" s="174"/>
      <c r="K110" s="174" t="s">
        <v>1097</v>
      </c>
      <c r="L110" s="174"/>
      <c r="M110" s="174"/>
      <c r="N110" s="174"/>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t="s">
        <v>1098</v>
      </c>
      <c r="AK110" s="174"/>
      <c r="AL110" s="174"/>
      <c r="AM110" s="181"/>
      <c r="AN110" s="192"/>
    </row>
    <row r="111" spans="1:40" s="175" customFormat="1" ht="12" customHeight="1">
      <c r="A111" s="174">
        <v>109</v>
      </c>
      <c r="B111" s="174" t="s">
        <v>434</v>
      </c>
      <c r="C111" s="174" t="s">
        <v>116</v>
      </c>
      <c r="D111" s="174" t="s">
        <v>1095</v>
      </c>
      <c r="E111" s="174" t="s">
        <v>313</v>
      </c>
      <c r="F111" s="174" t="s">
        <v>430</v>
      </c>
      <c r="G111" s="174"/>
      <c r="H111" s="174"/>
      <c r="I111" s="174"/>
      <c r="J111" s="174"/>
      <c r="K111" s="174" t="s">
        <v>1099</v>
      </c>
      <c r="L111" s="174"/>
      <c r="M111" s="174"/>
      <c r="N111" s="174"/>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t="s">
        <v>1100</v>
      </c>
      <c r="AK111" s="174"/>
      <c r="AL111" s="174"/>
      <c r="AM111" s="181"/>
      <c r="AN111" s="192"/>
    </row>
    <row r="112" spans="1:40" s="175" customFormat="1" ht="12" customHeight="1">
      <c r="A112" s="174">
        <v>110</v>
      </c>
      <c r="B112" s="174" t="s">
        <v>434</v>
      </c>
      <c r="C112" s="174" t="s">
        <v>957</v>
      </c>
      <c r="D112" s="174" t="s">
        <v>1101</v>
      </c>
      <c r="E112" s="174" t="s">
        <v>316</v>
      </c>
      <c r="F112" s="174" t="e">
        <f>VLOOKUP(E112,'95 Chỉ tiêu'!$B$4:$F$177,2,0)</f>
        <v>#N/A</v>
      </c>
      <c r="G112" s="174" t="s">
        <v>78</v>
      </c>
      <c r="H112" s="174" t="s">
        <v>1102</v>
      </c>
      <c r="I112" s="174" t="s">
        <v>1103</v>
      </c>
      <c r="J112" s="174" t="s">
        <v>1104</v>
      </c>
      <c r="K112" s="174" t="s">
        <v>1105</v>
      </c>
      <c r="L112" s="174" t="s">
        <v>963</v>
      </c>
      <c r="M112" s="174" t="s">
        <v>1106</v>
      </c>
      <c r="N112" s="174" t="s">
        <v>60</v>
      </c>
      <c r="O112" s="174" t="s">
        <v>1107</v>
      </c>
      <c r="P112" s="174" t="s">
        <v>1108</v>
      </c>
      <c r="Q112" s="174" t="s">
        <v>1109</v>
      </c>
      <c r="R112" s="174" t="s">
        <v>1110</v>
      </c>
      <c r="S112" s="174" t="s">
        <v>60</v>
      </c>
      <c r="T112" s="174" t="s">
        <v>60</v>
      </c>
      <c r="U112" s="174" t="s">
        <v>60</v>
      </c>
      <c r="V112" s="174" t="s">
        <v>60</v>
      </c>
      <c r="W112" s="174" t="s">
        <v>60</v>
      </c>
      <c r="X112" s="174" t="s">
        <v>60</v>
      </c>
      <c r="Y112" s="174" t="s">
        <v>60</v>
      </c>
      <c r="Z112" s="174" t="s">
        <v>60</v>
      </c>
      <c r="AA112" s="174" t="s">
        <v>60</v>
      </c>
      <c r="AB112" s="174" t="s">
        <v>60</v>
      </c>
      <c r="AC112" s="174">
        <v>1</v>
      </c>
      <c r="AD112" s="174"/>
      <c r="AE112" s="174"/>
      <c r="AF112" s="174"/>
      <c r="AG112" s="174"/>
      <c r="AH112" s="174"/>
      <c r="AI112" s="174"/>
      <c r="AJ112" s="174" t="s">
        <v>1102</v>
      </c>
      <c r="AK112" s="174" t="s">
        <v>1111</v>
      </c>
      <c r="AL112" s="174"/>
      <c r="AM112" s="181" t="s">
        <v>554</v>
      </c>
      <c r="AN112" s="192"/>
    </row>
    <row r="113" spans="1:40" s="175" customFormat="1" ht="12" customHeight="1">
      <c r="A113" s="174">
        <v>111</v>
      </c>
      <c r="B113" s="174" t="s">
        <v>434</v>
      </c>
      <c r="C113" s="174" t="s">
        <v>957</v>
      </c>
      <c r="D113" s="174" t="s">
        <v>1101</v>
      </c>
      <c r="E113" s="174" t="s">
        <v>316</v>
      </c>
      <c r="F113" s="174" t="e">
        <f>VLOOKUP(E113,'95 Chỉ tiêu'!$B$4:$F$177,2,0)</f>
        <v>#N/A</v>
      </c>
      <c r="G113" s="174" t="s">
        <v>78</v>
      </c>
      <c r="H113" s="174" t="s">
        <v>1102</v>
      </c>
      <c r="I113" s="174" t="s">
        <v>1112</v>
      </c>
      <c r="J113" s="174" t="s">
        <v>1113</v>
      </c>
      <c r="K113" s="174" t="s">
        <v>1114</v>
      </c>
      <c r="L113" s="174" t="s">
        <v>963</v>
      </c>
      <c r="M113" s="174" t="s">
        <v>1115</v>
      </c>
      <c r="N113" s="174" t="s">
        <v>60</v>
      </c>
      <c r="O113" s="174" t="s">
        <v>1107</v>
      </c>
      <c r="P113" s="174" t="s">
        <v>1108</v>
      </c>
      <c r="Q113" s="174" t="s">
        <v>1109</v>
      </c>
      <c r="R113" s="174" t="s">
        <v>1110</v>
      </c>
      <c r="S113" s="174" t="s">
        <v>60</v>
      </c>
      <c r="T113" s="174" t="s">
        <v>60</v>
      </c>
      <c r="U113" s="174" t="s">
        <v>60</v>
      </c>
      <c r="V113" s="174" t="s">
        <v>60</v>
      </c>
      <c r="W113" s="174" t="s">
        <v>60</v>
      </c>
      <c r="X113" s="174" t="s">
        <v>60</v>
      </c>
      <c r="Y113" s="174" t="s">
        <v>60</v>
      </c>
      <c r="Z113" s="174" t="s">
        <v>60</v>
      </c>
      <c r="AA113" s="174" t="s">
        <v>60</v>
      </c>
      <c r="AB113" s="174" t="s">
        <v>60</v>
      </c>
      <c r="AC113" s="174">
        <v>1</v>
      </c>
      <c r="AD113" s="174"/>
      <c r="AE113" s="174"/>
      <c r="AF113" s="174"/>
      <c r="AG113" s="174"/>
      <c r="AH113" s="174"/>
      <c r="AI113" s="174"/>
      <c r="AJ113" s="174" t="s">
        <v>1102</v>
      </c>
      <c r="AK113" s="174" t="s">
        <v>1111</v>
      </c>
      <c r="AL113" s="174"/>
      <c r="AM113" s="181" t="s">
        <v>554</v>
      </c>
      <c r="AN113" s="192"/>
    </row>
    <row r="114" spans="1:40" s="175" customFormat="1" ht="12" customHeight="1">
      <c r="A114" s="174">
        <v>112</v>
      </c>
      <c r="B114" s="174" t="s">
        <v>434</v>
      </c>
      <c r="C114" s="174" t="s">
        <v>957</v>
      </c>
      <c r="D114" s="174" t="s">
        <v>1101</v>
      </c>
      <c r="E114" s="174" t="s">
        <v>316</v>
      </c>
      <c r="F114" s="174" t="e">
        <f>VLOOKUP(E114,'95 Chỉ tiêu'!$B$4:$F$177,2,0)</f>
        <v>#N/A</v>
      </c>
      <c r="G114" s="174" t="s">
        <v>78</v>
      </c>
      <c r="H114" s="174" t="s">
        <v>1102</v>
      </c>
      <c r="I114" s="174" t="s">
        <v>1116</v>
      </c>
      <c r="J114" s="174" t="s">
        <v>1117</v>
      </c>
      <c r="K114" s="174" t="s">
        <v>1118</v>
      </c>
      <c r="L114" s="174" t="s">
        <v>963</v>
      </c>
      <c r="M114" s="174" t="s">
        <v>1119</v>
      </c>
      <c r="N114" s="174" t="s">
        <v>60</v>
      </c>
      <c r="O114" s="174" t="s">
        <v>1107</v>
      </c>
      <c r="P114" s="174" t="s">
        <v>1108</v>
      </c>
      <c r="Q114" s="174" t="s">
        <v>1109</v>
      </c>
      <c r="R114" s="174" t="s">
        <v>1110</v>
      </c>
      <c r="S114" s="174" t="s">
        <v>60</v>
      </c>
      <c r="T114" s="174" t="s">
        <v>60</v>
      </c>
      <c r="U114" s="174" t="s">
        <v>60</v>
      </c>
      <c r="V114" s="174" t="s">
        <v>60</v>
      </c>
      <c r="W114" s="174" t="s">
        <v>60</v>
      </c>
      <c r="X114" s="174" t="s">
        <v>60</v>
      </c>
      <c r="Y114" s="174" t="s">
        <v>60</v>
      </c>
      <c r="Z114" s="174" t="s">
        <v>60</v>
      </c>
      <c r="AA114" s="174" t="s">
        <v>60</v>
      </c>
      <c r="AB114" s="174" t="s">
        <v>60</v>
      </c>
      <c r="AC114" s="174">
        <v>1</v>
      </c>
      <c r="AD114" s="174"/>
      <c r="AE114" s="174"/>
      <c r="AF114" s="174"/>
      <c r="AG114" s="174"/>
      <c r="AH114" s="174"/>
      <c r="AI114" s="174"/>
      <c r="AJ114" s="174" t="s">
        <v>1102</v>
      </c>
      <c r="AK114" s="174" t="s">
        <v>1111</v>
      </c>
      <c r="AL114" s="174"/>
      <c r="AM114" s="181" t="s">
        <v>554</v>
      </c>
      <c r="AN114" s="192"/>
    </row>
    <row r="115" spans="1:40" s="175" customFormat="1" ht="12" customHeight="1">
      <c r="A115" s="174">
        <v>113</v>
      </c>
      <c r="B115" s="174" t="s">
        <v>434</v>
      </c>
      <c r="C115" s="174" t="s">
        <v>957</v>
      </c>
      <c r="D115" s="174" t="s">
        <v>1101</v>
      </c>
      <c r="E115" s="174" t="s">
        <v>316</v>
      </c>
      <c r="F115" s="174" t="e">
        <f>VLOOKUP(E115,'95 Chỉ tiêu'!$B$4:$F$177,2,0)</f>
        <v>#N/A</v>
      </c>
      <c r="G115" s="174" t="s">
        <v>78</v>
      </c>
      <c r="H115" s="174" t="s">
        <v>1102</v>
      </c>
      <c r="I115" s="174" t="s">
        <v>1120</v>
      </c>
      <c r="J115" s="174" t="s">
        <v>1121</v>
      </c>
      <c r="K115" s="174" t="s">
        <v>1122</v>
      </c>
      <c r="L115" s="174" t="s">
        <v>963</v>
      </c>
      <c r="M115" s="174" t="s">
        <v>1123</v>
      </c>
      <c r="N115" s="174" t="s">
        <v>60</v>
      </c>
      <c r="O115" s="174" t="s">
        <v>1107</v>
      </c>
      <c r="P115" s="174" t="s">
        <v>1108</v>
      </c>
      <c r="Q115" s="174" t="s">
        <v>1109</v>
      </c>
      <c r="R115" s="174" t="s">
        <v>1110</v>
      </c>
      <c r="S115" s="174" t="s">
        <v>60</v>
      </c>
      <c r="T115" s="174" t="s">
        <v>60</v>
      </c>
      <c r="U115" s="174" t="s">
        <v>60</v>
      </c>
      <c r="V115" s="174" t="s">
        <v>60</v>
      </c>
      <c r="W115" s="174" t="s">
        <v>60</v>
      </c>
      <c r="X115" s="174" t="s">
        <v>60</v>
      </c>
      <c r="Y115" s="174" t="s">
        <v>60</v>
      </c>
      <c r="Z115" s="174" t="s">
        <v>60</v>
      </c>
      <c r="AA115" s="174" t="s">
        <v>60</v>
      </c>
      <c r="AB115" s="174" t="s">
        <v>60</v>
      </c>
      <c r="AC115" s="174">
        <v>1</v>
      </c>
      <c r="AD115" s="174"/>
      <c r="AE115" s="174"/>
      <c r="AF115" s="174"/>
      <c r="AG115" s="174"/>
      <c r="AH115" s="174"/>
      <c r="AI115" s="174"/>
      <c r="AJ115" s="174" t="s">
        <v>1102</v>
      </c>
      <c r="AK115" s="174" t="s">
        <v>1111</v>
      </c>
      <c r="AL115" s="174"/>
      <c r="AM115" s="181" t="s">
        <v>554</v>
      </c>
      <c r="AN115" s="192"/>
    </row>
    <row r="116" spans="1:40" s="175" customFormat="1" ht="12" customHeight="1">
      <c r="A116" s="174">
        <v>114</v>
      </c>
      <c r="B116" s="174" t="s">
        <v>434</v>
      </c>
      <c r="C116" s="174" t="s">
        <v>957</v>
      </c>
      <c r="D116" s="174" t="s">
        <v>1101</v>
      </c>
      <c r="E116" s="174" t="s">
        <v>316</v>
      </c>
      <c r="F116" s="174" t="e">
        <f>VLOOKUP(E116,'95 Chỉ tiêu'!$B$4:$F$177,2,0)</f>
        <v>#N/A</v>
      </c>
      <c r="G116" s="174" t="s">
        <v>78</v>
      </c>
      <c r="H116" s="174" t="s">
        <v>1102</v>
      </c>
      <c r="I116" s="174" t="s">
        <v>1124</v>
      </c>
      <c r="J116" s="174" t="s">
        <v>1125</v>
      </c>
      <c r="K116" s="174" t="s">
        <v>1126</v>
      </c>
      <c r="L116" s="174" t="s">
        <v>963</v>
      </c>
      <c r="M116" s="174" t="s">
        <v>1127</v>
      </c>
      <c r="N116" s="174" t="s">
        <v>60</v>
      </c>
      <c r="O116" s="174" t="s">
        <v>1107</v>
      </c>
      <c r="P116" s="174" t="s">
        <v>1108</v>
      </c>
      <c r="Q116" s="174" t="s">
        <v>1109</v>
      </c>
      <c r="R116" s="174" t="s">
        <v>1110</v>
      </c>
      <c r="S116" s="174" t="s">
        <v>60</v>
      </c>
      <c r="T116" s="174" t="s">
        <v>60</v>
      </c>
      <c r="U116" s="174" t="s">
        <v>60</v>
      </c>
      <c r="V116" s="174" t="s">
        <v>60</v>
      </c>
      <c r="W116" s="174" t="s">
        <v>60</v>
      </c>
      <c r="X116" s="174" t="s">
        <v>60</v>
      </c>
      <c r="Y116" s="174" t="s">
        <v>60</v>
      </c>
      <c r="Z116" s="174" t="s">
        <v>60</v>
      </c>
      <c r="AA116" s="174" t="s">
        <v>60</v>
      </c>
      <c r="AB116" s="174" t="s">
        <v>60</v>
      </c>
      <c r="AC116" s="174">
        <v>1</v>
      </c>
      <c r="AD116" s="174"/>
      <c r="AE116" s="174"/>
      <c r="AF116" s="174"/>
      <c r="AG116" s="174"/>
      <c r="AH116" s="174"/>
      <c r="AI116" s="174"/>
      <c r="AJ116" s="174" t="s">
        <v>1102</v>
      </c>
      <c r="AK116" s="174" t="s">
        <v>1111</v>
      </c>
      <c r="AL116" s="174"/>
      <c r="AM116" s="181" t="s">
        <v>582</v>
      </c>
      <c r="AN116" s="192"/>
    </row>
    <row r="117" spans="1:40" s="175" customFormat="1" ht="12" customHeight="1">
      <c r="A117" s="174">
        <v>115</v>
      </c>
      <c r="B117" s="174" t="s">
        <v>434</v>
      </c>
      <c r="C117" s="174" t="s">
        <v>957</v>
      </c>
      <c r="D117" s="174" t="s">
        <v>1101</v>
      </c>
      <c r="E117" s="174" t="s">
        <v>316</v>
      </c>
      <c r="F117" s="174" t="e">
        <f>VLOOKUP(E117,'95 Chỉ tiêu'!$B$4:$F$177,2,0)</f>
        <v>#N/A</v>
      </c>
      <c r="G117" s="174" t="s">
        <v>78</v>
      </c>
      <c r="H117" s="174" t="s">
        <v>1102</v>
      </c>
      <c r="I117" s="174" t="s">
        <v>1128</v>
      </c>
      <c r="J117" s="174" t="s">
        <v>1129</v>
      </c>
      <c r="K117" s="174" t="s">
        <v>1130</v>
      </c>
      <c r="L117" s="174" t="s">
        <v>963</v>
      </c>
      <c r="M117" s="174" t="s">
        <v>1131</v>
      </c>
      <c r="N117" s="174" t="s">
        <v>60</v>
      </c>
      <c r="O117" s="174" t="s">
        <v>1107</v>
      </c>
      <c r="P117" s="174" t="s">
        <v>1108</v>
      </c>
      <c r="Q117" s="174" t="s">
        <v>1109</v>
      </c>
      <c r="R117" s="174" t="s">
        <v>1110</v>
      </c>
      <c r="S117" s="174" t="s">
        <v>60</v>
      </c>
      <c r="T117" s="174" t="s">
        <v>60</v>
      </c>
      <c r="U117" s="174" t="s">
        <v>60</v>
      </c>
      <c r="V117" s="174" t="s">
        <v>60</v>
      </c>
      <c r="W117" s="174" t="s">
        <v>60</v>
      </c>
      <c r="X117" s="174" t="s">
        <v>60</v>
      </c>
      <c r="Y117" s="174" t="s">
        <v>60</v>
      </c>
      <c r="Z117" s="174" t="s">
        <v>60</v>
      </c>
      <c r="AA117" s="174" t="s">
        <v>60</v>
      </c>
      <c r="AB117" s="174" t="s">
        <v>60</v>
      </c>
      <c r="AC117" s="174">
        <v>1</v>
      </c>
      <c r="AD117" s="174"/>
      <c r="AE117" s="174"/>
      <c r="AF117" s="174"/>
      <c r="AG117" s="174"/>
      <c r="AH117" s="174"/>
      <c r="AI117" s="174"/>
      <c r="AJ117" s="174" t="s">
        <v>1102</v>
      </c>
      <c r="AK117" s="174" t="s">
        <v>1111</v>
      </c>
      <c r="AL117" s="174"/>
      <c r="AM117" s="181" t="s">
        <v>582</v>
      </c>
      <c r="AN117" s="192"/>
    </row>
    <row r="118" spans="1:40" s="175" customFormat="1" ht="12" customHeight="1">
      <c r="A118" s="174">
        <v>116</v>
      </c>
      <c r="B118" s="174" t="s">
        <v>434</v>
      </c>
      <c r="C118" s="182" t="s">
        <v>116</v>
      </c>
      <c r="D118" s="174" t="s">
        <v>1095</v>
      </c>
      <c r="E118" s="174" t="s">
        <v>306</v>
      </c>
      <c r="F118" s="174"/>
      <c r="G118" s="174"/>
      <c r="H118" s="174"/>
      <c r="I118" s="174"/>
      <c r="J118" s="174"/>
      <c r="K118" s="174" t="s">
        <v>1132</v>
      </c>
      <c r="L118" s="174"/>
      <c r="M118" s="174"/>
      <c r="N118" s="174"/>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t="s">
        <v>308</v>
      </c>
      <c r="AK118" s="174"/>
      <c r="AL118" s="174"/>
      <c r="AM118" s="181"/>
      <c r="AN118" s="192"/>
    </row>
    <row r="119" spans="1:40" s="175" customFormat="1" ht="12" customHeight="1">
      <c r="A119" s="174">
        <v>117</v>
      </c>
      <c r="B119" s="181" t="s">
        <v>434</v>
      </c>
      <c r="C119" s="196" t="s">
        <v>957</v>
      </c>
      <c r="D119" s="188" t="s">
        <v>656</v>
      </c>
      <c r="E119" s="174" t="s">
        <v>327</v>
      </c>
      <c r="F119" s="174" t="s">
        <v>54</v>
      </c>
      <c r="G119" s="174" t="s">
        <v>78</v>
      </c>
      <c r="H119" s="174" t="s">
        <v>1133</v>
      </c>
      <c r="I119" s="174" t="s">
        <v>1128</v>
      </c>
      <c r="J119" s="174" t="s">
        <v>1134</v>
      </c>
      <c r="K119" s="174" t="s">
        <v>1135</v>
      </c>
      <c r="L119" s="174" t="s">
        <v>963</v>
      </c>
      <c r="M119" s="176" t="s">
        <v>1136</v>
      </c>
      <c r="N119" s="174" t="s">
        <v>60</v>
      </c>
      <c r="O119" s="176" t="s">
        <v>1020</v>
      </c>
      <c r="P119" s="176" t="s">
        <v>1021</v>
      </c>
      <c r="Q119" s="176" t="s">
        <v>1022</v>
      </c>
      <c r="R119" s="176" t="s">
        <v>1137</v>
      </c>
      <c r="S119" s="174" t="s">
        <v>60</v>
      </c>
      <c r="T119" s="174" t="s">
        <v>60</v>
      </c>
      <c r="U119" s="174" t="s">
        <v>60</v>
      </c>
      <c r="V119" s="174" t="s">
        <v>60</v>
      </c>
      <c r="W119" s="174" t="s">
        <v>60</v>
      </c>
      <c r="X119" s="174" t="s">
        <v>60</v>
      </c>
      <c r="Y119" s="174" t="s">
        <v>60</v>
      </c>
      <c r="Z119" s="174" t="s">
        <v>60</v>
      </c>
      <c r="AA119" s="174" t="s">
        <v>60</v>
      </c>
      <c r="AB119" s="174" t="s">
        <v>60</v>
      </c>
      <c r="AC119" s="174">
        <v>1</v>
      </c>
      <c r="AD119" s="174"/>
      <c r="AE119" s="174"/>
      <c r="AF119" s="174" t="s">
        <v>1024</v>
      </c>
      <c r="AG119" s="174"/>
      <c r="AH119" s="174"/>
      <c r="AI119" s="174"/>
      <c r="AJ119" s="174" t="s">
        <v>329</v>
      </c>
      <c r="AK119" s="174" t="s">
        <v>1138</v>
      </c>
      <c r="AL119" s="174"/>
      <c r="AM119" s="181" t="s">
        <v>554</v>
      </c>
      <c r="AN119" s="192"/>
    </row>
    <row r="120" spans="1:40" s="175" customFormat="1" ht="12" customHeight="1">
      <c r="A120" s="174">
        <v>118</v>
      </c>
      <c r="B120" s="181" t="s">
        <v>434</v>
      </c>
      <c r="C120" s="196" t="s">
        <v>957</v>
      </c>
      <c r="D120" s="188" t="s">
        <v>656</v>
      </c>
      <c r="E120" s="174" t="s">
        <v>327</v>
      </c>
      <c r="F120" s="174" t="s">
        <v>54</v>
      </c>
      <c r="G120" s="174" t="s">
        <v>78</v>
      </c>
      <c r="H120" s="174" t="s">
        <v>1133</v>
      </c>
      <c r="I120" s="174" t="s">
        <v>1139</v>
      </c>
      <c r="J120" s="174" t="s">
        <v>1140</v>
      </c>
      <c r="K120" s="174" t="s">
        <v>1141</v>
      </c>
      <c r="L120" s="174" t="s">
        <v>963</v>
      </c>
      <c r="M120" s="176" t="s">
        <v>1142</v>
      </c>
      <c r="N120" s="174" t="s">
        <v>60</v>
      </c>
      <c r="O120" s="176" t="s">
        <v>1020</v>
      </c>
      <c r="P120" s="176" t="s">
        <v>1021</v>
      </c>
      <c r="Q120" s="176" t="s">
        <v>1022</v>
      </c>
      <c r="R120" s="176" t="s">
        <v>1137</v>
      </c>
      <c r="S120" s="174" t="s">
        <v>60</v>
      </c>
      <c r="T120" s="174" t="s">
        <v>60</v>
      </c>
      <c r="U120" s="174" t="s">
        <v>60</v>
      </c>
      <c r="V120" s="174" t="s">
        <v>60</v>
      </c>
      <c r="W120" s="174" t="s">
        <v>60</v>
      </c>
      <c r="X120" s="174" t="s">
        <v>60</v>
      </c>
      <c r="Y120" s="174" t="s">
        <v>60</v>
      </c>
      <c r="Z120" s="174" t="s">
        <v>60</v>
      </c>
      <c r="AA120" s="174" t="s">
        <v>60</v>
      </c>
      <c r="AB120" s="174" t="s">
        <v>60</v>
      </c>
      <c r="AC120" s="174">
        <v>1</v>
      </c>
      <c r="AD120" s="174"/>
      <c r="AE120" s="174"/>
      <c r="AF120" s="174" t="s">
        <v>1024</v>
      </c>
      <c r="AG120" s="174"/>
      <c r="AH120" s="174"/>
      <c r="AI120" s="174"/>
      <c r="AJ120" s="174" t="s">
        <v>329</v>
      </c>
      <c r="AK120" s="174" t="s">
        <v>1138</v>
      </c>
      <c r="AL120" s="174"/>
      <c r="AM120" s="181" t="s">
        <v>554</v>
      </c>
      <c r="AN120" s="192"/>
    </row>
    <row r="121" spans="1:40" s="175" customFormat="1" ht="12" customHeight="1">
      <c r="A121" s="174">
        <v>119</v>
      </c>
      <c r="B121" s="181" t="s">
        <v>434</v>
      </c>
      <c r="C121" s="196" t="s">
        <v>957</v>
      </c>
      <c r="D121" s="188" t="s">
        <v>656</v>
      </c>
      <c r="E121" s="174" t="s">
        <v>327</v>
      </c>
      <c r="F121" s="174" t="s">
        <v>54</v>
      </c>
      <c r="G121" s="174" t="s">
        <v>78</v>
      </c>
      <c r="H121" s="174" t="s">
        <v>1133</v>
      </c>
      <c r="I121" s="174" t="s">
        <v>1143</v>
      </c>
      <c r="J121" s="174" t="s">
        <v>1144</v>
      </c>
      <c r="K121" s="174" t="s">
        <v>1145</v>
      </c>
      <c r="L121" s="174" t="s">
        <v>963</v>
      </c>
      <c r="M121" s="176" t="s">
        <v>1146</v>
      </c>
      <c r="N121" s="174" t="s">
        <v>60</v>
      </c>
      <c r="O121" s="176" t="s">
        <v>1020</v>
      </c>
      <c r="P121" s="176" t="s">
        <v>1021</v>
      </c>
      <c r="Q121" s="176" t="s">
        <v>1022</v>
      </c>
      <c r="R121" s="176" t="s">
        <v>1137</v>
      </c>
      <c r="S121" s="174" t="s">
        <v>60</v>
      </c>
      <c r="T121" s="174" t="s">
        <v>60</v>
      </c>
      <c r="U121" s="174" t="s">
        <v>60</v>
      </c>
      <c r="V121" s="174" t="s">
        <v>60</v>
      </c>
      <c r="W121" s="174" t="s">
        <v>60</v>
      </c>
      <c r="X121" s="174" t="s">
        <v>60</v>
      </c>
      <c r="Y121" s="174" t="s">
        <v>60</v>
      </c>
      <c r="Z121" s="174" t="s">
        <v>60</v>
      </c>
      <c r="AA121" s="174" t="s">
        <v>60</v>
      </c>
      <c r="AB121" s="174" t="s">
        <v>60</v>
      </c>
      <c r="AC121" s="174">
        <v>1</v>
      </c>
      <c r="AD121" s="174"/>
      <c r="AE121" s="174"/>
      <c r="AF121" s="174" t="s">
        <v>1024</v>
      </c>
      <c r="AG121" s="174"/>
      <c r="AH121" s="174"/>
      <c r="AI121" s="174"/>
      <c r="AJ121" s="174" t="s">
        <v>329</v>
      </c>
      <c r="AK121" s="174" t="s">
        <v>1138</v>
      </c>
      <c r="AL121" s="174"/>
      <c r="AM121" s="181" t="s">
        <v>682</v>
      </c>
      <c r="AN121" s="192"/>
    </row>
    <row r="122" spans="1:40" s="175" customFormat="1" ht="12" customHeight="1">
      <c r="A122" s="174">
        <v>120</v>
      </c>
      <c r="B122" s="181" t="s">
        <v>434</v>
      </c>
      <c r="C122" s="196" t="s">
        <v>957</v>
      </c>
      <c r="D122" s="188" t="s">
        <v>656</v>
      </c>
      <c r="E122" s="174" t="s">
        <v>327</v>
      </c>
      <c r="F122" s="174" t="s">
        <v>54</v>
      </c>
      <c r="G122" s="174" t="s">
        <v>78</v>
      </c>
      <c r="H122" s="174" t="s">
        <v>1133</v>
      </c>
      <c r="I122" s="174" t="s">
        <v>1147</v>
      </c>
      <c r="J122" s="176" t="s">
        <v>1148</v>
      </c>
      <c r="K122" s="174" t="s">
        <v>1149</v>
      </c>
      <c r="L122" s="174" t="s">
        <v>963</v>
      </c>
      <c r="M122" s="176" t="s">
        <v>1150</v>
      </c>
      <c r="N122" s="174" t="s">
        <v>60</v>
      </c>
      <c r="O122" s="176" t="s">
        <v>1020</v>
      </c>
      <c r="P122" s="176" t="s">
        <v>1021</v>
      </c>
      <c r="Q122" s="176" t="s">
        <v>1022</v>
      </c>
      <c r="R122" s="176" t="s">
        <v>1137</v>
      </c>
      <c r="S122" s="174" t="s">
        <v>60</v>
      </c>
      <c r="T122" s="174" t="s">
        <v>60</v>
      </c>
      <c r="U122" s="174" t="s">
        <v>60</v>
      </c>
      <c r="V122" s="174" t="s">
        <v>60</v>
      </c>
      <c r="W122" s="174" t="s">
        <v>60</v>
      </c>
      <c r="X122" s="174" t="s">
        <v>60</v>
      </c>
      <c r="Y122" s="174" t="s">
        <v>60</v>
      </c>
      <c r="Z122" s="174" t="s">
        <v>60</v>
      </c>
      <c r="AA122" s="174" t="s">
        <v>60</v>
      </c>
      <c r="AB122" s="174" t="s">
        <v>60</v>
      </c>
      <c r="AC122" s="174">
        <v>1</v>
      </c>
      <c r="AD122" s="174"/>
      <c r="AE122" s="174"/>
      <c r="AF122" s="174" t="s">
        <v>1024</v>
      </c>
      <c r="AG122" s="174"/>
      <c r="AH122" s="174"/>
      <c r="AI122" s="174"/>
      <c r="AJ122" s="174" t="s">
        <v>329</v>
      </c>
      <c r="AK122" s="174" t="s">
        <v>1138</v>
      </c>
      <c r="AL122" s="174"/>
      <c r="AM122" s="181" t="s">
        <v>682</v>
      </c>
      <c r="AN122" s="192"/>
    </row>
    <row r="123" spans="1:40" s="175" customFormat="1" ht="12" customHeight="1">
      <c r="A123" s="174">
        <v>121</v>
      </c>
      <c r="B123" s="174" t="s">
        <v>434</v>
      </c>
      <c r="C123" s="189" t="s">
        <v>116</v>
      </c>
      <c r="D123" s="174" t="s">
        <v>1095</v>
      </c>
      <c r="E123" s="174" t="s">
        <v>333</v>
      </c>
      <c r="F123" s="174"/>
      <c r="G123" s="174"/>
      <c r="H123" s="174"/>
      <c r="I123" s="174"/>
      <c r="J123" s="174"/>
      <c r="K123" s="174" t="s">
        <v>1151</v>
      </c>
      <c r="L123" s="174"/>
      <c r="M123" s="174"/>
      <c r="N123" s="182"/>
      <c r="O123" s="174"/>
      <c r="P123" s="174"/>
      <c r="Q123" s="174"/>
      <c r="R123" s="174"/>
      <c r="S123" s="174"/>
      <c r="T123" s="174"/>
      <c r="U123" s="174"/>
      <c r="V123" s="174"/>
      <c r="W123" s="174"/>
      <c r="X123" s="174"/>
      <c r="Y123" s="174"/>
      <c r="Z123" s="174"/>
      <c r="AA123" s="174"/>
      <c r="AB123" s="174"/>
      <c r="AC123" s="174"/>
      <c r="AD123" s="174"/>
      <c r="AE123" s="174"/>
      <c r="AF123" s="174" t="s">
        <v>1024</v>
      </c>
      <c r="AG123" s="174"/>
      <c r="AH123" s="174"/>
      <c r="AI123" s="174"/>
      <c r="AJ123" s="174" t="s">
        <v>1152</v>
      </c>
      <c r="AK123" s="174"/>
      <c r="AL123" s="174"/>
      <c r="AM123" s="181"/>
      <c r="AN123" s="192"/>
    </row>
    <row r="124" spans="1:40" s="175" customFormat="1" ht="12" customHeight="1">
      <c r="A124" s="174">
        <v>122</v>
      </c>
      <c r="B124" s="174" t="s">
        <v>434</v>
      </c>
      <c r="C124" s="174" t="s">
        <v>957</v>
      </c>
      <c r="D124" s="174" t="s">
        <v>656</v>
      </c>
      <c r="E124" s="174" t="s">
        <v>192</v>
      </c>
      <c r="F124" s="174" t="e">
        <f>VLOOKUP(E124,'95 Chỉ tiêu'!$B$4:$F$177,2,0)</f>
        <v>#N/A</v>
      </c>
      <c r="G124" s="174" t="s">
        <v>78</v>
      </c>
      <c r="H124" s="174" t="s">
        <v>194</v>
      </c>
      <c r="I124" s="174" t="s">
        <v>1153</v>
      </c>
      <c r="J124" s="174" t="s">
        <v>1154</v>
      </c>
      <c r="K124" s="174" t="s">
        <v>1155</v>
      </c>
      <c r="L124" s="174" t="s">
        <v>963</v>
      </c>
      <c r="M124" s="187" t="s">
        <v>1156</v>
      </c>
      <c r="N124" s="180" t="s">
        <v>60</v>
      </c>
      <c r="O124" s="176" t="s">
        <v>1020</v>
      </c>
      <c r="P124" s="176" t="s">
        <v>1021</v>
      </c>
      <c r="Q124" s="176" t="s">
        <v>1022</v>
      </c>
      <c r="R124" s="176" t="s">
        <v>1137</v>
      </c>
      <c r="S124" s="174" t="s">
        <v>60</v>
      </c>
      <c r="T124" s="174" t="s">
        <v>60</v>
      </c>
      <c r="U124" s="174" t="s">
        <v>60</v>
      </c>
      <c r="V124" s="174" t="s">
        <v>60</v>
      </c>
      <c r="W124" s="174" t="s">
        <v>60</v>
      </c>
      <c r="X124" s="174" t="s">
        <v>60</v>
      </c>
      <c r="Y124" s="174" t="s">
        <v>60</v>
      </c>
      <c r="Z124" s="174" t="s">
        <v>60</v>
      </c>
      <c r="AA124" s="174" t="s">
        <v>60</v>
      </c>
      <c r="AB124" s="174" t="s">
        <v>60</v>
      </c>
      <c r="AC124" s="174"/>
      <c r="AD124" s="174"/>
      <c r="AE124" s="174"/>
      <c r="AF124" s="174"/>
      <c r="AG124" s="174"/>
      <c r="AH124" s="174"/>
      <c r="AI124" s="174"/>
      <c r="AJ124" s="174" t="s">
        <v>194</v>
      </c>
      <c r="AK124" s="174" t="s">
        <v>193</v>
      </c>
      <c r="AL124" s="174"/>
      <c r="AM124" s="181" t="s">
        <v>554</v>
      </c>
      <c r="AN124" s="192"/>
    </row>
    <row r="125" spans="1:40" s="175" customFormat="1" ht="12" customHeight="1">
      <c r="A125" s="174">
        <v>123</v>
      </c>
      <c r="B125" s="174" t="s">
        <v>434</v>
      </c>
      <c r="C125" s="174" t="s">
        <v>957</v>
      </c>
      <c r="D125" s="174" t="s">
        <v>656</v>
      </c>
      <c r="E125" s="174" t="s">
        <v>192</v>
      </c>
      <c r="F125" s="174" t="e">
        <f>VLOOKUP(E125,'95 Chỉ tiêu'!$B$4:$F$177,2,0)</f>
        <v>#N/A</v>
      </c>
      <c r="G125" s="174" t="s">
        <v>78</v>
      </c>
      <c r="H125" s="174" t="s">
        <v>194</v>
      </c>
      <c r="I125" s="174" t="s">
        <v>1157</v>
      </c>
      <c r="J125" s="174" t="s">
        <v>1140</v>
      </c>
      <c r="K125" s="174" t="s">
        <v>1158</v>
      </c>
      <c r="L125" s="174" t="s">
        <v>963</v>
      </c>
      <c r="M125" s="187" t="s">
        <v>1159</v>
      </c>
      <c r="N125" s="180" t="s">
        <v>60</v>
      </c>
      <c r="O125" s="176" t="s">
        <v>1020</v>
      </c>
      <c r="P125" s="176" t="s">
        <v>1021</v>
      </c>
      <c r="Q125" s="176" t="s">
        <v>1022</v>
      </c>
      <c r="R125" s="176" t="s">
        <v>1137</v>
      </c>
      <c r="S125" s="174" t="s">
        <v>60</v>
      </c>
      <c r="T125" s="174" t="s">
        <v>60</v>
      </c>
      <c r="U125" s="174" t="s">
        <v>60</v>
      </c>
      <c r="V125" s="174" t="s">
        <v>60</v>
      </c>
      <c r="W125" s="174" t="s">
        <v>60</v>
      </c>
      <c r="X125" s="174" t="s">
        <v>60</v>
      </c>
      <c r="Y125" s="174" t="s">
        <v>60</v>
      </c>
      <c r="Z125" s="174" t="s">
        <v>60</v>
      </c>
      <c r="AA125" s="174" t="s">
        <v>60</v>
      </c>
      <c r="AB125" s="174" t="s">
        <v>60</v>
      </c>
      <c r="AC125" s="174"/>
      <c r="AD125" s="174"/>
      <c r="AE125" s="174"/>
      <c r="AF125" s="174" t="s">
        <v>1024</v>
      </c>
      <c r="AG125" s="174"/>
      <c r="AH125" s="174"/>
      <c r="AI125" s="174"/>
      <c r="AJ125" s="174" t="s">
        <v>194</v>
      </c>
      <c r="AK125" s="174" t="s">
        <v>193</v>
      </c>
      <c r="AL125" s="174"/>
      <c r="AM125" s="181" t="s">
        <v>554</v>
      </c>
      <c r="AN125" s="192"/>
    </row>
    <row r="126" spans="1:40" s="175" customFormat="1" ht="12" customHeight="1">
      <c r="A126" s="174">
        <v>124</v>
      </c>
      <c r="B126" s="174" t="s">
        <v>434</v>
      </c>
      <c r="C126" s="174" t="s">
        <v>957</v>
      </c>
      <c r="D126" s="174" t="s">
        <v>656</v>
      </c>
      <c r="E126" s="174" t="s">
        <v>192</v>
      </c>
      <c r="F126" s="174" t="e">
        <f>VLOOKUP(E126,'95 Chỉ tiêu'!$B$4:$F$177,2,0)</f>
        <v>#N/A</v>
      </c>
      <c r="G126" s="174" t="s">
        <v>78</v>
      </c>
      <c r="H126" s="174" t="s">
        <v>194</v>
      </c>
      <c r="I126" s="174" t="s">
        <v>1160</v>
      </c>
      <c r="J126" s="174" t="s">
        <v>1161</v>
      </c>
      <c r="K126" s="174" t="s">
        <v>1162</v>
      </c>
      <c r="L126" s="174" t="s">
        <v>963</v>
      </c>
      <c r="M126" s="187" t="s">
        <v>1163</v>
      </c>
      <c r="N126" s="180" t="s">
        <v>60</v>
      </c>
      <c r="O126" s="176" t="s">
        <v>1020</v>
      </c>
      <c r="P126" s="176" t="s">
        <v>1021</v>
      </c>
      <c r="Q126" s="176" t="s">
        <v>1022</v>
      </c>
      <c r="R126" s="176" t="s">
        <v>1137</v>
      </c>
      <c r="S126" s="174" t="s">
        <v>60</v>
      </c>
      <c r="T126" s="174" t="s">
        <v>60</v>
      </c>
      <c r="U126" s="174" t="s">
        <v>60</v>
      </c>
      <c r="V126" s="174" t="s">
        <v>60</v>
      </c>
      <c r="W126" s="174" t="s">
        <v>60</v>
      </c>
      <c r="X126" s="174" t="s">
        <v>60</v>
      </c>
      <c r="Y126" s="174" t="s">
        <v>60</v>
      </c>
      <c r="Z126" s="174" t="s">
        <v>60</v>
      </c>
      <c r="AA126" s="174" t="s">
        <v>60</v>
      </c>
      <c r="AB126" s="174" t="s">
        <v>60</v>
      </c>
      <c r="AC126" s="174"/>
      <c r="AD126" s="174"/>
      <c r="AE126" s="174"/>
      <c r="AF126" s="174" t="s">
        <v>1024</v>
      </c>
      <c r="AG126" s="174"/>
      <c r="AH126" s="174"/>
      <c r="AI126" s="174"/>
      <c r="AJ126" s="174" t="s">
        <v>194</v>
      </c>
      <c r="AK126" s="174" t="s">
        <v>193</v>
      </c>
      <c r="AL126" s="174"/>
      <c r="AM126" s="181" t="s">
        <v>554</v>
      </c>
      <c r="AN126" s="192"/>
    </row>
    <row r="127" spans="1:40" s="175" customFormat="1" ht="12" customHeight="1">
      <c r="A127" s="174">
        <v>125</v>
      </c>
      <c r="B127" s="174" t="s">
        <v>434</v>
      </c>
      <c r="C127" s="174" t="s">
        <v>957</v>
      </c>
      <c r="D127" s="174" t="s">
        <v>656</v>
      </c>
      <c r="E127" s="174" t="s">
        <v>192</v>
      </c>
      <c r="F127" s="174" t="e">
        <f>VLOOKUP(E127,'95 Chỉ tiêu'!$B$4:$F$177,2,0)</f>
        <v>#N/A</v>
      </c>
      <c r="G127" s="174" t="s">
        <v>78</v>
      </c>
      <c r="H127" s="174" t="s">
        <v>194</v>
      </c>
      <c r="I127" s="174" t="s">
        <v>1164</v>
      </c>
      <c r="J127" s="174" t="s">
        <v>1165</v>
      </c>
      <c r="K127" s="174" t="s">
        <v>1166</v>
      </c>
      <c r="L127" s="174" t="s">
        <v>963</v>
      </c>
      <c r="M127" s="187" t="s">
        <v>1167</v>
      </c>
      <c r="N127" s="180" t="s">
        <v>60</v>
      </c>
      <c r="O127" s="176" t="s">
        <v>1020</v>
      </c>
      <c r="P127" s="176" t="s">
        <v>1021</v>
      </c>
      <c r="Q127" s="176" t="s">
        <v>1022</v>
      </c>
      <c r="R127" s="176" t="s">
        <v>1137</v>
      </c>
      <c r="S127" s="174" t="s">
        <v>60</v>
      </c>
      <c r="T127" s="174" t="s">
        <v>60</v>
      </c>
      <c r="U127" s="174" t="s">
        <v>60</v>
      </c>
      <c r="V127" s="174" t="s">
        <v>60</v>
      </c>
      <c r="W127" s="174" t="s">
        <v>60</v>
      </c>
      <c r="X127" s="174" t="s">
        <v>60</v>
      </c>
      <c r="Y127" s="174" t="s">
        <v>60</v>
      </c>
      <c r="Z127" s="174" t="s">
        <v>60</v>
      </c>
      <c r="AA127" s="174" t="s">
        <v>60</v>
      </c>
      <c r="AB127" s="174" t="s">
        <v>60</v>
      </c>
      <c r="AC127" s="174"/>
      <c r="AD127" s="174"/>
      <c r="AE127" s="174"/>
      <c r="AF127" s="174" t="s">
        <v>1024</v>
      </c>
      <c r="AG127" s="174"/>
      <c r="AH127" s="174"/>
      <c r="AI127" s="174"/>
      <c r="AJ127" s="174" t="s">
        <v>194</v>
      </c>
      <c r="AK127" s="174" t="s">
        <v>193</v>
      </c>
      <c r="AL127" s="174"/>
      <c r="AM127" s="181" t="s">
        <v>554</v>
      </c>
      <c r="AN127" s="192"/>
    </row>
    <row r="128" spans="1:40" s="175" customFormat="1" ht="12" customHeight="1">
      <c r="A128" s="174">
        <v>126</v>
      </c>
      <c r="B128" s="174" t="s">
        <v>434</v>
      </c>
      <c r="C128" s="174" t="s">
        <v>957</v>
      </c>
      <c r="D128" s="174" t="s">
        <v>656</v>
      </c>
      <c r="E128" s="174" t="s">
        <v>192</v>
      </c>
      <c r="F128" s="174" t="e">
        <f>VLOOKUP(E128,'95 Chỉ tiêu'!$B$4:$F$177,2,0)</f>
        <v>#N/A</v>
      </c>
      <c r="G128" s="174" t="s">
        <v>78</v>
      </c>
      <c r="H128" s="174" t="s">
        <v>194</v>
      </c>
      <c r="I128" s="174" t="s">
        <v>1168</v>
      </c>
      <c r="J128" s="174" t="s">
        <v>1169</v>
      </c>
      <c r="K128" s="174" t="s">
        <v>1170</v>
      </c>
      <c r="L128" s="174" t="s">
        <v>963</v>
      </c>
      <c r="M128" s="187" t="s">
        <v>1171</v>
      </c>
      <c r="N128" s="180" t="s">
        <v>60</v>
      </c>
      <c r="O128" s="176" t="s">
        <v>1020</v>
      </c>
      <c r="P128" s="176" t="s">
        <v>1021</v>
      </c>
      <c r="Q128" s="176" t="s">
        <v>1022</v>
      </c>
      <c r="R128" s="176" t="s">
        <v>1137</v>
      </c>
      <c r="S128" s="174" t="s">
        <v>60</v>
      </c>
      <c r="T128" s="174" t="s">
        <v>60</v>
      </c>
      <c r="U128" s="174" t="s">
        <v>60</v>
      </c>
      <c r="V128" s="174" t="s">
        <v>60</v>
      </c>
      <c r="W128" s="174" t="s">
        <v>60</v>
      </c>
      <c r="X128" s="174" t="s">
        <v>60</v>
      </c>
      <c r="Y128" s="174" t="s">
        <v>60</v>
      </c>
      <c r="Z128" s="174" t="s">
        <v>60</v>
      </c>
      <c r="AA128" s="174" t="s">
        <v>60</v>
      </c>
      <c r="AB128" s="174" t="s">
        <v>60</v>
      </c>
      <c r="AC128" s="174"/>
      <c r="AD128" s="174"/>
      <c r="AE128" s="174"/>
      <c r="AF128" s="174" t="s">
        <v>1024</v>
      </c>
      <c r="AG128" s="174"/>
      <c r="AH128" s="174"/>
      <c r="AI128" s="174"/>
      <c r="AJ128" s="174" t="s">
        <v>194</v>
      </c>
      <c r="AK128" s="174" t="s">
        <v>193</v>
      </c>
      <c r="AL128" s="174"/>
      <c r="AM128" s="181" t="s">
        <v>991</v>
      </c>
      <c r="AN128" s="192"/>
    </row>
    <row r="129" spans="1:40" s="175" customFormat="1" ht="12" customHeight="1">
      <c r="A129" s="174">
        <v>127</v>
      </c>
      <c r="B129" s="174" t="s">
        <v>434</v>
      </c>
      <c r="C129" s="174" t="s">
        <v>957</v>
      </c>
      <c r="D129" s="174" t="s">
        <v>656</v>
      </c>
      <c r="E129" s="174" t="s">
        <v>192</v>
      </c>
      <c r="F129" s="174" t="e">
        <f>VLOOKUP(E129,'95 Chỉ tiêu'!$B$4:$F$177,2,0)</f>
        <v>#N/A</v>
      </c>
      <c r="G129" s="174" t="s">
        <v>78</v>
      </c>
      <c r="H129" s="174" t="s">
        <v>194</v>
      </c>
      <c r="I129" s="174" t="s">
        <v>1172</v>
      </c>
      <c r="J129" s="174" t="s">
        <v>1173</v>
      </c>
      <c r="K129" s="174" t="s">
        <v>1174</v>
      </c>
      <c r="L129" s="174" t="s">
        <v>963</v>
      </c>
      <c r="M129" s="187" t="s">
        <v>1175</v>
      </c>
      <c r="N129" s="180" t="s">
        <v>60</v>
      </c>
      <c r="O129" s="176" t="s">
        <v>1020</v>
      </c>
      <c r="P129" s="176" t="s">
        <v>1021</v>
      </c>
      <c r="Q129" s="176" t="s">
        <v>1022</v>
      </c>
      <c r="R129" s="176" t="s">
        <v>1137</v>
      </c>
      <c r="S129" s="174" t="s">
        <v>60</v>
      </c>
      <c r="T129" s="174" t="s">
        <v>60</v>
      </c>
      <c r="U129" s="174" t="s">
        <v>60</v>
      </c>
      <c r="V129" s="174" t="s">
        <v>60</v>
      </c>
      <c r="W129" s="174" t="s">
        <v>60</v>
      </c>
      <c r="X129" s="174" t="s">
        <v>60</v>
      </c>
      <c r="Y129" s="174" t="s">
        <v>60</v>
      </c>
      <c r="Z129" s="174" t="s">
        <v>60</v>
      </c>
      <c r="AA129" s="174" t="s">
        <v>60</v>
      </c>
      <c r="AB129" s="174" t="s">
        <v>60</v>
      </c>
      <c r="AC129" s="174"/>
      <c r="AD129" s="174"/>
      <c r="AE129" s="174"/>
      <c r="AF129" s="174" t="s">
        <v>1024</v>
      </c>
      <c r="AG129" s="174"/>
      <c r="AH129" s="174"/>
      <c r="AI129" s="174"/>
      <c r="AJ129" s="174" t="s">
        <v>194</v>
      </c>
      <c r="AK129" s="174" t="s">
        <v>193</v>
      </c>
      <c r="AL129" s="174"/>
      <c r="AM129" s="181" t="s">
        <v>755</v>
      </c>
      <c r="AN129" s="192"/>
    </row>
    <row r="130" spans="1:40" s="175" customFormat="1" ht="12" customHeight="1">
      <c r="A130" s="174">
        <v>128</v>
      </c>
      <c r="B130" s="174" t="s">
        <v>434</v>
      </c>
      <c r="C130" s="174" t="s">
        <v>957</v>
      </c>
      <c r="D130" s="174" t="s">
        <v>656</v>
      </c>
      <c r="E130" s="174" t="s">
        <v>192</v>
      </c>
      <c r="F130" s="174" t="e">
        <f>VLOOKUP(E130,'95 Chỉ tiêu'!$B$4:$F$177,2,0)</f>
        <v>#N/A</v>
      </c>
      <c r="G130" s="174" t="s">
        <v>78</v>
      </c>
      <c r="H130" s="174" t="s">
        <v>194</v>
      </c>
      <c r="I130" s="174" t="s">
        <v>1176</v>
      </c>
      <c r="J130" s="174" t="s">
        <v>1177</v>
      </c>
      <c r="K130" s="174" t="s">
        <v>1178</v>
      </c>
      <c r="L130" s="174" t="s">
        <v>963</v>
      </c>
      <c r="M130" s="187" t="s">
        <v>1179</v>
      </c>
      <c r="N130" s="180" t="s">
        <v>60</v>
      </c>
      <c r="O130" s="176" t="s">
        <v>1020</v>
      </c>
      <c r="P130" s="176" t="s">
        <v>1021</v>
      </c>
      <c r="Q130" s="176" t="s">
        <v>1022</v>
      </c>
      <c r="R130" s="176" t="s">
        <v>1137</v>
      </c>
      <c r="S130" s="174" t="s">
        <v>60</v>
      </c>
      <c r="T130" s="174" t="s">
        <v>60</v>
      </c>
      <c r="U130" s="174" t="s">
        <v>60</v>
      </c>
      <c r="V130" s="174" t="s">
        <v>60</v>
      </c>
      <c r="W130" s="174" t="s">
        <v>60</v>
      </c>
      <c r="X130" s="174" t="s">
        <v>60</v>
      </c>
      <c r="Y130" s="174" t="s">
        <v>60</v>
      </c>
      <c r="Z130" s="174" t="s">
        <v>60</v>
      </c>
      <c r="AA130" s="174" t="s">
        <v>60</v>
      </c>
      <c r="AB130" s="174" t="s">
        <v>60</v>
      </c>
      <c r="AC130" s="174"/>
      <c r="AD130" s="174"/>
      <c r="AE130" s="174"/>
      <c r="AF130" s="174" t="s">
        <v>1024</v>
      </c>
      <c r="AG130" s="174"/>
      <c r="AH130" s="174"/>
      <c r="AI130" s="174"/>
      <c r="AJ130" s="174" t="s">
        <v>194</v>
      </c>
      <c r="AK130" s="174" t="s">
        <v>193</v>
      </c>
      <c r="AL130" s="174"/>
      <c r="AM130" s="181" t="s">
        <v>755</v>
      </c>
      <c r="AN130" s="192"/>
    </row>
    <row r="131" spans="1:40" s="175" customFormat="1" ht="12" customHeight="1">
      <c r="A131" s="174">
        <v>129</v>
      </c>
      <c r="B131" s="174" t="s">
        <v>434</v>
      </c>
      <c r="C131" s="174" t="s">
        <v>957</v>
      </c>
      <c r="D131" s="174" t="s">
        <v>656</v>
      </c>
      <c r="E131" s="174" t="s">
        <v>192</v>
      </c>
      <c r="F131" s="174" t="e">
        <f>VLOOKUP(E131,'95 Chỉ tiêu'!$B$4:$F$177,2,0)</f>
        <v>#N/A</v>
      </c>
      <c r="G131" s="174" t="s">
        <v>78</v>
      </c>
      <c r="H131" s="174" t="s">
        <v>194</v>
      </c>
      <c r="I131" s="174" t="s">
        <v>1180</v>
      </c>
      <c r="J131" s="174" t="s">
        <v>1181</v>
      </c>
      <c r="K131" s="174" t="s">
        <v>1182</v>
      </c>
      <c r="L131" s="174" t="s">
        <v>963</v>
      </c>
      <c r="M131" s="187" t="s">
        <v>1183</v>
      </c>
      <c r="N131" s="180" t="s">
        <v>60</v>
      </c>
      <c r="O131" s="176" t="s">
        <v>1020</v>
      </c>
      <c r="P131" s="176" t="s">
        <v>1021</v>
      </c>
      <c r="Q131" s="176" t="s">
        <v>1022</v>
      </c>
      <c r="R131" s="176" t="s">
        <v>1137</v>
      </c>
      <c r="S131" s="174" t="s">
        <v>60</v>
      </c>
      <c r="T131" s="174" t="s">
        <v>60</v>
      </c>
      <c r="U131" s="174" t="s">
        <v>60</v>
      </c>
      <c r="V131" s="174" t="s">
        <v>60</v>
      </c>
      <c r="W131" s="174" t="s">
        <v>60</v>
      </c>
      <c r="X131" s="174" t="s">
        <v>60</v>
      </c>
      <c r="Y131" s="174" t="s">
        <v>60</v>
      </c>
      <c r="Z131" s="174" t="s">
        <v>60</v>
      </c>
      <c r="AA131" s="174" t="s">
        <v>60</v>
      </c>
      <c r="AB131" s="174" t="s">
        <v>60</v>
      </c>
      <c r="AC131" s="174"/>
      <c r="AD131" s="174"/>
      <c r="AE131" s="174"/>
      <c r="AF131" s="174" t="s">
        <v>1024</v>
      </c>
      <c r="AG131" s="174"/>
      <c r="AH131" s="174"/>
      <c r="AI131" s="174"/>
      <c r="AJ131" s="174" t="s">
        <v>194</v>
      </c>
      <c r="AK131" s="174" t="s">
        <v>193</v>
      </c>
      <c r="AL131" s="174"/>
      <c r="AM131" s="181" t="s">
        <v>755</v>
      </c>
      <c r="AN131" s="192"/>
    </row>
    <row r="132" spans="1:40" s="175" customFormat="1" ht="12" customHeight="1">
      <c r="A132" s="174">
        <v>130</v>
      </c>
      <c r="B132" s="174" t="s">
        <v>434</v>
      </c>
      <c r="C132" s="174" t="s">
        <v>957</v>
      </c>
      <c r="D132" s="174" t="s">
        <v>656</v>
      </c>
      <c r="E132" s="174" t="s">
        <v>192</v>
      </c>
      <c r="F132" s="174" t="e">
        <f>VLOOKUP(E132,'95 Chỉ tiêu'!$B$4:$F$177,2,0)</f>
        <v>#N/A</v>
      </c>
      <c r="G132" s="174" t="s">
        <v>78</v>
      </c>
      <c r="H132" s="174" t="s">
        <v>194</v>
      </c>
      <c r="I132" s="174" t="s">
        <v>1184</v>
      </c>
      <c r="J132" s="174" t="s">
        <v>1185</v>
      </c>
      <c r="K132" s="174" t="s">
        <v>1186</v>
      </c>
      <c r="L132" s="174" t="s">
        <v>963</v>
      </c>
      <c r="M132" s="187" t="s">
        <v>1187</v>
      </c>
      <c r="N132" s="180" t="s">
        <v>60</v>
      </c>
      <c r="O132" s="176" t="s">
        <v>1020</v>
      </c>
      <c r="P132" s="176" t="s">
        <v>1021</v>
      </c>
      <c r="Q132" s="176" t="s">
        <v>1022</v>
      </c>
      <c r="R132" s="176" t="s">
        <v>1137</v>
      </c>
      <c r="S132" s="174" t="s">
        <v>60</v>
      </c>
      <c r="T132" s="174" t="s">
        <v>60</v>
      </c>
      <c r="U132" s="174" t="s">
        <v>60</v>
      </c>
      <c r="V132" s="174" t="s">
        <v>60</v>
      </c>
      <c r="W132" s="174" t="s">
        <v>60</v>
      </c>
      <c r="X132" s="174" t="s">
        <v>60</v>
      </c>
      <c r="Y132" s="174" t="s">
        <v>60</v>
      </c>
      <c r="Z132" s="174" t="s">
        <v>60</v>
      </c>
      <c r="AA132" s="174" t="s">
        <v>60</v>
      </c>
      <c r="AB132" s="174" t="s">
        <v>60</v>
      </c>
      <c r="AC132" s="174"/>
      <c r="AD132" s="174"/>
      <c r="AE132" s="174"/>
      <c r="AF132" s="174" t="s">
        <v>1024</v>
      </c>
      <c r="AG132" s="174"/>
      <c r="AH132" s="174"/>
      <c r="AI132" s="174"/>
      <c r="AJ132" s="174" t="s">
        <v>194</v>
      </c>
      <c r="AK132" s="174" t="s">
        <v>193</v>
      </c>
      <c r="AL132" s="174"/>
      <c r="AM132" s="181" t="s">
        <v>755</v>
      </c>
      <c r="AN132" s="192"/>
    </row>
    <row r="133" spans="1:40" s="175" customFormat="1" ht="12" customHeight="1">
      <c r="A133" s="174">
        <v>131</v>
      </c>
      <c r="B133" s="174" t="s">
        <v>434</v>
      </c>
      <c r="C133" s="174" t="s">
        <v>957</v>
      </c>
      <c r="D133" s="174" t="s">
        <v>656</v>
      </c>
      <c r="E133" s="174" t="s">
        <v>192</v>
      </c>
      <c r="F133" s="174" t="e">
        <f>VLOOKUP(E133,'95 Chỉ tiêu'!$B$4:$F$177,2,0)</f>
        <v>#N/A</v>
      </c>
      <c r="G133" s="174" t="s">
        <v>78</v>
      </c>
      <c r="H133" s="174" t="s">
        <v>194</v>
      </c>
      <c r="I133" s="174" t="s">
        <v>1188</v>
      </c>
      <c r="J133" s="174" t="s">
        <v>1189</v>
      </c>
      <c r="K133" s="174" t="s">
        <v>1190</v>
      </c>
      <c r="L133" s="174" t="s">
        <v>963</v>
      </c>
      <c r="M133" s="187" t="s">
        <v>1191</v>
      </c>
      <c r="N133" s="180" t="s">
        <v>60</v>
      </c>
      <c r="O133" s="176" t="s">
        <v>1020</v>
      </c>
      <c r="P133" s="176" t="s">
        <v>1021</v>
      </c>
      <c r="Q133" s="176" t="s">
        <v>1022</v>
      </c>
      <c r="R133" s="176" t="s">
        <v>1137</v>
      </c>
      <c r="S133" s="174" t="s">
        <v>60</v>
      </c>
      <c r="T133" s="174" t="s">
        <v>60</v>
      </c>
      <c r="U133" s="174" t="s">
        <v>60</v>
      </c>
      <c r="V133" s="174" t="s">
        <v>60</v>
      </c>
      <c r="W133" s="174" t="s">
        <v>60</v>
      </c>
      <c r="X133" s="174" t="s">
        <v>60</v>
      </c>
      <c r="Y133" s="174" t="s">
        <v>60</v>
      </c>
      <c r="Z133" s="174" t="s">
        <v>60</v>
      </c>
      <c r="AA133" s="174" t="s">
        <v>60</v>
      </c>
      <c r="AB133" s="174" t="s">
        <v>60</v>
      </c>
      <c r="AC133" s="174"/>
      <c r="AD133" s="174"/>
      <c r="AE133" s="174"/>
      <c r="AF133" s="174" t="s">
        <v>1024</v>
      </c>
      <c r="AG133" s="174"/>
      <c r="AH133" s="174"/>
      <c r="AI133" s="174"/>
      <c r="AJ133" s="174" t="s">
        <v>194</v>
      </c>
      <c r="AK133" s="174" t="s">
        <v>193</v>
      </c>
      <c r="AL133" s="174"/>
      <c r="AM133" s="181" t="s">
        <v>755</v>
      </c>
      <c r="AN133" s="192"/>
    </row>
    <row r="134" spans="1:40" s="175" customFormat="1" ht="12" customHeight="1">
      <c r="A134" s="174">
        <v>132</v>
      </c>
      <c r="B134" s="174" t="s">
        <v>434</v>
      </c>
      <c r="C134" s="174" t="s">
        <v>957</v>
      </c>
      <c r="D134" s="174" t="s">
        <v>656</v>
      </c>
      <c r="E134" s="174" t="s">
        <v>192</v>
      </c>
      <c r="F134" s="174" t="e">
        <f>VLOOKUP(E134,'95 Chỉ tiêu'!$B$4:$F$177,2,0)</f>
        <v>#N/A</v>
      </c>
      <c r="G134" s="174" t="s">
        <v>78</v>
      </c>
      <c r="H134" s="174" t="s">
        <v>194</v>
      </c>
      <c r="I134" s="174" t="s">
        <v>1192</v>
      </c>
      <c r="J134" s="174" t="s">
        <v>1193</v>
      </c>
      <c r="K134" s="174" t="s">
        <v>1194</v>
      </c>
      <c r="L134" s="174" t="s">
        <v>963</v>
      </c>
      <c r="M134" s="187" t="s">
        <v>1195</v>
      </c>
      <c r="N134" s="180" t="s">
        <v>60</v>
      </c>
      <c r="O134" s="188"/>
      <c r="P134" s="174"/>
      <c r="Q134" s="174"/>
      <c r="R134" s="174"/>
      <c r="S134" s="174"/>
      <c r="T134" s="174"/>
      <c r="U134" s="174"/>
      <c r="V134" s="174"/>
      <c r="W134" s="174"/>
      <c r="X134" s="174"/>
      <c r="Y134" s="174"/>
      <c r="Z134" s="174"/>
      <c r="AA134" s="174"/>
      <c r="AB134" s="174"/>
      <c r="AC134" s="174"/>
      <c r="AD134" s="174"/>
      <c r="AE134" s="174"/>
      <c r="AF134" s="174" t="s">
        <v>1024</v>
      </c>
      <c r="AG134" s="174"/>
      <c r="AH134" s="174"/>
      <c r="AI134" s="174"/>
      <c r="AJ134" s="174" t="s">
        <v>194</v>
      </c>
      <c r="AK134" s="174" t="s">
        <v>193</v>
      </c>
      <c r="AL134" s="174"/>
      <c r="AM134" s="181" t="s">
        <v>755</v>
      </c>
      <c r="AN134" s="192"/>
    </row>
    <row r="135" spans="1:40" s="175" customFormat="1" ht="12" customHeight="1">
      <c r="A135" s="174">
        <v>133</v>
      </c>
      <c r="B135" s="174" t="s">
        <v>434</v>
      </c>
      <c r="C135" s="174" t="s">
        <v>116</v>
      </c>
      <c r="D135" s="174" t="s">
        <v>1095</v>
      </c>
      <c r="E135" s="174" t="s">
        <v>187</v>
      </c>
      <c r="F135" s="174"/>
      <c r="G135" s="174"/>
      <c r="H135" s="174"/>
      <c r="I135" s="174"/>
      <c r="J135" s="174"/>
      <c r="K135" s="174" t="s">
        <v>1196</v>
      </c>
      <c r="L135" s="174"/>
      <c r="M135" s="174"/>
      <c r="N135" s="190"/>
      <c r="O135" s="176" t="s">
        <v>1020</v>
      </c>
      <c r="P135" s="176" t="s">
        <v>1197</v>
      </c>
      <c r="Q135" s="176" t="s">
        <v>874</v>
      </c>
      <c r="R135" s="176" t="s">
        <v>66</v>
      </c>
      <c r="S135" s="174" t="s">
        <v>60</v>
      </c>
      <c r="T135" s="174" t="s">
        <v>60</v>
      </c>
      <c r="U135" s="174" t="s">
        <v>60</v>
      </c>
      <c r="V135" s="174" t="s">
        <v>60</v>
      </c>
      <c r="W135" s="174" t="s">
        <v>60</v>
      </c>
      <c r="X135" s="174" t="s">
        <v>60</v>
      </c>
      <c r="Y135" s="174" t="s">
        <v>60</v>
      </c>
      <c r="Z135" s="174" t="s">
        <v>60</v>
      </c>
      <c r="AA135" s="174" t="s">
        <v>60</v>
      </c>
      <c r="AB135" s="174" t="s">
        <v>60</v>
      </c>
      <c r="AC135" s="174">
        <v>1</v>
      </c>
      <c r="AD135" s="174"/>
      <c r="AE135" s="174"/>
      <c r="AF135" s="174"/>
      <c r="AG135" s="174"/>
      <c r="AH135" s="174"/>
      <c r="AI135" s="174"/>
      <c r="AJ135" s="174" t="s">
        <v>189</v>
      </c>
      <c r="AK135" s="174"/>
      <c r="AL135" s="174"/>
      <c r="AM135" s="181"/>
      <c r="AN135" s="192"/>
    </row>
    <row r="136" spans="1:40" s="175" customFormat="1" ht="12" customHeight="1">
      <c r="A136" s="174">
        <v>134</v>
      </c>
      <c r="B136" s="174" t="s">
        <v>434</v>
      </c>
      <c r="C136" s="174" t="s">
        <v>1198</v>
      </c>
      <c r="D136" s="174" t="s">
        <v>656</v>
      </c>
      <c r="E136" s="174" t="s">
        <v>321</v>
      </c>
      <c r="F136" s="174" t="e">
        <f>VLOOKUP(E136,'95 Chỉ tiêu'!$B$4:$F$177,2,0)</f>
        <v>#N/A</v>
      </c>
      <c r="G136" s="174" t="s">
        <v>99</v>
      </c>
      <c r="H136" s="174" t="s">
        <v>1096</v>
      </c>
      <c r="I136" s="174" t="s">
        <v>1199</v>
      </c>
      <c r="J136" s="174" t="s">
        <v>1200</v>
      </c>
      <c r="K136" s="174" t="s">
        <v>1201</v>
      </c>
      <c r="L136" s="174" t="s">
        <v>1202</v>
      </c>
      <c r="M136" s="187" t="s">
        <v>1203</v>
      </c>
      <c r="N136" s="180" t="s">
        <v>60</v>
      </c>
      <c r="O136" s="191" t="s">
        <v>1204</v>
      </c>
      <c r="P136" s="176" t="s">
        <v>1197</v>
      </c>
      <c r="Q136" s="176" t="s">
        <v>874</v>
      </c>
      <c r="R136" s="176" t="s">
        <v>66</v>
      </c>
      <c r="S136" s="174" t="s">
        <v>60</v>
      </c>
      <c r="T136" s="174" t="s">
        <v>60</v>
      </c>
      <c r="U136" s="174" t="s">
        <v>60</v>
      </c>
      <c r="V136" s="174" t="s">
        <v>60</v>
      </c>
      <c r="W136" s="174" t="s">
        <v>60</v>
      </c>
      <c r="X136" s="174" t="s">
        <v>60</v>
      </c>
      <c r="Y136" s="174" t="s">
        <v>60</v>
      </c>
      <c r="Z136" s="174" t="s">
        <v>60</v>
      </c>
      <c r="AA136" s="174" t="s">
        <v>60</v>
      </c>
      <c r="AB136" s="174" t="s">
        <v>60</v>
      </c>
      <c r="AC136" s="174">
        <v>1</v>
      </c>
      <c r="AD136" s="174"/>
      <c r="AE136" s="174"/>
      <c r="AF136" s="174"/>
      <c r="AG136" s="174"/>
      <c r="AH136" s="174"/>
      <c r="AI136" s="174"/>
      <c r="AJ136" s="174" t="s">
        <v>1096</v>
      </c>
      <c r="AK136" s="174" t="s">
        <v>322</v>
      </c>
      <c r="AL136" s="174"/>
      <c r="AM136" s="181" t="s">
        <v>554</v>
      </c>
      <c r="AN136" s="192"/>
    </row>
    <row r="137" spans="1:40" s="175" customFormat="1" ht="12" customHeight="1">
      <c r="A137" s="174">
        <v>135</v>
      </c>
      <c r="B137" s="174" t="s">
        <v>434</v>
      </c>
      <c r="C137" s="174" t="s">
        <v>1198</v>
      </c>
      <c r="D137" s="174" t="s">
        <v>656</v>
      </c>
      <c r="E137" s="174" t="s">
        <v>321</v>
      </c>
      <c r="F137" s="174" t="e">
        <f>VLOOKUP(E137,'95 Chỉ tiêu'!$B$4:$F$177,2,0)</f>
        <v>#N/A</v>
      </c>
      <c r="G137" s="174" t="s">
        <v>99</v>
      </c>
      <c r="H137" s="174" t="s">
        <v>1096</v>
      </c>
      <c r="I137" s="174" t="s">
        <v>1205</v>
      </c>
      <c r="J137" s="174" t="s">
        <v>1206</v>
      </c>
      <c r="K137" s="174" t="s">
        <v>1207</v>
      </c>
      <c r="L137" s="174" t="s">
        <v>1202</v>
      </c>
      <c r="M137" s="187" t="s">
        <v>1208</v>
      </c>
      <c r="N137" s="180" t="s">
        <v>60</v>
      </c>
      <c r="O137" s="191" t="s">
        <v>1020</v>
      </c>
      <c r="P137" s="176" t="s">
        <v>1197</v>
      </c>
      <c r="Q137" s="176" t="s">
        <v>874</v>
      </c>
      <c r="R137" s="176" t="s">
        <v>66</v>
      </c>
      <c r="S137" s="174" t="s">
        <v>60</v>
      </c>
      <c r="T137" s="174" t="s">
        <v>60</v>
      </c>
      <c r="U137" s="174" t="s">
        <v>60</v>
      </c>
      <c r="V137" s="174" t="s">
        <v>60</v>
      </c>
      <c r="W137" s="174" t="s">
        <v>60</v>
      </c>
      <c r="X137" s="174" t="s">
        <v>60</v>
      </c>
      <c r="Y137" s="174" t="s">
        <v>60</v>
      </c>
      <c r="Z137" s="174" t="s">
        <v>60</v>
      </c>
      <c r="AA137" s="174" t="s">
        <v>60</v>
      </c>
      <c r="AB137" s="174" t="s">
        <v>60</v>
      </c>
      <c r="AC137" s="174">
        <v>2</v>
      </c>
      <c r="AD137" s="174"/>
      <c r="AE137" s="174"/>
      <c r="AF137" s="174"/>
      <c r="AG137" s="174"/>
      <c r="AH137" s="174"/>
      <c r="AI137" s="174"/>
      <c r="AJ137" s="174" t="s">
        <v>1096</v>
      </c>
      <c r="AK137" s="174" t="s">
        <v>322</v>
      </c>
      <c r="AL137" s="174"/>
      <c r="AM137" s="181" t="s">
        <v>554</v>
      </c>
      <c r="AN137" s="192"/>
    </row>
    <row r="138" spans="1:40" s="175" customFormat="1" ht="12" customHeight="1">
      <c r="A138" s="174">
        <v>136</v>
      </c>
      <c r="B138" s="174" t="s">
        <v>434</v>
      </c>
      <c r="C138" s="174" t="s">
        <v>1198</v>
      </c>
      <c r="D138" s="174" t="s">
        <v>656</v>
      </c>
      <c r="E138" s="174" t="s">
        <v>321</v>
      </c>
      <c r="F138" s="174" t="e">
        <f>VLOOKUP(E138,'95 Chỉ tiêu'!$B$4:$F$177,2,0)</f>
        <v>#N/A</v>
      </c>
      <c r="G138" s="174" t="s">
        <v>99</v>
      </c>
      <c r="H138" s="174" t="s">
        <v>1096</v>
      </c>
      <c r="I138" s="174" t="s">
        <v>1209</v>
      </c>
      <c r="J138" s="174" t="s">
        <v>1210</v>
      </c>
      <c r="K138" s="174" t="s">
        <v>1211</v>
      </c>
      <c r="L138" s="174" t="s">
        <v>1202</v>
      </c>
      <c r="M138" s="187" t="s">
        <v>1212</v>
      </c>
      <c r="N138" s="180" t="s">
        <v>60</v>
      </c>
      <c r="O138" s="191" t="s">
        <v>1204</v>
      </c>
      <c r="P138" s="176" t="s">
        <v>1197</v>
      </c>
      <c r="Q138" s="176" t="s">
        <v>874</v>
      </c>
      <c r="R138" s="176" t="s">
        <v>66</v>
      </c>
      <c r="S138" s="174" t="s">
        <v>60</v>
      </c>
      <c r="T138" s="174" t="s">
        <v>60</v>
      </c>
      <c r="U138" s="174" t="s">
        <v>60</v>
      </c>
      <c r="V138" s="174" t="s">
        <v>60</v>
      </c>
      <c r="W138" s="174" t="s">
        <v>60</v>
      </c>
      <c r="X138" s="174" t="s">
        <v>60</v>
      </c>
      <c r="Y138" s="174" t="s">
        <v>60</v>
      </c>
      <c r="Z138" s="174" t="s">
        <v>60</v>
      </c>
      <c r="AA138" s="174" t="s">
        <v>60</v>
      </c>
      <c r="AB138" s="174" t="s">
        <v>60</v>
      </c>
      <c r="AC138" s="174">
        <v>2</v>
      </c>
      <c r="AD138" s="174"/>
      <c r="AE138" s="174"/>
      <c r="AF138" s="174"/>
      <c r="AG138" s="174"/>
      <c r="AH138" s="174"/>
      <c r="AI138" s="174"/>
      <c r="AJ138" s="174" t="s">
        <v>1096</v>
      </c>
      <c r="AK138" s="174" t="s">
        <v>322</v>
      </c>
      <c r="AL138" s="174"/>
      <c r="AM138" s="181" t="s">
        <v>755</v>
      </c>
      <c r="AN138" s="192"/>
    </row>
    <row r="139" spans="1:40" s="175" customFormat="1" ht="12" customHeight="1">
      <c r="A139" s="174">
        <v>137</v>
      </c>
      <c r="B139" s="174" t="s">
        <v>434</v>
      </c>
      <c r="C139" s="174" t="s">
        <v>1198</v>
      </c>
      <c r="D139" s="174" t="s">
        <v>656</v>
      </c>
      <c r="E139" s="174" t="s">
        <v>321</v>
      </c>
      <c r="F139" s="174" t="e">
        <f>VLOOKUP(E139,'95 Chỉ tiêu'!$B$4:$F$177,2,0)</f>
        <v>#N/A</v>
      </c>
      <c r="G139" s="174" t="s">
        <v>99</v>
      </c>
      <c r="H139" s="174" t="s">
        <v>1096</v>
      </c>
      <c r="I139" s="174" t="s">
        <v>1213</v>
      </c>
      <c r="J139" s="174" t="s">
        <v>1214</v>
      </c>
      <c r="K139" s="174" t="s">
        <v>1215</v>
      </c>
      <c r="L139" s="174" t="s">
        <v>1202</v>
      </c>
      <c r="M139" s="187" t="s">
        <v>1216</v>
      </c>
      <c r="N139" s="180" t="s">
        <v>60</v>
      </c>
      <c r="O139" s="191" t="s">
        <v>1020</v>
      </c>
      <c r="P139" s="176" t="s">
        <v>1197</v>
      </c>
      <c r="Q139" s="176" t="s">
        <v>874</v>
      </c>
      <c r="R139" s="176" t="s">
        <v>66</v>
      </c>
      <c r="S139" s="174" t="s">
        <v>60</v>
      </c>
      <c r="T139" s="174" t="s">
        <v>60</v>
      </c>
      <c r="U139" s="174" t="s">
        <v>60</v>
      </c>
      <c r="V139" s="174" t="s">
        <v>60</v>
      </c>
      <c r="W139" s="174" t="s">
        <v>60</v>
      </c>
      <c r="X139" s="174" t="s">
        <v>60</v>
      </c>
      <c r="Y139" s="174" t="s">
        <v>60</v>
      </c>
      <c r="Z139" s="174" t="s">
        <v>60</v>
      </c>
      <c r="AA139" s="174" t="s">
        <v>60</v>
      </c>
      <c r="AB139" s="174" t="s">
        <v>60</v>
      </c>
      <c r="AC139" s="174">
        <v>2</v>
      </c>
      <c r="AD139" s="174"/>
      <c r="AE139" s="174"/>
      <c r="AF139" s="174"/>
      <c r="AG139" s="174"/>
      <c r="AH139" s="174"/>
      <c r="AI139" s="174"/>
      <c r="AJ139" s="174" t="s">
        <v>1096</v>
      </c>
      <c r="AK139" s="174" t="s">
        <v>322</v>
      </c>
      <c r="AL139" s="174"/>
      <c r="AM139" s="181" t="s">
        <v>755</v>
      </c>
      <c r="AN139" s="192"/>
    </row>
    <row r="140" spans="1:40" s="175" customFormat="1" ht="12" customHeight="1">
      <c r="A140" s="174">
        <v>138</v>
      </c>
      <c r="B140" s="174" t="s">
        <v>434</v>
      </c>
      <c r="C140" s="174" t="s">
        <v>1198</v>
      </c>
      <c r="D140" s="174" t="s">
        <v>656</v>
      </c>
      <c r="E140" s="174" t="s">
        <v>321</v>
      </c>
      <c r="F140" s="174" t="e">
        <f>VLOOKUP(E140,'95 Chỉ tiêu'!$B$4:$F$177,2,0)</f>
        <v>#N/A</v>
      </c>
      <c r="G140" s="174" t="s">
        <v>99</v>
      </c>
      <c r="H140" s="174" t="s">
        <v>1096</v>
      </c>
      <c r="I140" s="174" t="s">
        <v>1217</v>
      </c>
      <c r="J140" s="174" t="s">
        <v>1218</v>
      </c>
      <c r="K140" s="174" t="s">
        <v>1219</v>
      </c>
      <c r="L140" s="174" t="s">
        <v>1202</v>
      </c>
      <c r="M140" s="187" t="s">
        <v>1220</v>
      </c>
      <c r="N140" s="180" t="s">
        <v>60</v>
      </c>
      <c r="O140" s="191" t="s">
        <v>1204</v>
      </c>
      <c r="P140" s="176" t="s">
        <v>1197</v>
      </c>
      <c r="Q140" s="176" t="s">
        <v>874</v>
      </c>
      <c r="R140" s="176" t="s">
        <v>66</v>
      </c>
      <c r="S140" s="174" t="s">
        <v>60</v>
      </c>
      <c r="T140" s="174" t="s">
        <v>60</v>
      </c>
      <c r="U140" s="174" t="s">
        <v>60</v>
      </c>
      <c r="V140" s="174" t="s">
        <v>60</v>
      </c>
      <c r="W140" s="174" t="s">
        <v>60</v>
      </c>
      <c r="X140" s="174" t="s">
        <v>60</v>
      </c>
      <c r="Y140" s="174" t="s">
        <v>60</v>
      </c>
      <c r="Z140" s="174" t="s">
        <v>60</v>
      </c>
      <c r="AA140" s="174" t="s">
        <v>60</v>
      </c>
      <c r="AB140" s="174" t="s">
        <v>60</v>
      </c>
      <c r="AC140" s="174">
        <v>2</v>
      </c>
      <c r="AD140" s="174"/>
      <c r="AE140" s="174"/>
      <c r="AF140" s="174"/>
      <c r="AG140" s="174"/>
      <c r="AH140" s="174"/>
      <c r="AI140" s="174"/>
      <c r="AJ140" s="174" t="s">
        <v>1096</v>
      </c>
      <c r="AK140" s="174" t="s">
        <v>322</v>
      </c>
      <c r="AL140" s="174"/>
      <c r="AM140" s="181" t="s">
        <v>755</v>
      </c>
      <c r="AN140" s="192"/>
    </row>
    <row r="141" spans="1:40" s="175" customFormat="1" ht="12" customHeight="1">
      <c r="A141" s="174">
        <v>139</v>
      </c>
      <c r="B141" s="174" t="s">
        <v>434</v>
      </c>
      <c r="C141" s="174" t="s">
        <v>1198</v>
      </c>
      <c r="D141" s="174" t="s">
        <v>656</v>
      </c>
      <c r="E141" s="174" t="s">
        <v>321</v>
      </c>
      <c r="F141" s="174" t="e">
        <f>VLOOKUP(E141,'95 Chỉ tiêu'!$B$4:$F$177,2,0)</f>
        <v>#N/A</v>
      </c>
      <c r="G141" s="174" t="s">
        <v>99</v>
      </c>
      <c r="H141" s="174" t="s">
        <v>1096</v>
      </c>
      <c r="I141" s="174" t="s">
        <v>1221</v>
      </c>
      <c r="J141" s="174" t="s">
        <v>1222</v>
      </c>
      <c r="K141" s="174" t="s">
        <v>1223</v>
      </c>
      <c r="L141" s="174" t="s">
        <v>1202</v>
      </c>
      <c r="M141" s="187" t="s">
        <v>1224</v>
      </c>
      <c r="N141" s="180" t="s">
        <v>60</v>
      </c>
      <c r="O141" s="188"/>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t="s">
        <v>1096</v>
      </c>
      <c r="AK141" s="174" t="s">
        <v>322</v>
      </c>
      <c r="AL141" s="174"/>
      <c r="AM141" s="181" t="s">
        <v>755</v>
      </c>
      <c r="AN141" s="192"/>
    </row>
    <row r="142" spans="1:40" s="175" customFormat="1" ht="12" customHeight="1">
      <c r="A142" s="174">
        <v>140</v>
      </c>
      <c r="B142" s="174" t="s">
        <v>434</v>
      </c>
      <c r="C142" s="174" t="s">
        <v>116</v>
      </c>
      <c r="D142" s="174" t="s">
        <v>1095</v>
      </c>
      <c r="E142" s="174" t="s">
        <v>324</v>
      </c>
      <c r="F142" s="174"/>
      <c r="G142" s="174"/>
      <c r="H142" s="174"/>
      <c r="I142" s="174"/>
      <c r="J142" s="174"/>
      <c r="K142" s="174" t="s">
        <v>1225</v>
      </c>
      <c r="L142" s="174"/>
      <c r="M142" s="174"/>
      <c r="N142" s="189"/>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t="s">
        <v>1226</v>
      </c>
      <c r="AK142" s="174" t="s">
        <v>130</v>
      </c>
      <c r="AL142" s="174"/>
      <c r="AM142" s="181"/>
      <c r="AN142" s="192"/>
    </row>
    <row r="143" spans="1:40" s="175" customFormat="1" ht="12" customHeight="1">
      <c r="A143" s="174">
        <v>141</v>
      </c>
      <c r="B143" s="174" t="s">
        <v>434</v>
      </c>
      <c r="C143" s="174" t="s">
        <v>116</v>
      </c>
      <c r="D143" s="174" t="s">
        <v>1095</v>
      </c>
      <c r="E143" s="174" t="s">
        <v>113</v>
      </c>
      <c r="F143" s="174"/>
      <c r="G143" s="174"/>
      <c r="H143" s="174"/>
      <c r="I143" s="174"/>
      <c r="J143" s="174"/>
      <c r="K143" s="174" t="s">
        <v>1227</v>
      </c>
      <c r="L143" s="174"/>
      <c r="M143" s="174"/>
      <c r="N143" s="174"/>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t="s">
        <v>115</v>
      </c>
      <c r="AK143" s="174"/>
      <c r="AL143" s="174"/>
      <c r="AM143" s="181"/>
      <c r="AN143" s="192"/>
    </row>
    <row r="144" spans="1:40" s="175" customFormat="1" ht="12" customHeight="1">
      <c r="A144" s="174">
        <v>142</v>
      </c>
      <c r="B144" s="174" t="s">
        <v>434</v>
      </c>
      <c r="C144" s="174" t="s">
        <v>957</v>
      </c>
      <c r="D144" s="174" t="s">
        <v>1101</v>
      </c>
      <c r="E144" s="174" t="s">
        <v>129</v>
      </c>
      <c r="F144" s="174" t="e">
        <f>VLOOKUP(E144,'95 Chỉ tiêu'!$B$4:$F$177,2,0)</f>
        <v>#N/A</v>
      </c>
      <c r="G144" s="174" t="s">
        <v>78</v>
      </c>
      <c r="H144" s="174" t="s">
        <v>131</v>
      </c>
      <c r="I144" s="174" t="s">
        <v>1228</v>
      </c>
      <c r="J144" s="174" t="s">
        <v>1229</v>
      </c>
      <c r="K144" s="174" t="s">
        <v>1230</v>
      </c>
      <c r="L144" s="174" t="s">
        <v>963</v>
      </c>
      <c r="M144" s="174" t="s">
        <v>1231</v>
      </c>
      <c r="N144" s="174" t="s">
        <v>60</v>
      </c>
      <c r="O144" s="174" t="s">
        <v>795</v>
      </c>
      <c r="P144" s="174" t="s">
        <v>1108</v>
      </c>
      <c r="Q144" s="174" t="s">
        <v>1232</v>
      </c>
      <c r="R144" s="174" t="s">
        <v>1233</v>
      </c>
      <c r="S144" s="174" t="s">
        <v>60</v>
      </c>
      <c r="T144" s="174" t="s">
        <v>60</v>
      </c>
      <c r="U144" s="174" t="s">
        <v>60</v>
      </c>
      <c r="V144" s="174" t="s">
        <v>60</v>
      </c>
      <c r="W144" s="174" t="s">
        <v>60</v>
      </c>
      <c r="X144" s="174" t="s">
        <v>60</v>
      </c>
      <c r="Y144" s="174" t="s">
        <v>60</v>
      </c>
      <c r="Z144" s="174" t="s">
        <v>60</v>
      </c>
      <c r="AA144" s="174" t="s">
        <v>60</v>
      </c>
      <c r="AB144" s="174" t="s">
        <v>60</v>
      </c>
      <c r="AC144" s="174">
        <v>1</v>
      </c>
      <c r="AD144" s="174"/>
      <c r="AE144" s="174"/>
      <c r="AF144" s="174"/>
      <c r="AG144" s="174"/>
      <c r="AH144" s="174"/>
      <c r="AI144" s="174"/>
      <c r="AJ144" s="174" t="s">
        <v>131</v>
      </c>
      <c r="AK144" s="174" t="s">
        <v>130</v>
      </c>
      <c r="AL144" s="174"/>
      <c r="AM144" s="181" t="s">
        <v>554</v>
      </c>
      <c r="AN144" s="192"/>
    </row>
    <row r="145" spans="1:40" s="175" customFormat="1" ht="12" customHeight="1">
      <c r="A145" s="174">
        <v>143</v>
      </c>
      <c r="B145" s="174" t="s">
        <v>434</v>
      </c>
      <c r="C145" s="174" t="s">
        <v>957</v>
      </c>
      <c r="D145" s="174" t="s">
        <v>1101</v>
      </c>
      <c r="E145" s="174" t="s">
        <v>129</v>
      </c>
      <c r="F145" s="174" t="e">
        <f>VLOOKUP(E145,'95 Chỉ tiêu'!$B$4:$F$177,2,0)</f>
        <v>#N/A</v>
      </c>
      <c r="G145" s="174" t="s">
        <v>78</v>
      </c>
      <c r="H145" s="174" t="s">
        <v>131</v>
      </c>
      <c r="I145" s="174" t="s">
        <v>1234</v>
      </c>
      <c r="J145" s="174" t="s">
        <v>1235</v>
      </c>
      <c r="K145" s="174" t="s">
        <v>1236</v>
      </c>
      <c r="L145" s="174" t="s">
        <v>963</v>
      </c>
      <c r="M145" s="174" t="s">
        <v>1237</v>
      </c>
      <c r="N145" s="174" t="s">
        <v>60</v>
      </c>
      <c r="O145" s="174" t="s">
        <v>795</v>
      </c>
      <c r="P145" s="174" t="s">
        <v>1108</v>
      </c>
      <c r="Q145" s="174" t="s">
        <v>1232</v>
      </c>
      <c r="R145" s="174" t="s">
        <v>1233</v>
      </c>
      <c r="S145" s="174" t="s">
        <v>60</v>
      </c>
      <c r="T145" s="174" t="s">
        <v>60</v>
      </c>
      <c r="U145" s="174" t="s">
        <v>60</v>
      </c>
      <c r="V145" s="174" t="s">
        <v>60</v>
      </c>
      <c r="W145" s="174" t="s">
        <v>60</v>
      </c>
      <c r="X145" s="174" t="s">
        <v>60</v>
      </c>
      <c r="Y145" s="174" t="s">
        <v>60</v>
      </c>
      <c r="Z145" s="174" t="s">
        <v>60</v>
      </c>
      <c r="AA145" s="174" t="s">
        <v>60</v>
      </c>
      <c r="AB145" s="174" t="s">
        <v>60</v>
      </c>
      <c r="AC145" s="174">
        <v>1</v>
      </c>
      <c r="AD145" s="174"/>
      <c r="AE145" s="174"/>
      <c r="AF145" s="174"/>
      <c r="AG145" s="174"/>
      <c r="AH145" s="174"/>
      <c r="AI145" s="174"/>
      <c r="AJ145" s="174" t="s">
        <v>131</v>
      </c>
      <c r="AK145" s="174" t="s">
        <v>130</v>
      </c>
      <c r="AL145" s="174"/>
      <c r="AM145" s="181" t="s">
        <v>554</v>
      </c>
      <c r="AN145" s="192"/>
    </row>
    <row r="146" spans="1:40" s="175" customFormat="1" ht="12" customHeight="1">
      <c r="A146" s="174">
        <v>144</v>
      </c>
      <c r="B146" s="174" t="s">
        <v>117</v>
      </c>
      <c r="C146" s="174" t="s">
        <v>116</v>
      </c>
      <c r="D146" s="174" t="s">
        <v>1095</v>
      </c>
      <c r="E146" s="174" t="s">
        <v>198</v>
      </c>
      <c r="F146" s="174" t="s">
        <v>119</v>
      </c>
      <c r="G146" s="174" t="s">
        <v>120</v>
      </c>
      <c r="H146" s="174" t="s">
        <v>200</v>
      </c>
      <c r="I146" s="174"/>
      <c r="J146" s="174"/>
      <c r="K146" s="174" t="s">
        <v>1238</v>
      </c>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t="s">
        <v>200</v>
      </c>
      <c r="AK146" s="174"/>
      <c r="AL146" s="174"/>
      <c r="AM146" s="181"/>
      <c r="AN146" s="192"/>
    </row>
    <row r="147" spans="1:40" s="175" customFormat="1" ht="12" customHeight="1">
      <c r="A147" s="174">
        <v>145</v>
      </c>
      <c r="B147" s="174" t="s">
        <v>117</v>
      </c>
      <c r="C147" s="174" t="s">
        <v>116</v>
      </c>
      <c r="D147" s="174" t="s">
        <v>1095</v>
      </c>
      <c r="E147" s="174" t="s">
        <v>147</v>
      </c>
      <c r="F147" s="174" t="s">
        <v>119</v>
      </c>
      <c r="G147" s="174" t="s">
        <v>120</v>
      </c>
      <c r="H147" s="174" t="s">
        <v>149</v>
      </c>
      <c r="I147" s="174"/>
      <c r="J147" s="174"/>
      <c r="K147" s="174" t="s">
        <v>1238</v>
      </c>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t="s">
        <v>149</v>
      </c>
      <c r="AK147" s="174"/>
      <c r="AL147" s="174"/>
      <c r="AM147" s="181"/>
      <c r="AN147" s="192"/>
    </row>
    <row r="148" spans="1:40" s="175" customFormat="1" ht="12" customHeight="1">
      <c r="A148" s="174">
        <v>146</v>
      </c>
      <c r="B148" s="174" t="s">
        <v>117</v>
      </c>
      <c r="C148" s="174" t="s">
        <v>116</v>
      </c>
      <c r="D148" s="174" t="s">
        <v>1095</v>
      </c>
      <c r="E148" s="174" t="s">
        <v>150</v>
      </c>
      <c r="F148" s="174" t="s">
        <v>119</v>
      </c>
      <c r="G148" s="174" t="s">
        <v>120</v>
      </c>
      <c r="H148" s="174" t="s">
        <v>152</v>
      </c>
      <c r="I148" s="174"/>
      <c r="J148" s="174"/>
      <c r="K148" s="174" t="s">
        <v>1238</v>
      </c>
      <c r="L148" s="174"/>
      <c r="M148" s="174"/>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t="s">
        <v>1239</v>
      </c>
      <c r="AK148" s="174"/>
      <c r="AL148" s="174"/>
      <c r="AM148" s="181"/>
      <c r="AN148" s="192"/>
    </row>
    <row r="149" spans="1:40" s="175" customFormat="1" ht="12" customHeight="1">
      <c r="A149" s="174">
        <v>147</v>
      </c>
      <c r="B149" s="174" t="s">
        <v>117</v>
      </c>
      <c r="C149" s="174" t="s">
        <v>116</v>
      </c>
      <c r="D149" s="174" t="s">
        <v>1095</v>
      </c>
      <c r="E149" s="174" t="s">
        <v>153</v>
      </c>
      <c r="F149" s="174" t="s">
        <v>119</v>
      </c>
      <c r="G149" s="174" t="s">
        <v>120</v>
      </c>
      <c r="H149" s="174" t="s">
        <v>155</v>
      </c>
      <c r="I149" s="174"/>
      <c r="J149" s="174"/>
      <c r="K149" s="174" t="s">
        <v>1238</v>
      </c>
      <c r="L149" s="174"/>
      <c r="M149" s="174"/>
      <c r="N149" s="174"/>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t="s">
        <v>155</v>
      </c>
      <c r="AK149" s="174"/>
      <c r="AL149" s="174"/>
      <c r="AM149" s="181"/>
      <c r="AN149" s="192"/>
    </row>
    <row r="150" spans="1:40" s="175" customFormat="1" ht="12" customHeight="1">
      <c r="A150" s="174">
        <v>148</v>
      </c>
      <c r="B150" s="174" t="s">
        <v>117</v>
      </c>
      <c r="C150" s="174" t="s">
        <v>116</v>
      </c>
      <c r="D150" s="174" t="s">
        <v>1095</v>
      </c>
      <c r="E150" s="174" t="s">
        <v>156</v>
      </c>
      <c r="F150" s="174" t="s">
        <v>119</v>
      </c>
      <c r="G150" s="174" t="s">
        <v>120</v>
      </c>
      <c r="H150" s="174" t="s">
        <v>158</v>
      </c>
      <c r="I150" s="174"/>
      <c r="J150" s="174"/>
      <c r="K150" s="174" t="s">
        <v>1238</v>
      </c>
      <c r="L150" s="174"/>
      <c r="M150" s="174"/>
      <c r="N150" s="174"/>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t="s">
        <v>158</v>
      </c>
      <c r="AK150" s="174"/>
      <c r="AL150" s="174"/>
      <c r="AM150" s="181"/>
      <c r="AN150" s="192"/>
    </row>
    <row r="151" spans="1:40" s="175" customFormat="1" ht="12" customHeight="1">
      <c r="A151" s="174">
        <v>149</v>
      </c>
      <c r="B151" s="174" t="s">
        <v>117</v>
      </c>
      <c r="C151" s="174" t="s">
        <v>116</v>
      </c>
      <c r="D151" s="174" t="s">
        <v>1095</v>
      </c>
      <c r="E151" s="174" t="s">
        <v>161</v>
      </c>
      <c r="F151" s="174" t="s">
        <v>119</v>
      </c>
      <c r="G151" s="174" t="s">
        <v>120</v>
      </c>
      <c r="H151" s="174" t="s">
        <v>163</v>
      </c>
      <c r="I151" s="174"/>
      <c r="J151" s="174"/>
      <c r="K151" s="174" t="s">
        <v>1238</v>
      </c>
      <c r="L151" s="174"/>
      <c r="M151" s="174"/>
      <c r="N151" s="174"/>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t="s">
        <v>163</v>
      </c>
      <c r="AK151" s="174"/>
      <c r="AL151" s="174"/>
      <c r="AM151" s="181"/>
      <c r="AN151" s="192"/>
    </row>
    <row r="152" spans="1:40" s="175" customFormat="1" ht="12" customHeight="1">
      <c r="A152" s="174">
        <v>150</v>
      </c>
      <c r="B152" s="174" t="s">
        <v>117</v>
      </c>
      <c r="C152" s="174" t="s">
        <v>116</v>
      </c>
      <c r="D152" s="174" t="s">
        <v>1095</v>
      </c>
      <c r="E152" s="174" t="s">
        <v>172</v>
      </c>
      <c r="F152" s="174" t="s">
        <v>119</v>
      </c>
      <c r="G152" s="174" t="s">
        <v>120</v>
      </c>
      <c r="H152" s="174" t="s">
        <v>174</v>
      </c>
      <c r="I152" s="174"/>
      <c r="J152" s="174"/>
      <c r="K152" s="174" t="s">
        <v>1238</v>
      </c>
      <c r="L152" s="174"/>
      <c r="M152" s="174"/>
      <c r="N152" s="174"/>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t="s">
        <v>174</v>
      </c>
      <c r="AK152" s="174"/>
      <c r="AL152" s="174"/>
      <c r="AM152" s="181"/>
      <c r="AN152" s="192"/>
    </row>
    <row r="153" spans="1:40" s="175" customFormat="1" ht="12" customHeight="1">
      <c r="A153" s="174">
        <v>151</v>
      </c>
      <c r="B153" s="174" t="s">
        <v>117</v>
      </c>
      <c r="C153" s="174" t="s">
        <v>116</v>
      </c>
      <c r="D153" s="174" t="s">
        <v>1095</v>
      </c>
      <c r="E153" s="174" t="s">
        <v>179</v>
      </c>
      <c r="F153" s="174" t="s">
        <v>119</v>
      </c>
      <c r="G153" s="174" t="s">
        <v>120</v>
      </c>
      <c r="H153" s="174" t="s">
        <v>181</v>
      </c>
      <c r="I153" s="174"/>
      <c r="J153" s="174"/>
      <c r="K153" s="174" t="s">
        <v>1238</v>
      </c>
      <c r="L153" s="174"/>
      <c r="M153" s="174"/>
      <c r="N153" s="174"/>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t="s">
        <v>181</v>
      </c>
      <c r="AK153" s="174"/>
      <c r="AL153" s="174"/>
      <c r="AM153" s="181"/>
      <c r="AN153" s="192"/>
    </row>
    <row r="154" spans="1:40" s="175" customFormat="1" ht="12" customHeight="1">
      <c r="A154" s="174">
        <v>152</v>
      </c>
      <c r="B154" s="174" t="s">
        <v>117</v>
      </c>
      <c r="C154" s="174" t="s">
        <v>116</v>
      </c>
      <c r="D154" s="174" t="s">
        <v>1095</v>
      </c>
      <c r="E154" s="174" t="s">
        <v>184</v>
      </c>
      <c r="F154" s="174" t="s">
        <v>119</v>
      </c>
      <c r="G154" s="174" t="s">
        <v>120</v>
      </c>
      <c r="H154" s="174" t="s">
        <v>186</v>
      </c>
      <c r="I154" s="174"/>
      <c r="J154" s="174"/>
      <c r="K154" s="174" t="s">
        <v>1238</v>
      </c>
      <c r="L154" s="174"/>
      <c r="M154" s="174"/>
      <c r="N154" s="174"/>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t="s">
        <v>186</v>
      </c>
      <c r="AK154" s="174"/>
      <c r="AL154" s="174"/>
      <c r="AM154" s="181"/>
      <c r="AN154" s="192"/>
    </row>
    <row r="155" spans="1:40" s="175" customFormat="1" ht="12" customHeight="1">
      <c r="A155" s="174">
        <v>153</v>
      </c>
      <c r="B155" s="174" t="s">
        <v>117</v>
      </c>
      <c r="C155" s="174" t="s">
        <v>116</v>
      </c>
      <c r="D155" s="174" t="s">
        <v>1095</v>
      </c>
      <c r="E155" s="174" t="s">
        <v>287</v>
      </c>
      <c r="F155" s="174" t="s">
        <v>119</v>
      </c>
      <c r="G155" s="174" t="s">
        <v>120</v>
      </c>
      <c r="H155" s="174" t="s">
        <v>289</v>
      </c>
      <c r="I155" s="174"/>
      <c r="J155" s="174"/>
      <c r="K155" s="174" t="s">
        <v>1238</v>
      </c>
      <c r="L155" s="174"/>
      <c r="M155" s="174"/>
      <c r="N155" s="174"/>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t="s">
        <v>289</v>
      </c>
      <c r="AK155" s="174"/>
      <c r="AL155" s="174"/>
      <c r="AM155" s="181"/>
      <c r="AN155" s="192"/>
    </row>
    <row r="156" spans="1:40" s="175" customFormat="1" ht="12" customHeight="1">
      <c r="A156" s="174">
        <v>154</v>
      </c>
      <c r="B156" s="174" t="s">
        <v>117</v>
      </c>
      <c r="C156" s="174" t="s">
        <v>116</v>
      </c>
      <c r="D156" s="174" t="s">
        <v>1095</v>
      </c>
      <c r="E156" s="174" t="s">
        <v>118</v>
      </c>
      <c r="F156" s="174" t="s">
        <v>119</v>
      </c>
      <c r="G156" s="174" t="s">
        <v>120</v>
      </c>
      <c r="H156" s="174" t="s">
        <v>122</v>
      </c>
      <c r="I156" s="174"/>
      <c r="J156" s="174"/>
      <c r="K156" s="174" t="s">
        <v>1238</v>
      </c>
      <c r="L156" s="174"/>
      <c r="M156" s="174"/>
      <c r="N156" s="174"/>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t="s">
        <v>122</v>
      </c>
      <c r="AK156" s="174"/>
      <c r="AL156" s="174"/>
      <c r="AM156" s="181"/>
      <c r="AN156" s="192"/>
    </row>
    <row r="157" spans="1:40" s="175" customFormat="1" ht="12" customHeight="1">
      <c r="A157" s="174">
        <v>155</v>
      </c>
      <c r="B157" s="174" t="s">
        <v>117</v>
      </c>
      <c r="C157" s="174" t="s">
        <v>116</v>
      </c>
      <c r="D157" s="174" t="s">
        <v>1095</v>
      </c>
      <c r="E157" s="174" t="s">
        <v>138</v>
      </c>
      <c r="F157" s="174" t="s">
        <v>119</v>
      </c>
      <c r="G157" s="174" t="s">
        <v>120</v>
      </c>
      <c r="H157" s="174" t="s">
        <v>140</v>
      </c>
      <c r="I157" s="174"/>
      <c r="J157" s="174"/>
      <c r="K157" s="174" t="s">
        <v>1238</v>
      </c>
      <c r="L157" s="174"/>
      <c r="M157" s="174"/>
      <c r="N157" s="174"/>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4" t="s">
        <v>1240</v>
      </c>
      <c r="AK157" s="174"/>
      <c r="AL157" s="174"/>
      <c r="AM157" s="181"/>
      <c r="AN157" s="192"/>
    </row>
    <row r="158" spans="1:40" s="175" customFormat="1" ht="12" customHeight="1">
      <c r="A158" s="174">
        <v>156</v>
      </c>
      <c r="B158" s="174" t="s">
        <v>117</v>
      </c>
      <c r="C158" s="174" t="s">
        <v>116</v>
      </c>
      <c r="D158" s="174" t="s">
        <v>1095</v>
      </c>
      <c r="E158" s="174" t="s">
        <v>141</v>
      </c>
      <c r="F158" s="174" t="s">
        <v>119</v>
      </c>
      <c r="G158" s="174" t="s">
        <v>120</v>
      </c>
      <c r="H158" s="174" t="s">
        <v>143</v>
      </c>
      <c r="I158" s="174"/>
      <c r="J158" s="174"/>
      <c r="K158" s="174" t="s">
        <v>1238</v>
      </c>
      <c r="L158" s="174"/>
      <c r="M158" s="174"/>
      <c r="N158" s="174"/>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4" t="s">
        <v>143</v>
      </c>
      <c r="AK158" s="174"/>
      <c r="AL158" s="174"/>
      <c r="AM158" s="181"/>
      <c r="AN158" s="192"/>
    </row>
    <row r="159" spans="1:40" s="175" customFormat="1" ht="12" customHeight="1">
      <c r="A159" s="174">
        <v>157</v>
      </c>
      <c r="B159" s="174" t="s">
        <v>117</v>
      </c>
      <c r="C159" s="174" t="s">
        <v>116</v>
      </c>
      <c r="D159" s="174" t="s">
        <v>1095</v>
      </c>
      <c r="E159" s="174" t="s">
        <v>144</v>
      </c>
      <c r="F159" s="174" t="s">
        <v>119</v>
      </c>
      <c r="G159" s="174" t="s">
        <v>120</v>
      </c>
      <c r="H159" s="174" t="s">
        <v>146</v>
      </c>
      <c r="I159" s="174"/>
      <c r="J159" s="174"/>
      <c r="K159" s="174" t="s">
        <v>1238</v>
      </c>
      <c r="L159" s="174"/>
      <c r="M159" s="174"/>
      <c r="N159" s="174"/>
      <c r="O159" s="174"/>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4" t="s">
        <v>1241</v>
      </c>
      <c r="AK159" s="174"/>
      <c r="AL159" s="174"/>
      <c r="AM159" s="181"/>
      <c r="AN159" s="192"/>
    </row>
    <row r="160" spans="1:40" s="175" customFormat="1" ht="12" customHeight="1">
      <c r="A160" s="174">
        <v>158</v>
      </c>
      <c r="B160" s="174" t="s">
        <v>117</v>
      </c>
      <c r="C160" s="174" t="s">
        <v>116</v>
      </c>
      <c r="D160" s="174" t="s">
        <v>1095</v>
      </c>
      <c r="E160" s="174" t="s">
        <v>356</v>
      </c>
      <c r="F160" s="174" t="s">
        <v>119</v>
      </c>
      <c r="G160" s="174" t="s">
        <v>120</v>
      </c>
      <c r="H160" s="174" t="s">
        <v>358</v>
      </c>
      <c r="I160" s="174"/>
      <c r="J160" s="174"/>
      <c r="K160" s="174" t="s">
        <v>1238</v>
      </c>
      <c r="L160" s="174"/>
      <c r="M160" s="174"/>
      <c r="N160" s="174"/>
      <c r="O160" s="174"/>
      <c r="P160" s="174"/>
      <c r="Q160" s="174"/>
      <c r="R160" s="174"/>
      <c r="S160" s="174"/>
      <c r="T160" s="174"/>
      <c r="U160" s="174"/>
      <c r="V160" s="174"/>
      <c r="W160" s="174"/>
      <c r="X160" s="174"/>
      <c r="Y160" s="174"/>
      <c r="Z160" s="174"/>
      <c r="AA160" s="174"/>
      <c r="AB160" s="174"/>
      <c r="AC160" s="174"/>
      <c r="AD160" s="174"/>
      <c r="AE160" s="174"/>
      <c r="AF160" s="174"/>
      <c r="AG160" s="174"/>
      <c r="AH160" s="174"/>
      <c r="AI160" s="174"/>
      <c r="AJ160" s="174" t="s">
        <v>358</v>
      </c>
      <c r="AK160" s="174"/>
      <c r="AL160" s="174"/>
      <c r="AM160" s="181"/>
      <c r="AN160" s="192"/>
    </row>
    <row r="161" spans="1:40" s="175" customFormat="1" ht="12" customHeight="1">
      <c r="A161" s="174">
        <v>159</v>
      </c>
      <c r="B161" s="174" t="s">
        <v>1242</v>
      </c>
      <c r="C161" s="174" t="s">
        <v>233</v>
      </c>
      <c r="D161" s="174" t="s">
        <v>656</v>
      </c>
      <c r="E161" s="174" t="s">
        <v>234</v>
      </c>
      <c r="F161" s="174" t="e">
        <f>VLOOKUP(E161,'95 Chỉ tiêu'!$B$4:$F$177,2,0)</f>
        <v>#N/A</v>
      </c>
      <c r="G161" s="174" t="s">
        <v>111</v>
      </c>
      <c r="H161" s="174" t="s">
        <v>1243</v>
      </c>
      <c r="I161" s="174" t="s">
        <v>1244</v>
      </c>
      <c r="J161" s="174" t="s">
        <v>1245</v>
      </c>
      <c r="K161" s="174" t="s">
        <v>1246</v>
      </c>
      <c r="L161" s="174" t="s">
        <v>1247</v>
      </c>
      <c r="M161" s="176" t="s">
        <v>1248</v>
      </c>
      <c r="N161" s="176" t="s">
        <v>1249</v>
      </c>
      <c r="O161" s="174" t="s">
        <v>1250</v>
      </c>
      <c r="P161" s="174"/>
      <c r="Q161" s="174"/>
      <c r="R161" s="174"/>
      <c r="S161" s="174"/>
      <c r="T161" s="174"/>
      <c r="U161" s="174"/>
      <c r="V161" s="174"/>
      <c r="W161" s="174"/>
      <c r="X161" s="174"/>
      <c r="Y161" s="174"/>
      <c r="Z161" s="174"/>
      <c r="AA161" s="174"/>
      <c r="AB161" s="174"/>
      <c r="AC161" s="174"/>
      <c r="AD161" s="174"/>
      <c r="AE161" s="174"/>
      <c r="AF161" s="174"/>
      <c r="AG161" s="174"/>
      <c r="AH161" s="174"/>
      <c r="AI161" s="174"/>
      <c r="AJ161" s="174" t="s">
        <v>236</v>
      </c>
      <c r="AK161" s="174" t="s">
        <v>1243</v>
      </c>
      <c r="AL161" s="174"/>
      <c r="AM161" s="181" t="s">
        <v>554</v>
      </c>
      <c r="AN161" s="192"/>
    </row>
    <row r="162" spans="1:40" s="175" customFormat="1" ht="12" customHeight="1">
      <c r="A162" s="174">
        <v>160</v>
      </c>
      <c r="B162" s="174" t="s">
        <v>1242</v>
      </c>
      <c r="C162" s="174" t="s">
        <v>233</v>
      </c>
      <c r="D162" s="174" t="s">
        <v>656</v>
      </c>
      <c r="E162" s="174" t="s">
        <v>234</v>
      </c>
      <c r="F162" s="174" t="e">
        <f>VLOOKUP(E162,'95 Chỉ tiêu'!$B$4:$F$177,2,0)</f>
        <v>#N/A</v>
      </c>
      <c r="G162" s="174" t="s">
        <v>111</v>
      </c>
      <c r="H162" s="174" t="s">
        <v>1243</v>
      </c>
      <c r="I162" s="174" t="s">
        <v>1251</v>
      </c>
      <c r="J162" s="174" t="s">
        <v>1252</v>
      </c>
      <c r="K162" s="174" t="s">
        <v>1253</v>
      </c>
      <c r="L162" s="174" t="s">
        <v>1247</v>
      </c>
      <c r="M162" s="176" t="s">
        <v>1254</v>
      </c>
      <c r="N162" s="176" t="s">
        <v>1255</v>
      </c>
      <c r="O162" s="174" t="s">
        <v>1250</v>
      </c>
      <c r="P162" s="174"/>
      <c r="Q162" s="174"/>
      <c r="R162" s="174"/>
      <c r="S162" s="174"/>
      <c r="T162" s="174"/>
      <c r="U162" s="174"/>
      <c r="V162" s="174"/>
      <c r="W162" s="174"/>
      <c r="X162" s="174"/>
      <c r="Y162" s="174"/>
      <c r="Z162" s="174"/>
      <c r="AA162" s="174"/>
      <c r="AB162" s="174"/>
      <c r="AC162" s="174"/>
      <c r="AD162" s="174"/>
      <c r="AE162" s="174"/>
      <c r="AF162" s="174"/>
      <c r="AG162" s="174"/>
      <c r="AH162" s="174"/>
      <c r="AI162" s="174"/>
      <c r="AJ162" s="174" t="s">
        <v>236</v>
      </c>
      <c r="AK162" s="174" t="s">
        <v>1243</v>
      </c>
      <c r="AL162" s="174"/>
      <c r="AM162" s="181" t="s">
        <v>554</v>
      </c>
      <c r="AN162" s="192"/>
    </row>
    <row r="163" spans="1:40" s="175" customFormat="1" ht="12" customHeight="1">
      <c r="A163" s="174">
        <v>161</v>
      </c>
      <c r="B163" s="174" t="s">
        <v>1242</v>
      </c>
      <c r="C163" s="174" t="s">
        <v>233</v>
      </c>
      <c r="D163" s="174" t="s">
        <v>656</v>
      </c>
      <c r="E163" s="174" t="s">
        <v>234</v>
      </c>
      <c r="F163" s="174" t="e">
        <f>VLOOKUP(E163,'95 Chỉ tiêu'!$B$4:$F$177,2,0)</f>
        <v>#N/A</v>
      </c>
      <c r="G163" s="174" t="s">
        <v>111</v>
      </c>
      <c r="H163" s="174" t="s">
        <v>1243</v>
      </c>
      <c r="I163" s="174" t="s">
        <v>1256</v>
      </c>
      <c r="J163" s="174" t="s">
        <v>1257</v>
      </c>
      <c r="K163" s="174" t="s">
        <v>1258</v>
      </c>
      <c r="L163" s="174" t="s">
        <v>1247</v>
      </c>
      <c r="M163" s="176" t="s">
        <v>1259</v>
      </c>
      <c r="N163" s="176" t="s">
        <v>1260</v>
      </c>
      <c r="O163" s="174" t="s">
        <v>1250</v>
      </c>
      <c r="P163" s="174"/>
      <c r="Q163" s="174"/>
      <c r="R163" s="174"/>
      <c r="S163" s="174"/>
      <c r="T163" s="174"/>
      <c r="U163" s="174"/>
      <c r="V163" s="174"/>
      <c r="W163" s="174"/>
      <c r="X163" s="174"/>
      <c r="Y163" s="174"/>
      <c r="Z163" s="174"/>
      <c r="AA163" s="174"/>
      <c r="AB163" s="174"/>
      <c r="AC163" s="174"/>
      <c r="AD163" s="174"/>
      <c r="AE163" s="174"/>
      <c r="AF163" s="174"/>
      <c r="AG163" s="174"/>
      <c r="AH163" s="174"/>
      <c r="AI163" s="174"/>
      <c r="AJ163" s="174" t="s">
        <v>236</v>
      </c>
      <c r="AK163" s="174" t="s">
        <v>1243</v>
      </c>
      <c r="AL163" s="174"/>
      <c r="AM163" s="181" t="s">
        <v>554</v>
      </c>
      <c r="AN163" s="192"/>
    </row>
    <row r="164" spans="1:40" s="175" customFormat="1" ht="12" customHeight="1">
      <c r="A164" s="174">
        <v>162</v>
      </c>
      <c r="B164" s="174" t="s">
        <v>1242</v>
      </c>
      <c r="C164" s="174" t="s">
        <v>233</v>
      </c>
      <c r="D164" s="174" t="s">
        <v>656</v>
      </c>
      <c r="E164" s="174" t="s">
        <v>234</v>
      </c>
      <c r="F164" s="174" t="e">
        <f>VLOOKUP(E164,'95 Chỉ tiêu'!$B$4:$F$177,2,0)</f>
        <v>#N/A</v>
      </c>
      <c r="G164" s="174" t="s">
        <v>111</v>
      </c>
      <c r="H164" s="174" t="s">
        <v>1243</v>
      </c>
      <c r="I164" s="174" t="s">
        <v>1261</v>
      </c>
      <c r="J164" s="174" t="s">
        <v>1262</v>
      </c>
      <c r="K164" s="174" t="s">
        <v>1263</v>
      </c>
      <c r="L164" s="174" t="s">
        <v>1247</v>
      </c>
      <c r="M164" s="176" t="s">
        <v>1264</v>
      </c>
      <c r="N164" s="174" t="s">
        <v>60</v>
      </c>
      <c r="O164" s="174" t="s">
        <v>1250</v>
      </c>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t="s">
        <v>236</v>
      </c>
      <c r="AK164" s="174" t="s">
        <v>1243</v>
      </c>
      <c r="AL164" s="174"/>
      <c r="AM164" s="181" t="s">
        <v>755</v>
      </c>
      <c r="AN164" s="192"/>
    </row>
    <row r="165" spans="1:40" s="175" customFormat="1" ht="12" customHeight="1">
      <c r="A165" s="174">
        <v>163</v>
      </c>
      <c r="B165" s="174" t="s">
        <v>1242</v>
      </c>
      <c r="C165" s="174" t="s">
        <v>233</v>
      </c>
      <c r="D165" s="174" t="s">
        <v>656</v>
      </c>
      <c r="E165" s="174" t="s">
        <v>234</v>
      </c>
      <c r="F165" s="174" t="e">
        <f>VLOOKUP(E165,'95 Chỉ tiêu'!$B$4:$F$177,2,0)</f>
        <v>#N/A</v>
      </c>
      <c r="G165" s="174" t="s">
        <v>111</v>
      </c>
      <c r="H165" s="174" t="s">
        <v>1243</v>
      </c>
      <c r="I165" s="174" t="s">
        <v>1265</v>
      </c>
      <c r="J165" s="174" t="s">
        <v>1266</v>
      </c>
      <c r="K165" s="174" t="s">
        <v>1267</v>
      </c>
      <c r="L165" s="174" t="s">
        <v>1247</v>
      </c>
      <c r="M165" s="176" t="s">
        <v>1268</v>
      </c>
      <c r="N165" s="174" t="s">
        <v>60</v>
      </c>
      <c r="O165" s="174" t="s">
        <v>1250</v>
      </c>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t="s">
        <v>236</v>
      </c>
      <c r="AK165" s="174" t="s">
        <v>1243</v>
      </c>
      <c r="AL165" s="174"/>
      <c r="AM165" s="181" t="s">
        <v>755</v>
      </c>
      <c r="AN165" s="192"/>
    </row>
    <row r="166" spans="1:40" s="175" customFormat="1" ht="12" customHeight="1">
      <c r="A166" s="174">
        <v>164</v>
      </c>
      <c r="B166" s="174" t="s">
        <v>1242</v>
      </c>
      <c r="C166" s="174" t="s">
        <v>233</v>
      </c>
      <c r="D166" s="174" t="s">
        <v>656</v>
      </c>
      <c r="E166" s="174" t="s">
        <v>234</v>
      </c>
      <c r="F166" s="174" t="e">
        <f>VLOOKUP(E166,'95 Chỉ tiêu'!$B$4:$F$177,2,0)</f>
        <v>#N/A</v>
      </c>
      <c r="G166" s="174" t="s">
        <v>111</v>
      </c>
      <c r="H166" s="174" t="s">
        <v>1243</v>
      </c>
      <c r="I166" s="174" t="s">
        <v>1269</v>
      </c>
      <c r="J166" s="174" t="s">
        <v>1270</v>
      </c>
      <c r="K166" s="174" t="s">
        <v>1271</v>
      </c>
      <c r="L166" s="174" t="s">
        <v>1247</v>
      </c>
      <c r="M166" s="176" t="s">
        <v>1272</v>
      </c>
      <c r="N166" s="174" t="s">
        <v>60</v>
      </c>
      <c r="O166" s="174" t="s">
        <v>1250</v>
      </c>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t="s">
        <v>236</v>
      </c>
      <c r="AK166" s="174" t="s">
        <v>1243</v>
      </c>
      <c r="AL166" s="174"/>
      <c r="AM166" s="181" t="s">
        <v>600</v>
      </c>
      <c r="AN166" s="192"/>
    </row>
    <row r="167" spans="1:40" s="175" customFormat="1" ht="12" customHeight="1">
      <c r="A167" s="174">
        <v>165</v>
      </c>
      <c r="B167" s="174" t="s">
        <v>1242</v>
      </c>
      <c r="C167" s="174" t="s">
        <v>233</v>
      </c>
      <c r="D167" s="174" t="s">
        <v>656</v>
      </c>
      <c r="E167" s="174" t="s">
        <v>234</v>
      </c>
      <c r="F167" s="174" t="e">
        <f>VLOOKUP(E167,'95 Chỉ tiêu'!$B$4:$F$177,2,0)</f>
        <v>#N/A</v>
      </c>
      <c r="G167" s="174" t="s">
        <v>111</v>
      </c>
      <c r="H167" s="174" t="s">
        <v>1243</v>
      </c>
      <c r="I167" s="174" t="s">
        <v>1273</v>
      </c>
      <c r="J167" s="174" t="s">
        <v>1274</v>
      </c>
      <c r="K167" s="174" t="s">
        <v>1275</v>
      </c>
      <c r="L167" s="174" t="s">
        <v>1247</v>
      </c>
      <c r="M167" s="176" t="s">
        <v>1276</v>
      </c>
      <c r="N167" s="174" t="s">
        <v>60</v>
      </c>
      <c r="O167" s="174" t="s">
        <v>1250</v>
      </c>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t="s">
        <v>236</v>
      </c>
      <c r="AK167" s="174" t="s">
        <v>1243</v>
      </c>
      <c r="AL167" s="174"/>
      <c r="AM167" s="181" t="s">
        <v>600</v>
      </c>
      <c r="AN167" s="192"/>
    </row>
    <row r="168" spans="1:40" s="175" customFormat="1" ht="12" customHeight="1">
      <c r="A168" s="174">
        <v>166</v>
      </c>
      <c r="B168" s="174" t="s">
        <v>1242</v>
      </c>
      <c r="C168" s="174" t="s">
        <v>233</v>
      </c>
      <c r="D168" s="174" t="s">
        <v>656</v>
      </c>
      <c r="E168" s="174" t="s">
        <v>243</v>
      </c>
      <c r="F168" s="174" t="e">
        <f>VLOOKUP(E168,'95 Chỉ tiêu'!$B$4:$F$177,2,0)</f>
        <v>#N/A</v>
      </c>
      <c r="G168" s="174" t="s">
        <v>111</v>
      </c>
      <c r="H168" s="174" t="s">
        <v>244</v>
      </c>
      <c r="I168" s="174" t="s">
        <v>1277</v>
      </c>
      <c r="J168" s="174" t="s">
        <v>1278</v>
      </c>
      <c r="K168" s="174" t="s">
        <v>1279</v>
      </c>
      <c r="L168" s="174" t="s">
        <v>1247</v>
      </c>
      <c r="M168" s="176" t="s">
        <v>1280</v>
      </c>
      <c r="N168" s="176" t="s">
        <v>1281</v>
      </c>
      <c r="O168" s="174" t="s">
        <v>1250</v>
      </c>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t="s">
        <v>245</v>
      </c>
      <c r="AK168" s="174" t="s">
        <v>244</v>
      </c>
      <c r="AL168" s="174"/>
      <c r="AM168" s="181" t="s">
        <v>554</v>
      </c>
      <c r="AN168" s="192"/>
    </row>
    <row r="169" spans="1:40" s="175" customFormat="1" ht="12" customHeight="1">
      <c r="A169" s="174">
        <v>167</v>
      </c>
      <c r="B169" s="174" t="s">
        <v>1242</v>
      </c>
      <c r="C169" s="174" t="s">
        <v>233</v>
      </c>
      <c r="D169" s="174" t="s">
        <v>656</v>
      </c>
      <c r="E169" s="174" t="s">
        <v>243</v>
      </c>
      <c r="F169" s="174" t="e">
        <f>VLOOKUP(E169,'95 Chỉ tiêu'!$B$4:$F$177,2,0)</f>
        <v>#N/A</v>
      </c>
      <c r="G169" s="174" t="s">
        <v>111</v>
      </c>
      <c r="H169" s="174" t="s">
        <v>244</v>
      </c>
      <c r="I169" s="174" t="s">
        <v>1282</v>
      </c>
      <c r="J169" s="174" t="s">
        <v>1283</v>
      </c>
      <c r="K169" s="174" t="s">
        <v>1284</v>
      </c>
      <c r="L169" s="174" t="s">
        <v>1247</v>
      </c>
      <c r="M169" s="176" t="s">
        <v>1285</v>
      </c>
      <c r="N169" s="174" t="s">
        <v>60</v>
      </c>
      <c r="O169" s="174" t="s">
        <v>1250</v>
      </c>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t="s">
        <v>245</v>
      </c>
      <c r="AK169" s="174" t="s">
        <v>244</v>
      </c>
      <c r="AL169" s="174"/>
      <c r="AM169" s="181" t="s">
        <v>582</v>
      </c>
      <c r="AN169" s="192"/>
    </row>
    <row r="170" spans="1:40" s="175" customFormat="1" ht="12" customHeight="1">
      <c r="A170" s="174">
        <v>168</v>
      </c>
      <c r="B170" s="174" t="s">
        <v>1242</v>
      </c>
      <c r="C170" s="174" t="s">
        <v>233</v>
      </c>
      <c r="D170" s="174" t="s">
        <v>656</v>
      </c>
      <c r="E170" s="174" t="s">
        <v>243</v>
      </c>
      <c r="F170" s="174" t="e">
        <f>VLOOKUP(E170,'95 Chỉ tiêu'!$B$4:$F$177,2,0)</f>
        <v>#N/A</v>
      </c>
      <c r="G170" s="174" t="s">
        <v>111</v>
      </c>
      <c r="H170" s="174" t="s">
        <v>244</v>
      </c>
      <c r="I170" s="174" t="s">
        <v>1286</v>
      </c>
      <c r="J170" s="174" t="s">
        <v>1287</v>
      </c>
      <c r="K170" s="174" t="s">
        <v>1288</v>
      </c>
      <c r="L170" s="174" t="s">
        <v>1247</v>
      </c>
      <c r="M170" s="176" t="s">
        <v>1289</v>
      </c>
      <c r="N170" s="174" t="s">
        <v>60</v>
      </c>
      <c r="O170" s="174" t="s">
        <v>1250</v>
      </c>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t="s">
        <v>245</v>
      </c>
      <c r="AK170" s="174" t="s">
        <v>244</v>
      </c>
      <c r="AL170" s="174"/>
      <c r="AM170" s="181" t="s">
        <v>600</v>
      </c>
      <c r="AN170" s="192"/>
    </row>
    <row r="171" spans="1:40" s="175" customFormat="1" ht="12" customHeight="1">
      <c r="A171" s="174">
        <v>169</v>
      </c>
      <c r="B171" s="174" t="s">
        <v>1242</v>
      </c>
      <c r="C171" s="174" t="s">
        <v>233</v>
      </c>
      <c r="D171" s="174" t="s">
        <v>656</v>
      </c>
      <c r="E171" s="174" t="s">
        <v>243</v>
      </c>
      <c r="F171" s="174" t="e">
        <f>VLOOKUP(E171,'95 Chỉ tiêu'!$B$4:$F$177,2,0)</f>
        <v>#N/A</v>
      </c>
      <c r="G171" s="174" t="s">
        <v>111</v>
      </c>
      <c r="H171" s="174" t="s">
        <v>244</v>
      </c>
      <c r="I171" s="174" t="s">
        <v>1290</v>
      </c>
      <c r="J171" s="174" t="s">
        <v>1291</v>
      </c>
      <c r="K171" s="174" t="s">
        <v>1292</v>
      </c>
      <c r="L171" s="174" t="s">
        <v>1247</v>
      </c>
      <c r="M171" s="176" t="s">
        <v>1293</v>
      </c>
      <c r="N171" s="174" t="s">
        <v>60</v>
      </c>
      <c r="O171" s="174" t="s">
        <v>1250</v>
      </c>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t="s">
        <v>245</v>
      </c>
      <c r="AK171" s="174" t="s">
        <v>244</v>
      </c>
      <c r="AL171" s="174"/>
      <c r="AM171" s="181" t="s">
        <v>600</v>
      </c>
      <c r="AN171" s="192"/>
    </row>
    <row r="172" spans="1:40" s="175" customFormat="1" ht="12" customHeight="1">
      <c r="A172" s="174">
        <v>170</v>
      </c>
      <c r="B172" s="174" t="s">
        <v>1242</v>
      </c>
      <c r="C172" s="174" t="s">
        <v>233</v>
      </c>
      <c r="D172" s="174" t="s">
        <v>656</v>
      </c>
      <c r="E172" s="174" t="s">
        <v>243</v>
      </c>
      <c r="F172" s="174" t="e">
        <f>VLOOKUP(E172,'95 Chỉ tiêu'!$B$4:$F$177,2,0)</f>
        <v>#N/A</v>
      </c>
      <c r="G172" s="174" t="s">
        <v>111</v>
      </c>
      <c r="H172" s="174" t="s">
        <v>244</v>
      </c>
      <c r="I172" s="174" t="s">
        <v>1294</v>
      </c>
      <c r="J172" s="174" t="s">
        <v>1295</v>
      </c>
      <c r="K172" s="174" t="s">
        <v>1296</v>
      </c>
      <c r="L172" s="174" t="s">
        <v>1247</v>
      </c>
      <c r="M172" s="176" t="s">
        <v>1297</v>
      </c>
      <c r="N172" s="174" t="s">
        <v>60</v>
      </c>
      <c r="O172" s="174" t="s">
        <v>1250</v>
      </c>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t="s">
        <v>245</v>
      </c>
      <c r="AK172" s="174" t="s">
        <v>244</v>
      </c>
      <c r="AL172" s="174"/>
      <c r="AM172" s="181" t="s">
        <v>1298</v>
      </c>
      <c r="AN172" s="192"/>
    </row>
    <row r="173" spans="1:40" s="175" customFormat="1" ht="12" customHeight="1">
      <c r="A173" s="174">
        <v>171</v>
      </c>
      <c r="B173" s="174" t="s">
        <v>1242</v>
      </c>
      <c r="C173" s="174" t="s">
        <v>51</v>
      </c>
      <c r="D173" s="174" t="s">
        <v>539</v>
      </c>
      <c r="E173" s="174" t="s">
        <v>53</v>
      </c>
      <c r="F173" s="174" t="e">
        <f>VLOOKUP(E173,'95 Chỉ tiêu'!$B$4:$F$177,2,0)</f>
        <v>#N/A</v>
      </c>
      <c r="G173" s="174" t="s">
        <v>55</v>
      </c>
      <c r="H173" s="174" t="s">
        <v>1299</v>
      </c>
      <c r="I173" s="174" t="s">
        <v>1300</v>
      </c>
      <c r="J173" s="174" t="s">
        <v>1301</v>
      </c>
      <c r="K173" s="174" t="s">
        <v>1302</v>
      </c>
      <c r="L173" s="174" t="s">
        <v>1303</v>
      </c>
      <c r="M173" s="174" t="s">
        <v>1304</v>
      </c>
      <c r="N173" s="174" t="s">
        <v>1305</v>
      </c>
      <c r="O173" s="174" t="s">
        <v>1306</v>
      </c>
      <c r="P173" s="174" t="s">
        <v>59</v>
      </c>
      <c r="Q173" s="174" t="s">
        <v>1232</v>
      </c>
      <c r="R173" s="174" t="s">
        <v>1307</v>
      </c>
      <c r="S173" s="174"/>
      <c r="T173" s="174"/>
      <c r="U173" s="174"/>
      <c r="V173" s="174"/>
      <c r="W173" s="174"/>
      <c r="X173" s="174"/>
      <c r="Y173" s="174"/>
      <c r="Z173" s="174"/>
      <c r="AA173" s="174"/>
      <c r="AB173" s="174"/>
      <c r="AC173" s="174"/>
      <c r="AD173" s="174"/>
      <c r="AE173" s="174"/>
      <c r="AF173" s="174"/>
      <c r="AG173" s="174"/>
      <c r="AH173" s="174"/>
      <c r="AI173" s="174"/>
      <c r="AJ173" s="174" t="s">
        <v>1299</v>
      </c>
      <c r="AK173" s="174" t="s">
        <v>1308</v>
      </c>
      <c r="AL173" s="174"/>
      <c r="AM173" s="181" t="s">
        <v>554</v>
      </c>
      <c r="AN173" s="192"/>
    </row>
    <row r="174" spans="1:40" s="175" customFormat="1" ht="12" customHeight="1">
      <c r="A174" s="174">
        <v>172</v>
      </c>
      <c r="B174" s="174" t="s">
        <v>1242</v>
      </c>
      <c r="C174" s="174" t="s">
        <v>51</v>
      </c>
      <c r="D174" s="174" t="s">
        <v>539</v>
      </c>
      <c r="E174" s="174" t="s">
        <v>53</v>
      </c>
      <c r="F174" s="174" t="e">
        <f>VLOOKUP(E174,'95 Chỉ tiêu'!$B$4:$F$177,2,0)</f>
        <v>#N/A</v>
      </c>
      <c r="G174" s="174" t="s">
        <v>55</v>
      </c>
      <c r="H174" s="174" t="s">
        <v>1299</v>
      </c>
      <c r="I174" s="174" t="s">
        <v>1309</v>
      </c>
      <c r="J174" s="174" t="s">
        <v>1310</v>
      </c>
      <c r="K174" s="174" t="s">
        <v>1311</v>
      </c>
      <c r="L174" s="174" t="s">
        <v>1303</v>
      </c>
      <c r="M174" s="174" t="s">
        <v>1312</v>
      </c>
      <c r="N174" s="174" t="s">
        <v>1305</v>
      </c>
      <c r="O174" s="174" t="s">
        <v>1306</v>
      </c>
      <c r="P174" s="174" t="s">
        <v>59</v>
      </c>
      <c r="Q174" s="174" t="s">
        <v>1232</v>
      </c>
      <c r="R174" s="174" t="s">
        <v>1307</v>
      </c>
      <c r="S174" s="174"/>
      <c r="T174" s="174"/>
      <c r="U174" s="174"/>
      <c r="V174" s="174"/>
      <c r="W174" s="174"/>
      <c r="X174" s="174"/>
      <c r="Y174" s="174"/>
      <c r="Z174" s="174"/>
      <c r="AA174" s="174"/>
      <c r="AB174" s="174"/>
      <c r="AC174" s="174"/>
      <c r="AD174" s="174"/>
      <c r="AE174" s="174"/>
      <c r="AF174" s="174"/>
      <c r="AG174" s="174"/>
      <c r="AH174" s="174"/>
      <c r="AI174" s="174"/>
      <c r="AJ174" s="174" t="s">
        <v>1299</v>
      </c>
      <c r="AK174" s="174" t="s">
        <v>1308</v>
      </c>
      <c r="AL174" s="174"/>
      <c r="AM174" s="181" t="s">
        <v>554</v>
      </c>
      <c r="AN174" s="192"/>
    </row>
    <row r="175" spans="1:40" s="175" customFormat="1" ht="12" customHeight="1">
      <c r="A175" s="174">
        <v>173</v>
      </c>
      <c r="B175" s="174" t="s">
        <v>1242</v>
      </c>
      <c r="C175" s="174" t="s">
        <v>51</v>
      </c>
      <c r="D175" s="174" t="s">
        <v>539</v>
      </c>
      <c r="E175" s="174" t="s">
        <v>53</v>
      </c>
      <c r="F175" s="174" t="e">
        <f>VLOOKUP(E175,'95 Chỉ tiêu'!$B$4:$F$177,2,0)</f>
        <v>#N/A</v>
      </c>
      <c r="G175" s="174" t="s">
        <v>55</v>
      </c>
      <c r="H175" s="174" t="s">
        <v>1299</v>
      </c>
      <c r="I175" s="174" t="s">
        <v>1313</v>
      </c>
      <c r="J175" s="174" t="s">
        <v>1314</v>
      </c>
      <c r="K175" s="174" t="s">
        <v>1315</v>
      </c>
      <c r="L175" s="174" t="s">
        <v>1303</v>
      </c>
      <c r="M175" s="174" t="s">
        <v>1316</v>
      </c>
      <c r="N175" s="174" t="s">
        <v>1305</v>
      </c>
      <c r="O175" s="174" t="s">
        <v>1306</v>
      </c>
      <c r="P175" s="174" t="s">
        <v>59</v>
      </c>
      <c r="Q175" s="174" t="s">
        <v>1232</v>
      </c>
      <c r="R175" s="174" t="s">
        <v>1307</v>
      </c>
      <c r="S175" s="174"/>
      <c r="T175" s="174"/>
      <c r="U175" s="174"/>
      <c r="V175" s="174"/>
      <c r="W175" s="174"/>
      <c r="X175" s="174"/>
      <c r="Y175" s="174"/>
      <c r="Z175" s="174"/>
      <c r="AA175" s="174"/>
      <c r="AB175" s="174"/>
      <c r="AC175" s="174"/>
      <c r="AD175" s="174"/>
      <c r="AE175" s="174"/>
      <c r="AF175" s="174"/>
      <c r="AG175" s="174"/>
      <c r="AH175" s="174"/>
      <c r="AI175" s="174"/>
      <c r="AJ175" s="174" t="s">
        <v>1299</v>
      </c>
      <c r="AK175" s="174" t="s">
        <v>1308</v>
      </c>
      <c r="AL175" s="174"/>
      <c r="AM175" s="181" t="s">
        <v>554</v>
      </c>
      <c r="AN175" s="192"/>
    </row>
    <row r="176" spans="1:40" s="175" customFormat="1" ht="12" customHeight="1">
      <c r="A176" s="174">
        <v>174</v>
      </c>
      <c r="B176" s="174" t="s">
        <v>1242</v>
      </c>
      <c r="C176" s="174" t="s">
        <v>51</v>
      </c>
      <c r="D176" s="174" t="s">
        <v>539</v>
      </c>
      <c r="E176" s="174" t="s">
        <v>53</v>
      </c>
      <c r="F176" s="174" t="e">
        <f>VLOOKUP(E176,'95 Chỉ tiêu'!$B$4:$F$177,2,0)</f>
        <v>#N/A</v>
      </c>
      <c r="G176" s="174" t="s">
        <v>55</v>
      </c>
      <c r="H176" s="174" t="s">
        <v>1299</v>
      </c>
      <c r="I176" s="174" t="s">
        <v>1317</v>
      </c>
      <c r="J176" s="174" t="s">
        <v>1318</v>
      </c>
      <c r="K176" s="174" t="s">
        <v>1319</v>
      </c>
      <c r="L176" s="174" t="s">
        <v>1303</v>
      </c>
      <c r="M176" s="174" t="s">
        <v>1320</v>
      </c>
      <c r="N176" s="174" t="s">
        <v>846</v>
      </c>
      <c r="O176" s="174" t="s">
        <v>1321</v>
      </c>
      <c r="P176" s="174" t="s">
        <v>59</v>
      </c>
      <c r="Q176" s="174" t="s">
        <v>1232</v>
      </c>
      <c r="R176" s="174" t="s">
        <v>1307</v>
      </c>
      <c r="S176" s="174"/>
      <c r="T176" s="174"/>
      <c r="U176" s="174"/>
      <c r="V176" s="174"/>
      <c r="W176" s="174"/>
      <c r="X176" s="174"/>
      <c r="Y176" s="174"/>
      <c r="Z176" s="174"/>
      <c r="AA176" s="174"/>
      <c r="AB176" s="174"/>
      <c r="AC176" s="174"/>
      <c r="AD176" s="174"/>
      <c r="AE176" s="174"/>
      <c r="AF176" s="174"/>
      <c r="AG176" s="174"/>
      <c r="AH176" s="174"/>
      <c r="AI176" s="174"/>
      <c r="AJ176" s="174" t="s">
        <v>1299</v>
      </c>
      <c r="AK176" s="174" t="s">
        <v>1308</v>
      </c>
      <c r="AL176" s="174"/>
      <c r="AM176" s="181" t="s">
        <v>554</v>
      </c>
      <c r="AN176" s="192"/>
    </row>
    <row r="177" spans="1:40" s="175" customFormat="1" ht="12" customHeight="1">
      <c r="A177" s="174">
        <v>175</v>
      </c>
      <c r="B177" s="174" t="s">
        <v>1242</v>
      </c>
      <c r="C177" s="174" t="s">
        <v>51</v>
      </c>
      <c r="D177" s="174" t="s">
        <v>539</v>
      </c>
      <c r="E177" s="174" t="s">
        <v>53</v>
      </c>
      <c r="F177" s="174" t="e">
        <f>VLOOKUP(E177,'95 Chỉ tiêu'!$B$4:$F$177,2,0)</f>
        <v>#N/A</v>
      </c>
      <c r="G177" s="174" t="s">
        <v>55</v>
      </c>
      <c r="H177" s="174" t="s">
        <v>1299</v>
      </c>
      <c r="I177" s="174" t="s">
        <v>1322</v>
      </c>
      <c r="J177" s="174" t="s">
        <v>1323</v>
      </c>
      <c r="K177" s="174" t="s">
        <v>1324</v>
      </c>
      <c r="L177" s="174" t="s">
        <v>1303</v>
      </c>
      <c r="M177" s="174" t="s">
        <v>1325</v>
      </c>
      <c r="N177" s="174" t="s">
        <v>1326</v>
      </c>
      <c r="O177" s="174" t="s">
        <v>795</v>
      </c>
      <c r="P177" s="174" t="s">
        <v>59</v>
      </c>
      <c r="Q177" s="174" t="s">
        <v>1232</v>
      </c>
      <c r="R177" s="174" t="s">
        <v>1327</v>
      </c>
      <c r="S177" s="174"/>
      <c r="T177" s="174"/>
      <c r="U177" s="174"/>
      <c r="V177" s="174"/>
      <c r="W177" s="174"/>
      <c r="X177" s="174"/>
      <c r="Y177" s="174"/>
      <c r="Z177" s="174"/>
      <c r="AA177" s="174"/>
      <c r="AB177" s="174"/>
      <c r="AC177" s="174"/>
      <c r="AD177" s="174"/>
      <c r="AE177" s="174"/>
      <c r="AF177" s="174"/>
      <c r="AG177" s="174"/>
      <c r="AH177" s="174"/>
      <c r="AI177" s="174"/>
      <c r="AJ177" s="174" t="s">
        <v>1299</v>
      </c>
      <c r="AK177" s="174" t="s">
        <v>1308</v>
      </c>
      <c r="AL177" s="174"/>
      <c r="AM177" s="181" t="s">
        <v>554</v>
      </c>
      <c r="AN177" s="192"/>
    </row>
    <row r="178" spans="1:40" s="175" customFormat="1" ht="12" customHeight="1">
      <c r="A178" s="174">
        <v>176</v>
      </c>
      <c r="B178" s="174" t="s">
        <v>1242</v>
      </c>
      <c r="C178" s="174" t="s">
        <v>51</v>
      </c>
      <c r="D178" s="174" t="s">
        <v>539</v>
      </c>
      <c r="E178" s="174" t="s">
        <v>53</v>
      </c>
      <c r="F178" s="174" t="e">
        <f>VLOOKUP(E178,'95 Chỉ tiêu'!$B$4:$F$177,2,0)</f>
        <v>#N/A</v>
      </c>
      <c r="G178" s="174" t="s">
        <v>55</v>
      </c>
      <c r="H178" s="174" t="s">
        <v>1299</v>
      </c>
      <c r="I178" s="174" t="s">
        <v>1328</v>
      </c>
      <c r="J178" s="174" t="s">
        <v>1329</v>
      </c>
      <c r="K178" s="174" t="s">
        <v>1330</v>
      </c>
      <c r="L178" s="174" t="s">
        <v>1303</v>
      </c>
      <c r="M178" s="174" t="s">
        <v>1331</v>
      </c>
      <c r="N178" s="174" t="s">
        <v>846</v>
      </c>
      <c r="O178" s="174" t="s">
        <v>1306</v>
      </c>
      <c r="P178" s="174" t="s">
        <v>59</v>
      </c>
      <c r="Q178" s="174" t="s">
        <v>1232</v>
      </c>
      <c r="R178" s="174" t="s">
        <v>1307</v>
      </c>
      <c r="S178" s="174"/>
      <c r="T178" s="174"/>
      <c r="U178" s="174"/>
      <c r="V178" s="174"/>
      <c r="W178" s="174"/>
      <c r="X178" s="174"/>
      <c r="Y178" s="174"/>
      <c r="Z178" s="174"/>
      <c r="AA178" s="174"/>
      <c r="AB178" s="174"/>
      <c r="AC178" s="174"/>
      <c r="AD178" s="174"/>
      <c r="AE178" s="174"/>
      <c r="AF178" s="174"/>
      <c r="AG178" s="174"/>
      <c r="AH178" s="174"/>
      <c r="AI178" s="174"/>
      <c r="AJ178" s="174" t="s">
        <v>1299</v>
      </c>
      <c r="AK178" s="174" t="s">
        <v>1308</v>
      </c>
      <c r="AL178" s="174"/>
      <c r="AM178" s="181" t="s">
        <v>600</v>
      </c>
      <c r="AN178" s="192"/>
    </row>
    <row r="179" spans="1:40" s="175" customFormat="1" ht="12" customHeight="1">
      <c r="A179" s="174">
        <v>177</v>
      </c>
      <c r="B179" s="174" t="s">
        <v>1242</v>
      </c>
      <c r="C179" s="174" t="s">
        <v>51</v>
      </c>
      <c r="D179" s="174" t="s">
        <v>539</v>
      </c>
      <c r="E179" s="174" t="s">
        <v>53</v>
      </c>
      <c r="F179" s="174" t="e">
        <f>VLOOKUP(E179,'95 Chỉ tiêu'!$B$4:$F$177,2,0)</f>
        <v>#N/A</v>
      </c>
      <c r="G179" s="174" t="s">
        <v>55</v>
      </c>
      <c r="H179" s="174" t="s">
        <v>1299</v>
      </c>
      <c r="I179" s="174" t="s">
        <v>1332</v>
      </c>
      <c r="J179" s="174" t="s">
        <v>1333</v>
      </c>
      <c r="K179" s="174" t="s">
        <v>1334</v>
      </c>
      <c r="L179" s="174" t="s">
        <v>1303</v>
      </c>
      <c r="M179" s="174" t="s">
        <v>1335</v>
      </c>
      <c r="N179" s="174" t="s">
        <v>846</v>
      </c>
      <c r="O179" s="174" t="s">
        <v>1306</v>
      </c>
      <c r="P179" s="174" t="s">
        <v>59</v>
      </c>
      <c r="Q179" s="174" t="s">
        <v>1232</v>
      </c>
      <c r="R179" s="174" t="s">
        <v>1307</v>
      </c>
      <c r="S179" s="174"/>
      <c r="T179" s="174"/>
      <c r="U179" s="174"/>
      <c r="V179" s="174"/>
      <c r="W179" s="174"/>
      <c r="X179" s="174"/>
      <c r="Y179" s="174"/>
      <c r="Z179" s="174"/>
      <c r="AA179" s="174"/>
      <c r="AB179" s="174"/>
      <c r="AC179" s="174"/>
      <c r="AD179" s="174"/>
      <c r="AE179" s="174"/>
      <c r="AF179" s="174"/>
      <c r="AG179" s="174"/>
      <c r="AH179" s="174"/>
      <c r="AI179" s="174"/>
      <c r="AJ179" s="174" t="s">
        <v>1299</v>
      </c>
      <c r="AK179" s="174" t="s">
        <v>1308</v>
      </c>
      <c r="AL179" s="174"/>
      <c r="AM179" s="181" t="s">
        <v>981</v>
      </c>
      <c r="AN179" s="192"/>
    </row>
    <row r="180" spans="1:40" s="175" customFormat="1" ht="12" customHeight="1">
      <c r="A180" s="174">
        <v>178</v>
      </c>
      <c r="B180" s="174" t="s">
        <v>1242</v>
      </c>
      <c r="C180" s="174" t="s">
        <v>335</v>
      </c>
      <c r="D180" s="174" t="s">
        <v>539</v>
      </c>
      <c r="E180" s="174" t="s">
        <v>333</v>
      </c>
      <c r="F180" s="174" t="e">
        <f>VLOOKUP(E180,'95 Chỉ tiêu'!$B$4:$F$177,2,0)</f>
        <v>#N/A</v>
      </c>
      <c r="G180" s="174" t="s">
        <v>78</v>
      </c>
      <c r="H180" s="174" t="s">
        <v>334</v>
      </c>
      <c r="I180" s="174" t="s">
        <v>1336</v>
      </c>
      <c r="J180" s="174" t="s">
        <v>1337</v>
      </c>
      <c r="K180" s="174" t="s">
        <v>1338</v>
      </c>
      <c r="L180" s="174" t="s">
        <v>1339</v>
      </c>
      <c r="M180" s="174" t="s">
        <v>1340</v>
      </c>
      <c r="N180" s="174" t="s">
        <v>846</v>
      </c>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t="s">
        <v>334</v>
      </c>
      <c r="AK180" s="174" t="s">
        <v>307</v>
      </c>
      <c r="AL180" s="174"/>
      <c r="AM180" s="181" t="s">
        <v>554</v>
      </c>
      <c r="AN180" s="192"/>
    </row>
    <row r="181" spans="1:40" s="175" customFormat="1" ht="12" customHeight="1">
      <c r="A181" s="174">
        <v>180</v>
      </c>
      <c r="B181" s="174" t="s">
        <v>1242</v>
      </c>
      <c r="C181" s="174" t="s">
        <v>335</v>
      </c>
      <c r="D181" s="174" t="s">
        <v>539</v>
      </c>
      <c r="E181" s="174" t="s">
        <v>333</v>
      </c>
      <c r="F181" s="174" t="e">
        <f>VLOOKUP(E181,'95 Chỉ tiêu'!$B$4:$F$177,2,0)</f>
        <v>#N/A</v>
      </c>
      <c r="G181" s="174" t="s">
        <v>78</v>
      </c>
      <c r="H181" s="174" t="s">
        <v>334</v>
      </c>
      <c r="I181" s="174" t="s">
        <v>1341</v>
      </c>
      <c r="J181" s="174" t="s">
        <v>1342</v>
      </c>
      <c r="K181" s="174" t="s">
        <v>1343</v>
      </c>
      <c r="L181" s="174" t="s">
        <v>1339</v>
      </c>
      <c r="M181" s="174" t="s">
        <v>1344</v>
      </c>
      <c r="N181" s="174" t="s">
        <v>1345</v>
      </c>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t="s">
        <v>334</v>
      </c>
      <c r="AK181" s="174" t="s">
        <v>307</v>
      </c>
      <c r="AL181" s="174"/>
      <c r="AM181" s="181" t="s">
        <v>554</v>
      </c>
      <c r="AN181" s="192"/>
    </row>
    <row r="182" spans="1:40" s="175" customFormat="1" ht="12" customHeight="1">
      <c r="A182" s="174">
        <v>179</v>
      </c>
      <c r="B182" s="174" t="s">
        <v>1242</v>
      </c>
      <c r="C182" s="174" t="s">
        <v>335</v>
      </c>
      <c r="D182" s="174" t="s">
        <v>539</v>
      </c>
      <c r="E182" s="174" t="s">
        <v>333</v>
      </c>
      <c r="F182" s="174" t="e">
        <f>VLOOKUP(E182,'95 Chỉ tiêu'!$B$4:$F$177,2,0)</f>
        <v>#N/A</v>
      </c>
      <c r="G182" s="174" t="s">
        <v>78</v>
      </c>
      <c r="H182" s="174" t="s">
        <v>334</v>
      </c>
      <c r="I182" s="174" t="s">
        <v>1346</v>
      </c>
      <c r="J182" s="174" t="s">
        <v>1347</v>
      </c>
      <c r="K182" s="174" t="s">
        <v>1348</v>
      </c>
      <c r="L182" s="174" t="s">
        <v>1339</v>
      </c>
      <c r="M182" s="174" t="s">
        <v>1349</v>
      </c>
      <c r="N182" s="186" t="s">
        <v>1350</v>
      </c>
      <c r="O182" s="174"/>
      <c r="P182" s="174"/>
      <c r="Q182" s="174"/>
      <c r="R182" s="174"/>
      <c r="S182" s="174"/>
      <c r="T182" s="174"/>
      <c r="U182" s="174"/>
      <c r="V182" s="174"/>
      <c r="W182" s="174"/>
      <c r="X182" s="174"/>
      <c r="Y182" s="174"/>
      <c r="Z182" s="174"/>
      <c r="AA182" s="174"/>
      <c r="AB182" s="174"/>
      <c r="AC182" s="174"/>
      <c r="AD182" s="174"/>
      <c r="AE182" s="174"/>
      <c r="AF182" s="174"/>
      <c r="AG182" s="174"/>
      <c r="AH182" s="174"/>
      <c r="AI182" s="174"/>
      <c r="AJ182" s="174" t="s">
        <v>334</v>
      </c>
      <c r="AK182" s="174" t="s">
        <v>307</v>
      </c>
      <c r="AL182" s="174"/>
      <c r="AM182" s="181" t="s">
        <v>554</v>
      </c>
      <c r="AN182" s="192"/>
    </row>
    <row r="183" spans="1:40" s="175" customFormat="1" ht="12" customHeight="1">
      <c r="A183" s="174">
        <v>181</v>
      </c>
      <c r="B183" s="174" t="s">
        <v>1242</v>
      </c>
      <c r="C183" s="174" t="s">
        <v>335</v>
      </c>
      <c r="D183" s="174" t="s">
        <v>539</v>
      </c>
      <c r="E183" s="174" t="s">
        <v>333</v>
      </c>
      <c r="F183" s="174" t="e">
        <f>VLOOKUP(E183,'95 Chỉ tiêu'!$B$4:$F$177,2,0)</f>
        <v>#N/A</v>
      </c>
      <c r="G183" s="174" t="s">
        <v>78</v>
      </c>
      <c r="H183" s="174" t="s">
        <v>334</v>
      </c>
      <c r="I183" s="174" t="s">
        <v>1351</v>
      </c>
      <c r="J183" s="174" t="s">
        <v>1352</v>
      </c>
      <c r="K183" s="174" t="s">
        <v>1353</v>
      </c>
      <c r="L183" s="174" t="s">
        <v>1339</v>
      </c>
      <c r="M183" s="174" t="s">
        <v>1354</v>
      </c>
      <c r="N183" s="174" t="s">
        <v>1355</v>
      </c>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t="s">
        <v>334</v>
      </c>
      <c r="AK183" s="174" t="s">
        <v>307</v>
      </c>
      <c r="AL183" s="174"/>
      <c r="AM183" s="181" t="s">
        <v>554</v>
      </c>
      <c r="AN183" s="192"/>
    </row>
    <row r="184" spans="1:40" s="175" customFormat="1" ht="12" customHeight="1">
      <c r="A184" s="174">
        <v>182</v>
      </c>
      <c r="B184" s="174" t="s">
        <v>1242</v>
      </c>
      <c r="C184" s="174" t="s">
        <v>335</v>
      </c>
      <c r="D184" s="174" t="s">
        <v>539</v>
      </c>
      <c r="E184" s="174" t="s">
        <v>333</v>
      </c>
      <c r="F184" s="174" t="e">
        <f>VLOOKUP(E184,'95 Chỉ tiêu'!$B$4:$F$177,2,0)</f>
        <v>#N/A</v>
      </c>
      <c r="G184" s="174" t="s">
        <v>78</v>
      </c>
      <c r="H184" s="174" t="s">
        <v>334</v>
      </c>
      <c r="I184" s="174" t="s">
        <v>1356</v>
      </c>
      <c r="J184" s="174" t="s">
        <v>1357</v>
      </c>
      <c r="K184" s="174" t="s">
        <v>1358</v>
      </c>
      <c r="L184" s="174" t="s">
        <v>1339</v>
      </c>
      <c r="M184" s="174" t="s">
        <v>1359</v>
      </c>
      <c r="N184" s="174" t="s">
        <v>846</v>
      </c>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t="s">
        <v>334</v>
      </c>
      <c r="AK184" s="174" t="s">
        <v>307</v>
      </c>
      <c r="AL184" s="174"/>
      <c r="AM184" s="181" t="s">
        <v>991</v>
      </c>
      <c r="AN184" s="192"/>
    </row>
    <row r="185" spans="1:40" s="175" customFormat="1" ht="12" customHeight="1">
      <c r="A185" s="174">
        <v>184</v>
      </c>
      <c r="B185" s="174" t="s">
        <v>1242</v>
      </c>
      <c r="C185" s="174" t="s">
        <v>335</v>
      </c>
      <c r="D185" s="174" t="s">
        <v>539</v>
      </c>
      <c r="E185" s="174" t="s">
        <v>333</v>
      </c>
      <c r="F185" s="174" t="e">
        <f>VLOOKUP(E185,'95 Chỉ tiêu'!$B$4:$F$177,2,0)</f>
        <v>#N/A</v>
      </c>
      <c r="G185" s="174" t="s">
        <v>78</v>
      </c>
      <c r="H185" s="174" t="s">
        <v>334</v>
      </c>
      <c r="I185" s="174" t="s">
        <v>1360</v>
      </c>
      <c r="J185" s="174" t="s">
        <v>1361</v>
      </c>
      <c r="K185" s="174" t="s">
        <v>1362</v>
      </c>
      <c r="L185" s="174" t="s">
        <v>1339</v>
      </c>
      <c r="M185" s="174" t="s">
        <v>1363</v>
      </c>
      <c r="N185" s="174" t="s">
        <v>846</v>
      </c>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t="s">
        <v>334</v>
      </c>
      <c r="AK185" s="174" t="s">
        <v>307</v>
      </c>
      <c r="AL185" s="174"/>
      <c r="AM185" s="181" t="s">
        <v>981</v>
      </c>
      <c r="AN185" s="192"/>
    </row>
    <row r="186" spans="1:40" s="175" customFormat="1" ht="12" customHeight="1">
      <c r="A186" s="174">
        <v>183</v>
      </c>
      <c r="B186" s="174" t="s">
        <v>1242</v>
      </c>
      <c r="C186" s="174" t="s">
        <v>335</v>
      </c>
      <c r="D186" s="174" t="s">
        <v>539</v>
      </c>
      <c r="E186" s="174" t="s">
        <v>333</v>
      </c>
      <c r="F186" s="174" t="e">
        <f>VLOOKUP(E186,'95 Chỉ tiêu'!$B$4:$F$177,2,0)</f>
        <v>#N/A</v>
      </c>
      <c r="G186" s="174" t="s">
        <v>78</v>
      </c>
      <c r="H186" s="174" t="s">
        <v>334</v>
      </c>
      <c r="I186" s="174" t="s">
        <v>1364</v>
      </c>
      <c r="J186" s="174" t="s">
        <v>1365</v>
      </c>
      <c r="K186" s="174" t="s">
        <v>1366</v>
      </c>
      <c r="L186" s="174" t="s">
        <v>1339</v>
      </c>
      <c r="M186" s="174" t="s">
        <v>1367</v>
      </c>
      <c r="N186" s="174" t="s">
        <v>846</v>
      </c>
      <c r="O186" s="174"/>
      <c r="P186" s="174"/>
      <c r="Q186" s="174"/>
      <c r="R186" s="174"/>
      <c r="S186" s="174"/>
      <c r="T186" s="174"/>
      <c r="U186" s="174"/>
      <c r="V186" s="174"/>
      <c r="W186" s="174"/>
      <c r="X186" s="174"/>
      <c r="Y186" s="174"/>
      <c r="Z186" s="174"/>
      <c r="AA186" s="174"/>
      <c r="AB186" s="174"/>
      <c r="AC186" s="174"/>
      <c r="AD186" s="174"/>
      <c r="AE186" s="174"/>
      <c r="AF186" s="174"/>
      <c r="AG186" s="174"/>
      <c r="AH186" s="174"/>
      <c r="AI186" s="174"/>
      <c r="AJ186" s="174" t="s">
        <v>334</v>
      </c>
      <c r="AK186" s="174" t="s">
        <v>307</v>
      </c>
      <c r="AL186" s="174"/>
      <c r="AM186" s="181" t="s">
        <v>981</v>
      </c>
      <c r="AN186" s="192"/>
    </row>
    <row r="187" spans="1:40" s="175" customFormat="1" ht="12" customHeight="1">
      <c r="A187" s="174">
        <v>185</v>
      </c>
      <c r="B187" s="174" t="s">
        <v>1242</v>
      </c>
      <c r="C187" s="174" t="s">
        <v>1368</v>
      </c>
      <c r="D187" s="174" t="s">
        <v>1101</v>
      </c>
      <c r="E187" s="174" t="s">
        <v>359</v>
      </c>
      <c r="F187" s="174" t="e">
        <f>VLOOKUP(E187,'95 Chỉ tiêu'!$B$4:$F$177,2,0)</f>
        <v>#N/A</v>
      </c>
      <c r="G187" s="174" t="s">
        <v>55</v>
      </c>
      <c r="H187" s="174" t="s">
        <v>1369</v>
      </c>
      <c r="I187" s="174" t="s">
        <v>1370</v>
      </c>
      <c r="J187" s="174" t="s">
        <v>1371</v>
      </c>
      <c r="K187" s="174" t="s">
        <v>1372</v>
      </c>
      <c r="L187" s="174" t="s">
        <v>1373</v>
      </c>
      <c r="M187" s="174" t="s">
        <v>1374</v>
      </c>
      <c r="N187" s="174" t="s">
        <v>60</v>
      </c>
      <c r="O187" s="174" t="s">
        <v>60</v>
      </c>
      <c r="P187" s="174" t="s">
        <v>1375</v>
      </c>
      <c r="Q187" s="174" t="s">
        <v>1232</v>
      </c>
      <c r="R187" s="174" t="s">
        <v>1376</v>
      </c>
      <c r="S187" s="174" t="s">
        <v>60</v>
      </c>
      <c r="T187" s="174" t="s">
        <v>60</v>
      </c>
      <c r="U187" s="174" t="s">
        <v>60</v>
      </c>
      <c r="V187" s="174" t="s">
        <v>60</v>
      </c>
      <c r="W187" s="174" t="s">
        <v>60</v>
      </c>
      <c r="X187" s="174" t="s">
        <v>60</v>
      </c>
      <c r="Y187" s="174" t="s">
        <v>60</v>
      </c>
      <c r="Z187" s="174" t="s">
        <v>60</v>
      </c>
      <c r="AA187" s="174" t="s">
        <v>60</v>
      </c>
      <c r="AB187" s="174" t="s">
        <v>60</v>
      </c>
      <c r="AC187" s="174">
        <v>1</v>
      </c>
      <c r="AD187" s="174"/>
      <c r="AE187" s="174"/>
      <c r="AF187" s="174"/>
      <c r="AG187" s="174"/>
      <c r="AH187" s="174"/>
      <c r="AI187" s="174"/>
      <c r="AJ187" s="174" t="s">
        <v>1369</v>
      </c>
      <c r="AK187" s="174" t="s">
        <v>360</v>
      </c>
      <c r="AL187" s="174"/>
      <c r="AM187" s="181" t="s">
        <v>554</v>
      </c>
      <c r="AN187" s="192"/>
    </row>
    <row r="188" spans="1:40" s="175" customFormat="1" ht="12" customHeight="1">
      <c r="A188" s="174">
        <v>186</v>
      </c>
      <c r="B188" s="174" t="s">
        <v>1242</v>
      </c>
      <c r="C188" s="174" t="s">
        <v>1368</v>
      </c>
      <c r="D188" s="174" t="s">
        <v>1101</v>
      </c>
      <c r="E188" s="174" t="s">
        <v>359</v>
      </c>
      <c r="F188" s="174" t="e">
        <f>VLOOKUP(E188,'95 Chỉ tiêu'!$B$4:$F$177,2,0)</f>
        <v>#N/A</v>
      </c>
      <c r="G188" s="174" t="s">
        <v>55</v>
      </c>
      <c r="H188" s="174" t="s">
        <v>1369</v>
      </c>
      <c r="I188" s="174" t="s">
        <v>1377</v>
      </c>
      <c r="J188" s="174" t="s">
        <v>1378</v>
      </c>
      <c r="K188" s="174" t="s">
        <v>1379</v>
      </c>
      <c r="L188" s="174" t="s">
        <v>1373</v>
      </c>
      <c r="M188" s="174" t="s">
        <v>1380</v>
      </c>
      <c r="N188" s="174" t="s">
        <v>60</v>
      </c>
      <c r="O188" s="174" t="s">
        <v>1381</v>
      </c>
      <c r="P188" s="174" t="s">
        <v>1375</v>
      </c>
      <c r="Q188" s="174" t="s">
        <v>1232</v>
      </c>
      <c r="R188" s="174" t="s">
        <v>1376</v>
      </c>
      <c r="S188" s="174" t="s">
        <v>60</v>
      </c>
      <c r="T188" s="174" t="s">
        <v>60</v>
      </c>
      <c r="U188" s="174" t="s">
        <v>60</v>
      </c>
      <c r="V188" s="174" t="s">
        <v>60</v>
      </c>
      <c r="W188" s="174" t="s">
        <v>60</v>
      </c>
      <c r="X188" s="174" t="s">
        <v>60</v>
      </c>
      <c r="Y188" s="174" t="s">
        <v>60</v>
      </c>
      <c r="Z188" s="174" t="s">
        <v>60</v>
      </c>
      <c r="AA188" s="174" t="s">
        <v>60</v>
      </c>
      <c r="AB188" s="174" t="s">
        <v>60</v>
      </c>
      <c r="AC188" s="174">
        <v>1</v>
      </c>
      <c r="AD188" s="174"/>
      <c r="AE188" s="174"/>
      <c r="AF188" s="174"/>
      <c r="AG188" s="174"/>
      <c r="AH188" s="174"/>
      <c r="AI188" s="174"/>
      <c r="AJ188" s="174" t="s">
        <v>1369</v>
      </c>
      <c r="AK188" s="174" t="s">
        <v>360</v>
      </c>
      <c r="AL188" s="174"/>
      <c r="AM188" s="181" t="s">
        <v>582</v>
      </c>
      <c r="AN188" s="192"/>
    </row>
    <row r="189" spans="1:40" s="175" customFormat="1" ht="12" customHeight="1">
      <c r="A189" s="174">
        <v>187</v>
      </c>
      <c r="B189" s="174" t="s">
        <v>1242</v>
      </c>
      <c r="C189" s="174" t="s">
        <v>365</v>
      </c>
      <c r="D189" s="174" t="s">
        <v>1101</v>
      </c>
      <c r="E189" s="174" t="s">
        <v>366</v>
      </c>
      <c r="F189" s="174" t="e">
        <f>VLOOKUP(E189,'95 Chỉ tiêu'!$B$4:$F$177,2,0)</f>
        <v>#N/A</v>
      </c>
      <c r="G189" s="174" t="s">
        <v>55</v>
      </c>
      <c r="H189" s="174" t="s">
        <v>368</v>
      </c>
      <c r="I189" s="174" t="s">
        <v>1382</v>
      </c>
      <c r="J189" s="174" t="s">
        <v>1383</v>
      </c>
      <c r="K189" s="174" t="s">
        <v>1384</v>
      </c>
      <c r="L189" s="174" t="s">
        <v>1385</v>
      </c>
      <c r="M189" s="174" t="s">
        <v>1386</v>
      </c>
      <c r="N189" s="174" t="s">
        <v>60</v>
      </c>
      <c r="O189" s="174" t="s">
        <v>1387</v>
      </c>
      <c r="P189" s="178" t="s">
        <v>1108</v>
      </c>
      <c r="Q189" s="174" t="s">
        <v>1232</v>
      </c>
      <c r="R189" s="174" t="s">
        <v>1307</v>
      </c>
      <c r="S189" s="174" t="s">
        <v>60</v>
      </c>
      <c r="T189" s="174" t="s">
        <v>60</v>
      </c>
      <c r="U189" s="174" t="s">
        <v>60</v>
      </c>
      <c r="V189" s="174" t="s">
        <v>60</v>
      </c>
      <c r="W189" s="174" t="s">
        <v>60</v>
      </c>
      <c r="X189" s="174" t="s">
        <v>60</v>
      </c>
      <c r="Y189" s="174" t="s">
        <v>60</v>
      </c>
      <c r="Z189" s="174" t="s">
        <v>60</v>
      </c>
      <c r="AA189" s="174" t="s">
        <v>60</v>
      </c>
      <c r="AB189" s="174" t="s">
        <v>60</v>
      </c>
      <c r="AC189" s="174">
        <v>1</v>
      </c>
      <c r="AD189" s="174"/>
      <c r="AE189" s="174"/>
      <c r="AF189" s="174"/>
      <c r="AG189" s="174"/>
      <c r="AH189" s="174"/>
      <c r="AI189" s="174"/>
      <c r="AJ189" s="174" t="s">
        <v>368</v>
      </c>
      <c r="AK189" s="174" t="s">
        <v>367</v>
      </c>
      <c r="AL189" s="174"/>
      <c r="AM189" s="181" t="s">
        <v>554</v>
      </c>
      <c r="AN189" s="192"/>
    </row>
    <row r="190" spans="1:40" s="175" customFormat="1" ht="12" customHeight="1">
      <c r="A190" s="174">
        <v>188</v>
      </c>
      <c r="B190" s="174" t="s">
        <v>1242</v>
      </c>
      <c r="C190" s="174" t="s">
        <v>365</v>
      </c>
      <c r="D190" s="174" t="s">
        <v>1101</v>
      </c>
      <c r="E190" s="174" t="s">
        <v>366</v>
      </c>
      <c r="F190" s="174" t="e">
        <f>VLOOKUP(E190,'95 Chỉ tiêu'!$B$4:$F$177,2,0)</f>
        <v>#N/A</v>
      </c>
      <c r="G190" s="174" t="s">
        <v>55</v>
      </c>
      <c r="H190" s="174" t="s">
        <v>368</v>
      </c>
      <c r="I190" s="174" t="s">
        <v>1388</v>
      </c>
      <c r="J190" s="174" t="s">
        <v>1389</v>
      </c>
      <c r="K190" s="174" t="s">
        <v>1390</v>
      </c>
      <c r="L190" s="174" t="s">
        <v>1385</v>
      </c>
      <c r="M190" s="174" t="s">
        <v>1391</v>
      </c>
      <c r="N190" s="174" t="s">
        <v>60</v>
      </c>
      <c r="O190" s="174" t="s">
        <v>1387</v>
      </c>
      <c r="P190" s="174" t="s">
        <v>1108</v>
      </c>
      <c r="Q190" s="174" t="s">
        <v>1232</v>
      </c>
      <c r="R190" s="174" t="s">
        <v>1307</v>
      </c>
      <c r="S190" s="174" t="s">
        <v>60</v>
      </c>
      <c r="T190" s="174" t="s">
        <v>60</v>
      </c>
      <c r="U190" s="174" t="s">
        <v>60</v>
      </c>
      <c r="V190" s="174" t="s">
        <v>60</v>
      </c>
      <c r="W190" s="174" t="s">
        <v>60</v>
      </c>
      <c r="X190" s="174" t="s">
        <v>60</v>
      </c>
      <c r="Y190" s="174" t="s">
        <v>60</v>
      </c>
      <c r="Z190" s="174" t="s">
        <v>60</v>
      </c>
      <c r="AA190" s="174" t="s">
        <v>60</v>
      </c>
      <c r="AB190" s="174" t="s">
        <v>60</v>
      </c>
      <c r="AC190" s="174">
        <v>1</v>
      </c>
      <c r="AD190" s="174"/>
      <c r="AE190" s="174"/>
      <c r="AF190" s="174"/>
      <c r="AG190" s="174"/>
      <c r="AH190" s="174"/>
      <c r="AI190" s="174"/>
      <c r="AJ190" s="174" t="s">
        <v>368</v>
      </c>
      <c r="AK190" s="174" t="s">
        <v>367</v>
      </c>
      <c r="AL190" s="174"/>
      <c r="AM190" s="181" t="s">
        <v>554</v>
      </c>
      <c r="AN190" s="192"/>
    </row>
    <row r="191" spans="1:40" s="175" customFormat="1" ht="12" customHeight="1">
      <c r="A191" s="174">
        <v>189</v>
      </c>
      <c r="B191" s="174" t="s">
        <v>1242</v>
      </c>
      <c r="C191" s="174" t="s">
        <v>365</v>
      </c>
      <c r="D191" s="174" t="s">
        <v>1101</v>
      </c>
      <c r="E191" s="174" t="s">
        <v>366</v>
      </c>
      <c r="F191" s="174" t="e">
        <f>VLOOKUP(E191,'95 Chỉ tiêu'!$B$4:$F$177,2,0)</f>
        <v>#N/A</v>
      </c>
      <c r="G191" s="174" t="s">
        <v>55</v>
      </c>
      <c r="H191" s="174" t="s">
        <v>368</v>
      </c>
      <c r="I191" s="174" t="s">
        <v>1392</v>
      </c>
      <c r="J191" s="174" t="s">
        <v>1393</v>
      </c>
      <c r="K191" s="174" t="s">
        <v>1394</v>
      </c>
      <c r="L191" s="174" t="s">
        <v>1385</v>
      </c>
      <c r="M191" s="174" t="s">
        <v>1395</v>
      </c>
      <c r="N191" s="174" t="s">
        <v>60</v>
      </c>
      <c r="O191" s="174" t="s">
        <v>1387</v>
      </c>
      <c r="P191" s="174" t="s">
        <v>1108</v>
      </c>
      <c r="Q191" s="174" t="s">
        <v>1232</v>
      </c>
      <c r="R191" s="174" t="s">
        <v>1307</v>
      </c>
      <c r="S191" s="174" t="s">
        <v>60</v>
      </c>
      <c r="T191" s="174" t="s">
        <v>60</v>
      </c>
      <c r="U191" s="174" t="s">
        <v>60</v>
      </c>
      <c r="V191" s="174" t="s">
        <v>60</v>
      </c>
      <c r="W191" s="174" t="s">
        <v>60</v>
      </c>
      <c r="X191" s="174" t="s">
        <v>60</v>
      </c>
      <c r="Y191" s="174" t="s">
        <v>60</v>
      </c>
      <c r="Z191" s="174" t="s">
        <v>60</v>
      </c>
      <c r="AA191" s="174" t="s">
        <v>60</v>
      </c>
      <c r="AB191" s="174" t="s">
        <v>60</v>
      </c>
      <c r="AC191" s="174">
        <v>1</v>
      </c>
      <c r="AD191" s="174"/>
      <c r="AE191" s="174"/>
      <c r="AF191" s="174"/>
      <c r="AG191" s="174"/>
      <c r="AH191" s="174"/>
      <c r="AI191" s="174"/>
      <c r="AJ191" s="174" t="s">
        <v>368</v>
      </c>
      <c r="AK191" s="174" t="s">
        <v>367</v>
      </c>
      <c r="AL191" s="174"/>
      <c r="AM191" s="181" t="s">
        <v>554</v>
      </c>
      <c r="AN191" s="192"/>
    </row>
    <row r="192" spans="1:40" s="175" customFormat="1" ht="12" customHeight="1">
      <c r="A192" s="174">
        <v>190</v>
      </c>
      <c r="B192" s="174" t="s">
        <v>1242</v>
      </c>
      <c r="C192" s="174" t="s">
        <v>365</v>
      </c>
      <c r="D192" s="174" t="s">
        <v>1101</v>
      </c>
      <c r="E192" s="174" t="s">
        <v>366</v>
      </c>
      <c r="F192" s="174" t="e">
        <f>VLOOKUP(E192,'95 Chỉ tiêu'!$B$4:$F$177,2,0)</f>
        <v>#N/A</v>
      </c>
      <c r="G192" s="174" t="s">
        <v>55</v>
      </c>
      <c r="H192" s="174" t="s">
        <v>368</v>
      </c>
      <c r="I192" s="174" t="s">
        <v>1396</v>
      </c>
      <c r="J192" s="174" t="s">
        <v>1397</v>
      </c>
      <c r="K192" s="174" t="s">
        <v>1398</v>
      </c>
      <c r="L192" s="174" t="s">
        <v>1385</v>
      </c>
      <c r="M192" s="174" t="s">
        <v>1399</v>
      </c>
      <c r="N192" s="174" t="s">
        <v>60</v>
      </c>
      <c r="O192" s="174" t="s">
        <v>1387</v>
      </c>
      <c r="P192" s="174" t="s">
        <v>1108</v>
      </c>
      <c r="Q192" s="174" t="s">
        <v>1232</v>
      </c>
      <c r="R192" s="174" t="s">
        <v>1307</v>
      </c>
      <c r="S192" s="174" t="s">
        <v>60</v>
      </c>
      <c r="T192" s="174" t="s">
        <v>60</v>
      </c>
      <c r="U192" s="174" t="s">
        <v>60</v>
      </c>
      <c r="V192" s="174" t="s">
        <v>60</v>
      </c>
      <c r="W192" s="174" t="s">
        <v>60</v>
      </c>
      <c r="X192" s="174" t="s">
        <v>60</v>
      </c>
      <c r="Y192" s="174" t="s">
        <v>60</v>
      </c>
      <c r="Z192" s="174" t="s">
        <v>60</v>
      </c>
      <c r="AA192" s="174" t="s">
        <v>60</v>
      </c>
      <c r="AB192" s="174" t="s">
        <v>60</v>
      </c>
      <c r="AC192" s="174">
        <v>1</v>
      </c>
      <c r="AD192" s="174"/>
      <c r="AE192" s="174"/>
      <c r="AF192" s="174"/>
      <c r="AG192" s="174"/>
      <c r="AH192" s="174"/>
      <c r="AI192" s="174"/>
      <c r="AJ192" s="174" t="s">
        <v>368</v>
      </c>
      <c r="AK192" s="174" t="s">
        <v>367</v>
      </c>
      <c r="AL192" s="174"/>
      <c r="AM192" s="181" t="s">
        <v>554</v>
      </c>
      <c r="AN192" s="192"/>
    </row>
    <row r="193" spans="1:40" s="175" customFormat="1" ht="12" customHeight="1">
      <c r="A193" s="174">
        <v>191</v>
      </c>
      <c r="B193" s="174" t="s">
        <v>1242</v>
      </c>
      <c r="C193" s="174" t="s">
        <v>365</v>
      </c>
      <c r="D193" s="174" t="s">
        <v>1101</v>
      </c>
      <c r="E193" s="174" t="s">
        <v>366</v>
      </c>
      <c r="F193" s="174" t="e">
        <f>VLOOKUP(E193,'95 Chỉ tiêu'!$B$4:$F$177,2,0)</f>
        <v>#N/A</v>
      </c>
      <c r="G193" s="174" t="s">
        <v>55</v>
      </c>
      <c r="H193" s="174" t="s">
        <v>368</v>
      </c>
      <c r="I193" s="174" t="s">
        <v>1400</v>
      </c>
      <c r="J193" s="174" t="s">
        <v>1401</v>
      </c>
      <c r="K193" s="174" t="s">
        <v>1402</v>
      </c>
      <c r="L193" s="174" t="s">
        <v>1385</v>
      </c>
      <c r="M193" s="174" t="s">
        <v>1403</v>
      </c>
      <c r="N193" s="174" t="s">
        <v>60</v>
      </c>
      <c r="O193" s="174" t="s">
        <v>1387</v>
      </c>
      <c r="P193" s="174" t="s">
        <v>1108</v>
      </c>
      <c r="Q193" s="174" t="s">
        <v>1232</v>
      </c>
      <c r="R193" s="174" t="s">
        <v>1307</v>
      </c>
      <c r="S193" s="174" t="s">
        <v>60</v>
      </c>
      <c r="T193" s="174" t="s">
        <v>60</v>
      </c>
      <c r="U193" s="174" t="s">
        <v>60</v>
      </c>
      <c r="V193" s="174" t="s">
        <v>60</v>
      </c>
      <c r="W193" s="174" t="s">
        <v>60</v>
      </c>
      <c r="X193" s="174" t="s">
        <v>60</v>
      </c>
      <c r="Y193" s="174" t="s">
        <v>60</v>
      </c>
      <c r="Z193" s="174" t="s">
        <v>60</v>
      </c>
      <c r="AA193" s="174" t="s">
        <v>60</v>
      </c>
      <c r="AB193" s="174" t="s">
        <v>60</v>
      </c>
      <c r="AC193" s="174">
        <v>1</v>
      </c>
      <c r="AD193" s="174"/>
      <c r="AE193" s="174"/>
      <c r="AF193" s="174"/>
      <c r="AG193" s="174"/>
      <c r="AH193" s="174"/>
      <c r="AI193" s="174"/>
      <c r="AJ193" s="174" t="s">
        <v>368</v>
      </c>
      <c r="AK193" s="174" t="s">
        <v>367</v>
      </c>
      <c r="AL193" s="174"/>
      <c r="AM193" s="181" t="s">
        <v>991</v>
      </c>
      <c r="AN193" s="192"/>
    </row>
    <row r="194" spans="1:40" s="175" customFormat="1" ht="12" customHeight="1">
      <c r="A194" s="174">
        <v>192</v>
      </c>
      <c r="B194" s="174" t="s">
        <v>1242</v>
      </c>
      <c r="C194" s="174" t="s">
        <v>365</v>
      </c>
      <c r="D194" s="174" t="s">
        <v>1101</v>
      </c>
      <c r="E194" s="174" t="s">
        <v>366</v>
      </c>
      <c r="F194" s="174" t="e">
        <f>VLOOKUP(E194,'95 Chỉ tiêu'!$B$4:$F$177,2,0)</f>
        <v>#N/A</v>
      </c>
      <c r="G194" s="174" t="s">
        <v>55</v>
      </c>
      <c r="H194" s="174" t="s">
        <v>368</v>
      </c>
      <c r="I194" s="174" t="s">
        <v>1404</v>
      </c>
      <c r="J194" s="174" t="s">
        <v>1405</v>
      </c>
      <c r="K194" s="174" t="s">
        <v>1406</v>
      </c>
      <c r="L194" s="174" t="s">
        <v>1385</v>
      </c>
      <c r="M194" s="174" t="s">
        <v>1407</v>
      </c>
      <c r="N194" s="174" t="s">
        <v>60</v>
      </c>
      <c r="O194" s="174" t="s">
        <v>1387</v>
      </c>
      <c r="P194" s="174" t="s">
        <v>1108</v>
      </c>
      <c r="Q194" s="174" t="s">
        <v>1232</v>
      </c>
      <c r="R194" s="174" t="s">
        <v>1307</v>
      </c>
      <c r="S194" s="174" t="s">
        <v>60</v>
      </c>
      <c r="T194" s="174" t="s">
        <v>60</v>
      </c>
      <c r="U194" s="174" t="s">
        <v>60</v>
      </c>
      <c r="V194" s="174" t="s">
        <v>60</v>
      </c>
      <c r="W194" s="174" t="s">
        <v>60</v>
      </c>
      <c r="X194" s="174" t="s">
        <v>60</v>
      </c>
      <c r="Y194" s="174" t="s">
        <v>60</v>
      </c>
      <c r="Z194" s="174" t="s">
        <v>60</v>
      </c>
      <c r="AA194" s="174" t="s">
        <v>60</v>
      </c>
      <c r="AB194" s="174" t="s">
        <v>60</v>
      </c>
      <c r="AC194" s="174">
        <v>1</v>
      </c>
      <c r="AD194" s="174"/>
      <c r="AE194" s="174"/>
      <c r="AF194" s="174"/>
      <c r="AG194" s="174"/>
      <c r="AH194" s="174"/>
      <c r="AI194" s="174"/>
      <c r="AJ194" s="174" t="s">
        <v>368</v>
      </c>
      <c r="AK194" s="174" t="s">
        <v>367</v>
      </c>
      <c r="AL194" s="174"/>
      <c r="AM194" s="181" t="s">
        <v>582</v>
      </c>
      <c r="AN194" s="192"/>
    </row>
    <row r="195" spans="1:40" s="175" customFormat="1" ht="12" customHeight="1">
      <c r="A195" s="174"/>
      <c r="B195" s="174" t="s">
        <v>1242</v>
      </c>
      <c r="C195" s="174" t="s">
        <v>365</v>
      </c>
      <c r="D195" s="174" t="s">
        <v>1101</v>
      </c>
      <c r="E195" s="174" t="s">
        <v>1408</v>
      </c>
      <c r="F195" s="174" t="e">
        <f>VLOOKUP(E194,'95 Chỉ tiêu'!$B$4:$F$177,2,0)</f>
        <v>#N/A</v>
      </c>
      <c r="G195" s="174" t="s">
        <v>55</v>
      </c>
      <c r="H195" s="174" t="s">
        <v>368</v>
      </c>
      <c r="I195" s="174" t="s">
        <v>1409</v>
      </c>
      <c r="J195" s="174" t="s">
        <v>1410</v>
      </c>
      <c r="K195" s="174" t="s">
        <v>1411</v>
      </c>
      <c r="L195" s="174" t="s">
        <v>1385</v>
      </c>
      <c r="M195" s="174"/>
      <c r="N195" s="174"/>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74"/>
      <c r="AL195" s="174"/>
      <c r="AM195" s="181"/>
      <c r="AN195" s="192"/>
    </row>
    <row r="196" spans="1:40" s="175" customFormat="1" ht="12" customHeight="1">
      <c r="A196" s="174">
        <v>193</v>
      </c>
      <c r="B196" s="174" t="s">
        <v>1242</v>
      </c>
      <c r="C196" s="174" t="s">
        <v>365</v>
      </c>
      <c r="D196" s="174" t="s">
        <v>1101</v>
      </c>
      <c r="E196" s="174" t="s">
        <v>376</v>
      </c>
      <c r="F196" s="174" t="e">
        <f>VLOOKUP(E196,'95 Chỉ tiêu'!$B$4:$F$177,2,0)</f>
        <v>#N/A</v>
      </c>
      <c r="G196" s="174" t="s">
        <v>55</v>
      </c>
      <c r="H196" s="174" t="s">
        <v>378</v>
      </c>
      <c r="I196" s="174" t="s">
        <v>1412</v>
      </c>
      <c r="J196" s="174" t="s">
        <v>1383</v>
      </c>
      <c r="K196" s="174" t="s">
        <v>1384</v>
      </c>
      <c r="L196" s="174" t="s">
        <v>1385</v>
      </c>
      <c r="M196" s="174" t="s">
        <v>1413</v>
      </c>
      <c r="N196" s="174" t="s">
        <v>60</v>
      </c>
      <c r="O196" s="174" t="s">
        <v>1387</v>
      </c>
      <c r="P196" s="174" t="s">
        <v>1108</v>
      </c>
      <c r="Q196" s="174" t="s">
        <v>1232</v>
      </c>
      <c r="R196" s="174" t="s">
        <v>1307</v>
      </c>
      <c r="S196" s="174" t="s">
        <v>60</v>
      </c>
      <c r="T196" s="174" t="s">
        <v>60</v>
      </c>
      <c r="U196" s="174" t="s">
        <v>60</v>
      </c>
      <c r="V196" s="174" t="s">
        <v>60</v>
      </c>
      <c r="W196" s="174" t="s">
        <v>60</v>
      </c>
      <c r="X196" s="174" t="s">
        <v>60</v>
      </c>
      <c r="Y196" s="174" t="s">
        <v>60</v>
      </c>
      <c r="Z196" s="174" t="s">
        <v>60</v>
      </c>
      <c r="AA196" s="174" t="s">
        <v>60</v>
      </c>
      <c r="AB196" s="174" t="s">
        <v>60</v>
      </c>
      <c r="AC196" s="174">
        <v>1</v>
      </c>
      <c r="AD196" s="174"/>
      <c r="AE196" s="174"/>
      <c r="AF196" s="174"/>
      <c r="AG196" s="174"/>
      <c r="AH196" s="174"/>
      <c r="AI196" s="174"/>
      <c r="AJ196" s="174" t="s">
        <v>378</v>
      </c>
      <c r="AK196" s="174" t="s">
        <v>377</v>
      </c>
      <c r="AL196" s="174"/>
      <c r="AM196" s="181" t="s">
        <v>554</v>
      </c>
      <c r="AN196" s="192"/>
    </row>
    <row r="197" spans="1:40" s="175" customFormat="1" ht="12" customHeight="1">
      <c r="A197" s="174">
        <v>194</v>
      </c>
      <c r="B197" s="174" t="s">
        <v>1242</v>
      </c>
      <c r="C197" s="174" t="s">
        <v>365</v>
      </c>
      <c r="D197" s="174" t="s">
        <v>1101</v>
      </c>
      <c r="E197" s="174" t="s">
        <v>376</v>
      </c>
      <c r="F197" s="174" t="e">
        <f>VLOOKUP(E197,'95 Chỉ tiêu'!$B$4:$F$177,2,0)</f>
        <v>#N/A</v>
      </c>
      <c r="G197" s="174" t="s">
        <v>55</v>
      </c>
      <c r="H197" s="174" t="s">
        <v>378</v>
      </c>
      <c r="I197" s="174" t="s">
        <v>1414</v>
      </c>
      <c r="J197" s="174" t="s">
        <v>1389</v>
      </c>
      <c r="K197" s="174" t="s">
        <v>1390</v>
      </c>
      <c r="L197" s="174" t="s">
        <v>1385</v>
      </c>
      <c r="M197" s="174" t="s">
        <v>1415</v>
      </c>
      <c r="N197" s="174" t="s">
        <v>60</v>
      </c>
      <c r="O197" s="174" t="s">
        <v>1387</v>
      </c>
      <c r="P197" s="174" t="s">
        <v>1108</v>
      </c>
      <c r="Q197" s="174" t="s">
        <v>1232</v>
      </c>
      <c r="R197" s="174" t="s">
        <v>1307</v>
      </c>
      <c r="S197" s="174" t="s">
        <v>60</v>
      </c>
      <c r="T197" s="174" t="s">
        <v>60</v>
      </c>
      <c r="U197" s="174" t="s">
        <v>60</v>
      </c>
      <c r="V197" s="174" t="s">
        <v>60</v>
      </c>
      <c r="W197" s="174" t="s">
        <v>60</v>
      </c>
      <c r="X197" s="174" t="s">
        <v>60</v>
      </c>
      <c r="Y197" s="174" t="s">
        <v>60</v>
      </c>
      <c r="Z197" s="174" t="s">
        <v>60</v>
      </c>
      <c r="AA197" s="174" t="s">
        <v>60</v>
      </c>
      <c r="AB197" s="174" t="s">
        <v>60</v>
      </c>
      <c r="AC197" s="174">
        <v>1</v>
      </c>
      <c r="AD197" s="174"/>
      <c r="AE197" s="174"/>
      <c r="AF197" s="174"/>
      <c r="AG197" s="174"/>
      <c r="AH197" s="174"/>
      <c r="AI197" s="174"/>
      <c r="AJ197" s="174" t="s">
        <v>378</v>
      </c>
      <c r="AK197" s="174" t="s">
        <v>377</v>
      </c>
      <c r="AL197" s="174"/>
      <c r="AM197" s="181" t="s">
        <v>554</v>
      </c>
      <c r="AN197" s="192"/>
    </row>
    <row r="198" spans="1:40" s="175" customFormat="1" ht="12" customHeight="1">
      <c r="A198" s="174">
        <v>195</v>
      </c>
      <c r="B198" s="174" t="s">
        <v>1242</v>
      </c>
      <c r="C198" s="174" t="s">
        <v>365</v>
      </c>
      <c r="D198" s="174" t="s">
        <v>1101</v>
      </c>
      <c r="E198" s="174" t="s">
        <v>376</v>
      </c>
      <c r="F198" s="174" t="e">
        <f>VLOOKUP(E198,'95 Chỉ tiêu'!$B$4:$F$177,2,0)</f>
        <v>#N/A</v>
      </c>
      <c r="G198" s="174" t="s">
        <v>55</v>
      </c>
      <c r="H198" s="174" t="s">
        <v>378</v>
      </c>
      <c r="I198" s="174" t="s">
        <v>1416</v>
      </c>
      <c r="J198" s="174" t="s">
        <v>1393</v>
      </c>
      <c r="K198" s="174" t="s">
        <v>1394</v>
      </c>
      <c r="L198" s="174" t="s">
        <v>1385</v>
      </c>
      <c r="M198" s="174" t="s">
        <v>1417</v>
      </c>
      <c r="N198" s="174" t="s">
        <v>60</v>
      </c>
      <c r="O198" s="174" t="s">
        <v>1387</v>
      </c>
      <c r="P198" s="174" t="s">
        <v>1108</v>
      </c>
      <c r="Q198" s="174" t="s">
        <v>1232</v>
      </c>
      <c r="R198" s="174" t="s">
        <v>1307</v>
      </c>
      <c r="S198" s="174" t="s">
        <v>60</v>
      </c>
      <c r="T198" s="174" t="s">
        <v>60</v>
      </c>
      <c r="U198" s="174" t="s">
        <v>60</v>
      </c>
      <c r="V198" s="174" t="s">
        <v>60</v>
      </c>
      <c r="W198" s="174" t="s">
        <v>60</v>
      </c>
      <c r="X198" s="174" t="s">
        <v>60</v>
      </c>
      <c r="Y198" s="174" t="s">
        <v>60</v>
      </c>
      <c r="Z198" s="174" t="s">
        <v>60</v>
      </c>
      <c r="AA198" s="174" t="s">
        <v>60</v>
      </c>
      <c r="AB198" s="174" t="s">
        <v>60</v>
      </c>
      <c r="AC198" s="174">
        <v>1</v>
      </c>
      <c r="AD198" s="174"/>
      <c r="AE198" s="174"/>
      <c r="AF198" s="174"/>
      <c r="AG198" s="174"/>
      <c r="AH198" s="174"/>
      <c r="AI198" s="174"/>
      <c r="AJ198" s="174" t="s">
        <v>378</v>
      </c>
      <c r="AK198" s="174" t="s">
        <v>377</v>
      </c>
      <c r="AL198" s="174"/>
      <c r="AM198" s="181" t="s">
        <v>554</v>
      </c>
      <c r="AN198" s="192"/>
    </row>
    <row r="199" spans="1:40" s="175" customFormat="1" ht="12" customHeight="1">
      <c r="A199" s="174">
        <v>196</v>
      </c>
      <c r="B199" s="174" t="s">
        <v>1242</v>
      </c>
      <c r="C199" s="174" t="s">
        <v>365</v>
      </c>
      <c r="D199" s="174" t="s">
        <v>1101</v>
      </c>
      <c r="E199" s="174" t="s">
        <v>376</v>
      </c>
      <c r="F199" s="174" t="e">
        <f>VLOOKUP(E199,'95 Chỉ tiêu'!$B$4:$F$177,2,0)</f>
        <v>#N/A</v>
      </c>
      <c r="G199" s="174" t="s">
        <v>55</v>
      </c>
      <c r="H199" s="174" t="s">
        <v>378</v>
      </c>
      <c r="I199" s="174" t="s">
        <v>1418</v>
      </c>
      <c r="J199" s="174" t="s">
        <v>1397</v>
      </c>
      <c r="K199" s="174" t="s">
        <v>1394</v>
      </c>
      <c r="L199" s="174" t="s">
        <v>1385</v>
      </c>
      <c r="M199" s="174" t="s">
        <v>1419</v>
      </c>
      <c r="N199" s="174" t="s">
        <v>60</v>
      </c>
      <c r="O199" s="174" t="s">
        <v>1387</v>
      </c>
      <c r="P199" s="174" t="s">
        <v>1108</v>
      </c>
      <c r="Q199" s="174" t="s">
        <v>1232</v>
      </c>
      <c r="R199" s="174" t="s">
        <v>1307</v>
      </c>
      <c r="S199" s="174" t="s">
        <v>60</v>
      </c>
      <c r="T199" s="174" t="s">
        <v>60</v>
      </c>
      <c r="U199" s="174" t="s">
        <v>60</v>
      </c>
      <c r="V199" s="174" t="s">
        <v>60</v>
      </c>
      <c r="W199" s="174" t="s">
        <v>60</v>
      </c>
      <c r="X199" s="174" t="s">
        <v>60</v>
      </c>
      <c r="Y199" s="174" t="s">
        <v>60</v>
      </c>
      <c r="Z199" s="174" t="s">
        <v>60</v>
      </c>
      <c r="AA199" s="174" t="s">
        <v>60</v>
      </c>
      <c r="AB199" s="174" t="s">
        <v>60</v>
      </c>
      <c r="AC199" s="174">
        <v>1</v>
      </c>
      <c r="AD199" s="174"/>
      <c r="AE199" s="174"/>
      <c r="AF199" s="174"/>
      <c r="AG199" s="174"/>
      <c r="AH199" s="174"/>
      <c r="AI199" s="174"/>
      <c r="AJ199" s="174" t="s">
        <v>378</v>
      </c>
      <c r="AK199" s="174" t="s">
        <v>377</v>
      </c>
      <c r="AL199" s="174"/>
      <c r="AM199" s="181" t="s">
        <v>554</v>
      </c>
      <c r="AN199" s="192"/>
    </row>
    <row r="200" spans="1:40" s="175" customFormat="1" ht="12" customHeight="1">
      <c r="A200" s="174">
        <v>197</v>
      </c>
      <c r="B200" s="174" t="s">
        <v>1242</v>
      </c>
      <c r="C200" s="174" t="s">
        <v>365</v>
      </c>
      <c r="D200" s="174" t="s">
        <v>1101</v>
      </c>
      <c r="E200" s="174" t="s">
        <v>376</v>
      </c>
      <c r="F200" s="174" t="e">
        <f>VLOOKUP(E200,'95 Chỉ tiêu'!$B$4:$F$177,2,0)</f>
        <v>#N/A</v>
      </c>
      <c r="G200" s="174" t="s">
        <v>55</v>
      </c>
      <c r="H200" s="174" t="s">
        <v>378</v>
      </c>
      <c r="I200" s="174" t="s">
        <v>1420</v>
      </c>
      <c r="J200" s="174" t="s">
        <v>1401</v>
      </c>
      <c r="K200" s="174" t="s">
        <v>1402</v>
      </c>
      <c r="L200" s="174" t="s">
        <v>1385</v>
      </c>
      <c r="M200" s="174" t="s">
        <v>1421</v>
      </c>
      <c r="N200" s="174" t="s">
        <v>60</v>
      </c>
      <c r="O200" s="174" t="s">
        <v>1387</v>
      </c>
      <c r="P200" s="174" t="s">
        <v>1108</v>
      </c>
      <c r="Q200" s="174" t="s">
        <v>1232</v>
      </c>
      <c r="R200" s="174" t="s">
        <v>1307</v>
      </c>
      <c r="S200" s="174" t="s">
        <v>60</v>
      </c>
      <c r="T200" s="174" t="s">
        <v>60</v>
      </c>
      <c r="U200" s="174" t="s">
        <v>60</v>
      </c>
      <c r="V200" s="174" t="s">
        <v>60</v>
      </c>
      <c r="W200" s="174" t="s">
        <v>60</v>
      </c>
      <c r="X200" s="174" t="s">
        <v>60</v>
      </c>
      <c r="Y200" s="174" t="s">
        <v>60</v>
      </c>
      <c r="Z200" s="174" t="s">
        <v>60</v>
      </c>
      <c r="AA200" s="174" t="s">
        <v>60</v>
      </c>
      <c r="AB200" s="174" t="s">
        <v>60</v>
      </c>
      <c r="AC200" s="174">
        <v>1</v>
      </c>
      <c r="AD200" s="174"/>
      <c r="AE200" s="174"/>
      <c r="AF200" s="174"/>
      <c r="AG200" s="174"/>
      <c r="AH200" s="174"/>
      <c r="AI200" s="174"/>
      <c r="AJ200" s="174" t="s">
        <v>378</v>
      </c>
      <c r="AK200" s="174" t="s">
        <v>377</v>
      </c>
      <c r="AL200" s="174"/>
      <c r="AM200" s="181" t="s">
        <v>991</v>
      </c>
      <c r="AN200" s="192"/>
    </row>
    <row r="201" spans="1:40" s="175" customFormat="1" ht="12" customHeight="1">
      <c r="A201" s="174">
        <v>198</v>
      </c>
      <c r="B201" s="174" t="s">
        <v>1242</v>
      </c>
      <c r="C201" s="174" t="s">
        <v>365</v>
      </c>
      <c r="D201" s="174" t="s">
        <v>1101</v>
      </c>
      <c r="E201" s="174" t="s">
        <v>376</v>
      </c>
      <c r="F201" s="174" t="e">
        <f>VLOOKUP(E201,'95 Chỉ tiêu'!$B$4:$F$177,2,0)</f>
        <v>#N/A</v>
      </c>
      <c r="G201" s="174" t="s">
        <v>55</v>
      </c>
      <c r="H201" s="174" t="s">
        <v>378</v>
      </c>
      <c r="I201" s="174" t="s">
        <v>1422</v>
      </c>
      <c r="J201" s="174" t="s">
        <v>1405</v>
      </c>
      <c r="K201" s="174" t="s">
        <v>1406</v>
      </c>
      <c r="L201" s="174" t="s">
        <v>1385</v>
      </c>
      <c r="M201" s="174" t="s">
        <v>1423</v>
      </c>
      <c r="N201" s="174" t="s">
        <v>60</v>
      </c>
      <c r="O201" s="174" t="s">
        <v>1387</v>
      </c>
      <c r="P201" s="174" t="s">
        <v>1108</v>
      </c>
      <c r="Q201" s="174" t="s">
        <v>1232</v>
      </c>
      <c r="R201" s="174" t="s">
        <v>1307</v>
      </c>
      <c r="S201" s="174" t="s">
        <v>60</v>
      </c>
      <c r="T201" s="174" t="s">
        <v>60</v>
      </c>
      <c r="U201" s="174" t="s">
        <v>60</v>
      </c>
      <c r="V201" s="174" t="s">
        <v>60</v>
      </c>
      <c r="W201" s="174" t="s">
        <v>60</v>
      </c>
      <c r="X201" s="174" t="s">
        <v>60</v>
      </c>
      <c r="Y201" s="174" t="s">
        <v>60</v>
      </c>
      <c r="Z201" s="174" t="s">
        <v>60</v>
      </c>
      <c r="AA201" s="174" t="s">
        <v>60</v>
      </c>
      <c r="AB201" s="174" t="s">
        <v>60</v>
      </c>
      <c r="AC201" s="174">
        <v>1</v>
      </c>
      <c r="AD201" s="174"/>
      <c r="AE201" s="174"/>
      <c r="AF201" s="174"/>
      <c r="AG201" s="174"/>
      <c r="AH201" s="174"/>
      <c r="AI201" s="174"/>
      <c r="AJ201" s="174" t="s">
        <v>378</v>
      </c>
      <c r="AK201" s="174" t="s">
        <v>377</v>
      </c>
      <c r="AL201" s="174"/>
      <c r="AM201" s="181" t="s">
        <v>582</v>
      </c>
      <c r="AN201" s="192"/>
    </row>
    <row r="202" spans="1:40" s="175" customFormat="1" ht="12" customHeight="1">
      <c r="A202" s="174"/>
      <c r="B202" s="174" t="s">
        <v>1242</v>
      </c>
      <c r="C202" s="174" t="s">
        <v>365</v>
      </c>
      <c r="D202" s="174" t="s">
        <v>1101</v>
      </c>
      <c r="E202" s="174" t="s">
        <v>382</v>
      </c>
      <c r="F202" s="174" t="e">
        <f>VLOOKUP(E201,'95 Chỉ tiêu'!$B$4:$F$177,2,0)</f>
        <v>#N/A</v>
      </c>
      <c r="G202" s="174" t="s">
        <v>55</v>
      </c>
      <c r="H202" s="174" t="s">
        <v>378</v>
      </c>
      <c r="I202" s="174" t="s">
        <v>1424</v>
      </c>
      <c r="J202" s="174" t="s">
        <v>1410</v>
      </c>
      <c r="K202" s="174" t="s">
        <v>1411</v>
      </c>
      <c r="L202" s="174" t="s">
        <v>1385</v>
      </c>
      <c r="M202" s="174"/>
      <c r="N202" s="174"/>
      <c r="O202" s="174"/>
      <c r="P202" s="174"/>
      <c r="Q202" s="174"/>
      <c r="R202" s="174"/>
      <c r="S202" s="174"/>
      <c r="T202" s="174"/>
      <c r="U202" s="174"/>
      <c r="V202" s="174"/>
      <c r="W202" s="174"/>
      <c r="X202" s="174"/>
      <c r="Y202" s="174"/>
      <c r="Z202" s="174"/>
      <c r="AA202" s="174"/>
      <c r="AB202" s="174"/>
      <c r="AC202" s="174"/>
      <c r="AD202" s="174"/>
      <c r="AE202" s="174"/>
      <c r="AF202" s="174"/>
      <c r="AG202" s="174"/>
      <c r="AH202" s="174"/>
      <c r="AI202" s="174"/>
      <c r="AJ202" s="174"/>
      <c r="AK202" s="174"/>
      <c r="AL202" s="174"/>
      <c r="AM202" s="181"/>
      <c r="AN202" s="192"/>
    </row>
    <row r="203" spans="1:40" s="175" customFormat="1" ht="12" customHeight="1">
      <c r="A203" s="174">
        <v>199</v>
      </c>
      <c r="B203" s="174" t="s">
        <v>86</v>
      </c>
      <c r="C203" s="174" t="s">
        <v>87</v>
      </c>
      <c r="D203" s="174" t="s">
        <v>1101</v>
      </c>
      <c r="E203" s="174" t="s">
        <v>88</v>
      </c>
      <c r="F203" s="174" t="e">
        <f>VLOOKUP(E203,'95 Chỉ tiêu'!$B$4:$F$177,2,0)</f>
        <v>#N/A</v>
      </c>
      <c r="G203" s="174" t="s">
        <v>90</v>
      </c>
      <c r="H203" s="174" t="s">
        <v>91</v>
      </c>
      <c r="I203" s="174" t="s">
        <v>1425</v>
      </c>
      <c r="J203" s="174" t="s">
        <v>1426</v>
      </c>
      <c r="K203" s="174" t="s">
        <v>1427</v>
      </c>
      <c r="L203" s="174" t="s">
        <v>1428</v>
      </c>
      <c r="M203" s="174" t="s">
        <v>1429</v>
      </c>
      <c r="N203" s="174" t="s">
        <v>846</v>
      </c>
      <c r="O203" s="174" t="s">
        <v>1430</v>
      </c>
      <c r="P203" s="174" t="s">
        <v>1108</v>
      </c>
      <c r="Q203" s="174" t="s">
        <v>1431</v>
      </c>
      <c r="R203" s="174" t="s">
        <v>1432</v>
      </c>
      <c r="S203" s="174" t="s">
        <v>60</v>
      </c>
      <c r="T203" s="174" t="s">
        <v>60</v>
      </c>
      <c r="U203" s="174" t="s">
        <v>60</v>
      </c>
      <c r="V203" s="174" t="s">
        <v>60</v>
      </c>
      <c r="W203" s="174" t="s">
        <v>60</v>
      </c>
      <c r="X203" s="174" t="s">
        <v>60</v>
      </c>
      <c r="Y203" s="174" t="s">
        <v>60</v>
      </c>
      <c r="Z203" s="174" t="s">
        <v>60</v>
      </c>
      <c r="AA203" s="174" t="s">
        <v>60</v>
      </c>
      <c r="AB203" s="174" t="s">
        <v>60</v>
      </c>
      <c r="AC203" s="174">
        <v>1</v>
      </c>
      <c r="AD203" s="174"/>
      <c r="AE203" s="174"/>
      <c r="AF203" s="174"/>
      <c r="AG203" s="174"/>
      <c r="AH203" s="174"/>
      <c r="AI203" s="174"/>
      <c r="AJ203" s="174" t="s">
        <v>90</v>
      </c>
      <c r="AK203" s="174" t="s">
        <v>91</v>
      </c>
      <c r="AL203" s="174"/>
      <c r="AM203" s="181" t="s">
        <v>554</v>
      </c>
      <c r="AN203" s="192"/>
    </row>
    <row r="204" spans="1:40" s="175" customFormat="1" ht="12" customHeight="1">
      <c r="A204" s="174">
        <v>200</v>
      </c>
      <c r="B204" s="174" t="s">
        <v>86</v>
      </c>
      <c r="C204" s="174" t="s">
        <v>87</v>
      </c>
      <c r="D204" s="174" t="s">
        <v>1101</v>
      </c>
      <c r="E204" s="174" t="s">
        <v>88</v>
      </c>
      <c r="F204" s="174" t="e">
        <f>VLOOKUP(E204,'95 Chỉ tiêu'!$B$4:$F$177,2,0)</f>
        <v>#N/A</v>
      </c>
      <c r="G204" s="174" t="s">
        <v>90</v>
      </c>
      <c r="H204" s="174" t="s">
        <v>91</v>
      </c>
      <c r="I204" s="174" t="s">
        <v>1433</v>
      </c>
      <c r="J204" s="174" t="s">
        <v>1434</v>
      </c>
      <c r="K204" s="174" t="s">
        <v>1435</v>
      </c>
      <c r="L204" s="174" t="s">
        <v>1428</v>
      </c>
      <c r="M204" s="174" t="s">
        <v>1436</v>
      </c>
      <c r="N204" s="174" t="s">
        <v>1437</v>
      </c>
      <c r="O204" s="174" t="s">
        <v>1430</v>
      </c>
      <c r="P204" s="174" t="s">
        <v>1108</v>
      </c>
      <c r="Q204" s="174" t="s">
        <v>1431</v>
      </c>
      <c r="R204" s="174" t="s">
        <v>1432</v>
      </c>
      <c r="S204" s="174" t="s">
        <v>60</v>
      </c>
      <c r="T204" s="174" t="s">
        <v>60</v>
      </c>
      <c r="U204" s="174" t="s">
        <v>60</v>
      </c>
      <c r="V204" s="174" t="s">
        <v>60</v>
      </c>
      <c r="W204" s="174" t="s">
        <v>60</v>
      </c>
      <c r="X204" s="174" t="s">
        <v>60</v>
      </c>
      <c r="Y204" s="174" t="s">
        <v>60</v>
      </c>
      <c r="Z204" s="174" t="s">
        <v>60</v>
      </c>
      <c r="AA204" s="174" t="s">
        <v>60</v>
      </c>
      <c r="AB204" s="174" t="s">
        <v>60</v>
      </c>
      <c r="AC204" s="174">
        <v>1</v>
      </c>
      <c r="AD204" s="174"/>
      <c r="AE204" s="174"/>
      <c r="AF204" s="174"/>
      <c r="AG204" s="174"/>
      <c r="AH204" s="174"/>
      <c r="AI204" s="174"/>
      <c r="AJ204" s="174" t="s">
        <v>90</v>
      </c>
      <c r="AK204" s="174" t="s">
        <v>91</v>
      </c>
      <c r="AL204" s="174"/>
      <c r="AM204" s="181" t="s">
        <v>582</v>
      </c>
      <c r="AN204" s="192"/>
    </row>
    <row r="205" spans="1:40" s="175" customFormat="1" ht="12" customHeight="1">
      <c r="A205" s="174">
        <v>201</v>
      </c>
      <c r="B205" s="174" t="s">
        <v>86</v>
      </c>
      <c r="C205" s="174" t="s">
        <v>87</v>
      </c>
      <c r="D205" s="174" t="s">
        <v>1101</v>
      </c>
      <c r="E205" s="174" t="s">
        <v>88</v>
      </c>
      <c r="F205" s="174" t="e">
        <f>VLOOKUP(E205,'95 Chỉ tiêu'!$B$4:$F$177,2,0)</f>
        <v>#N/A</v>
      </c>
      <c r="G205" s="174" t="s">
        <v>90</v>
      </c>
      <c r="H205" s="174" t="s">
        <v>91</v>
      </c>
      <c r="I205" s="174" t="s">
        <v>1438</v>
      </c>
      <c r="J205" s="174" t="s">
        <v>1439</v>
      </c>
      <c r="K205" s="174" t="s">
        <v>1440</v>
      </c>
      <c r="L205" s="174" t="s">
        <v>1428</v>
      </c>
      <c r="M205" s="174" t="s">
        <v>1441</v>
      </c>
      <c r="N205" s="174" t="s">
        <v>846</v>
      </c>
      <c r="O205" s="174" t="s">
        <v>1430</v>
      </c>
      <c r="P205" s="174" t="s">
        <v>1108</v>
      </c>
      <c r="Q205" s="174" t="s">
        <v>1431</v>
      </c>
      <c r="R205" s="174" t="s">
        <v>1432</v>
      </c>
      <c r="S205" s="174" t="s">
        <v>60</v>
      </c>
      <c r="T205" s="174" t="s">
        <v>60</v>
      </c>
      <c r="U205" s="174" t="s">
        <v>60</v>
      </c>
      <c r="V205" s="174" t="s">
        <v>60</v>
      </c>
      <c r="W205" s="174" t="s">
        <v>60</v>
      </c>
      <c r="X205" s="174" t="s">
        <v>60</v>
      </c>
      <c r="Y205" s="174" t="s">
        <v>60</v>
      </c>
      <c r="Z205" s="174" t="s">
        <v>60</v>
      </c>
      <c r="AA205" s="174" t="s">
        <v>60</v>
      </c>
      <c r="AB205" s="174" t="s">
        <v>1442</v>
      </c>
      <c r="AC205" s="174">
        <v>1</v>
      </c>
      <c r="AD205" s="174"/>
      <c r="AE205" s="174"/>
      <c r="AF205" s="174"/>
      <c r="AG205" s="174"/>
      <c r="AH205" s="174"/>
      <c r="AI205" s="174"/>
      <c r="AJ205" s="174" t="s">
        <v>90</v>
      </c>
      <c r="AK205" s="174" t="s">
        <v>91</v>
      </c>
      <c r="AL205" s="174"/>
      <c r="AM205" s="181" t="s">
        <v>991</v>
      </c>
      <c r="AN205" s="192"/>
    </row>
    <row r="206" spans="1:40" s="175" customFormat="1" ht="12" customHeight="1">
      <c r="A206" s="174">
        <v>202</v>
      </c>
      <c r="B206" s="174" t="s">
        <v>86</v>
      </c>
      <c r="C206" s="174" t="s">
        <v>87</v>
      </c>
      <c r="D206" s="174" t="s">
        <v>1101</v>
      </c>
      <c r="E206" s="174" t="s">
        <v>88</v>
      </c>
      <c r="F206" s="174" t="e">
        <f>VLOOKUP(E206,'95 Chỉ tiêu'!$B$4:$F$177,2,0)</f>
        <v>#N/A</v>
      </c>
      <c r="G206" s="174" t="s">
        <v>90</v>
      </c>
      <c r="H206" s="174" t="s">
        <v>91</v>
      </c>
      <c r="I206" s="174" t="s">
        <v>1443</v>
      </c>
      <c r="J206" s="174" t="s">
        <v>1444</v>
      </c>
      <c r="K206" s="174" t="s">
        <v>1445</v>
      </c>
      <c r="L206" s="174" t="s">
        <v>1428</v>
      </c>
      <c r="M206" s="174" t="s">
        <v>1446</v>
      </c>
      <c r="N206" s="174" t="s">
        <v>846</v>
      </c>
      <c r="O206" s="174" t="s">
        <v>1430</v>
      </c>
      <c r="P206" s="174" t="s">
        <v>1108</v>
      </c>
      <c r="Q206" s="174" t="s">
        <v>1431</v>
      </c>
      <c r="R206" s="174" t="s">
        <v>1432</v>
      </c>
      <c r="S206" s="174" t="s">
        <v>60</v>
      </c>
      <c r="T206" s="174" t="s">
        <v>60</v>
      </c>
      <c r="U206" s="174" t="s">
        <v>60</v>
      </c>
      <c r="V206" s="174" t="s">
        <v>60</v>
      </c>
      <c r="W206" s="174" t="s">
        <v>60</v>
      </c>
      <c r="X206" s="174" t="s">
        <v>60</v>
      </c>
      <c r="Y206" s="174" t="s">
        <v>60</v>
      </c>
      <c r="Z206" s="174" t="s">
        <v>60</v>
      </c>
      <c r="AA206" s="174" t="s">
        <v>60</v>
      </c>
      <c r="AB206" s="174" t="s">
        <v>60</v>
      </c>
      <c r="AC206" s="174">
        <v>1</v>
      </c>
      <c r="AD206" s="174"/>
      <c r="AE206" s="174"/>
      <c r="AF206" s="174"/>
      <c r="AG206" s="174"/>
      <c r="AH206" s="174"/>
      <c r="AI206" s="174"/>
      <c r="AJ206" s="174" t="s">
        <v>90</v>
      </c>
      <c r="AK206" s="174" t="s">
        <v>91</v>
      </c>
      <c r="AL206" s="174"/>
      <c r="AM206" s="181" t="s">
        <v>1447</v>
      </c>
      <c r="AN206" s="192"/>
    </row>
    <row r="207" spans="1:40" s="175" customFormat="1" ht="12" customHeight="1">
      <c r="A207" s="174">
        <v>203</v>
      </c>
      <c r="B207" s="174" t="s">
        <v>86</v>
      </c>
      <c r="C207" s="174" t="s">
        <v>87</v>
      </c>
      <c r="D207" s="174" t="s">
        <v>656</v>
      </c>
      <c r="E207" s="174" t="s">
        <v>399</v>
      </c>
      <c r="F207" s="174"/>
      <c r="G207" s="174"/>
      <c r="H207" s="174" t="s">
        <v>395</v>
      </c>
      <c r="I207" s="174" t="s">
        <v>1448</v>
      </c>
      <c r="J207" s="174" t="s">
        <v>541</v>
      </c>
      <c r="K207" s="174" t="s">
        <v>542</v>
      </c>
      <c r="L207" s="174" t="s">
        <v>1428</v>
      </c>
      <c r="M207" s="176" t="s">
        <v>1449</v>
      </c>
      <c r="N207" s="176" t="s">
        <v>1450</v>
      </c>
      <c r="O207" s="174" t="s">
        <v>781</v>
      </c>
      <c r="P207" s="174" t="s">
        <v>1451</v>
      </c>
      <c r="Q207" s="174" t="s">
        <v>1232</v>
      </c>
      <c r="R207" s="174" t="s">
        <v>1452</v>
      </c>
      <c r="S207" s="174" t="s">
        <v>60</v>
      </c>
      <c r="T207" s="174" t="s">
        <v>60</v>
      </c>
      <c r="U207" s="174" t="s">
        <v>60</v>
      </c>
      <c r="V207" s="174" t="s">
        <v>60</v>
      </c>
      <c r="W207" s="174" t="s">
        <v>60</v>
      </c>
      <c r="X207" s="174" t="s">
        <v>60</v>
      </c>
      <c r="Y207" s="174" t="s">
        <v>60</v>
      </c>
      <c r="Z207" s="174" t="s">
        <v>60</v>
      </c>
      <c r="AA207" s="174" t="s">
        <v>60</v>
      </c>
      <c r="AB207" s="174" t="s">
        <v>60</v>
      </c>
      <c r="AC207" s="174">
        <v>1</v>
      </c>
      <c r="AD207" s="174"/>
      <c r="AE207" s="174"/>
      <c r="AF207" s="174"/>
      <c r="AG207" s="174"/>
      <c r="AH207" s="174"/>
      <c r="AI207" s="174"/>
      <c r="AJ207" s="174" t="s">
        <v>1453</v>
      </c>
      <c r="AK207" s="174" t="s">
        <v>1454</v>
      </c>
      <c r="AL207" s="174"/>
      <c r="AM207" s="181" t="s">
        <v>554</v>
      </c>
      <c r="AN207" s="192"/>
    </row>
    <row r="208" spans="1:40" s="175" customFormat="1" ht="12" customHeight="1">
      <c r="A208" s="174">
        <v>204</v>
      </c>
      <c r="B208" s="174" t="s">
        <v>86</v>
      </c>
      <c r="C208" s="174" t="s">
        <v>87</v>
      </c>
      <c r="D208" s="174" t="s">
        <v>656</v>
      </c>
      <c r="E208" s="174" t="s">
        <v>399</v>
      </c>
      <c r="F208" s="174"/>
      <c r="G208" s="174"/>
      <c r="H208" s="174" t="s">
        <v>395</v>
      </c>
      <c r="I208" s="174" t="s">
        <v>1455</v>
      </c>
      <c r="J208" s="174" t="s">
        <v>556</v>
      </c>
      <c r="K208" s="174" t="s">
        <v>557</v>
      </c>
      <c r="L208" s="174" t="s">
        <v>1428</v>
      </c>
      <c r="M208" s="176" t="s">
        <v>1456</v>
      </c>
      <c r="N208" s="176" t="s">
        <v>1457</v>
      </c>
      <c r="O208" s="174" t="s">
        <v>781</v>
      </c>
      <c r="P208" s="174" t="s">
        <v>1451</v>
      </c>
      <c r="Q208" s="174" t="s">
        <v>1232</v>
      </c>
      <c r="R208" s="174" t="s">
        <v>1452</v>
      </c>
      <c r="S208" s="174" t="s">
        <v>60</v>
      </c>
      <c r="T208" s="174" t="s">
        <v>60</v>
      </c>
      <c r="U208" s="174" t="s">
        <v>60</v>
      </c>
      <c r="V208" s="174" t="s">
        <v>60</v>
      </c>
      <c r="W208" s="174" t="s">
        <v>60</v>
      </c>
      <c r="X208" s="174" t="s">
        <v>60</v>
      </c>
      <c r="Y208" s="174" t="s">
        <v>60</v>
      </c>
      <c r="Z208" s="174" t="s">
        <v>60</v>
      </c>
      <c r="AA208" s="174" t="s">
        <v>60</v>
      </c>
      <c r="AB208" s="174" t="s">
        <v>60</v>
      </c>
      <c r="AC208" s="174">
        <v>1</v>
      </c>
      <c r="AD208" s="174"/>
      <c r="AE208" s="174"/>
      <c r="AF208" s="174"/>
      <c r="AG208" s="174"/>
      <c r="AH208" s="174"/>
      <c r="AI208" s="174"/>
      <c r="AJ208" s="174" t="s">
        <v>1453</v>
      </c>
      <c r="AK208" s="174" t="s">
        <v>1454</v>
      </c>
      <c r="AL208" s="174"/>
      <c r="AM208" s="181" t="s">
        <v>554</v>
      </c>
      <c r="AN208" s="192"/>
    </row>
    <row r="209" spans="1:40" s="175" customFormat="1" ht="12" customHeight="1">
      <c r="A209" s="174">
        <v>205</v>
      </c>
      <c r="B209" s="174" t="s">
        <v>86</v>
      </c>
      <c r="C209" s="174" t="s">
        <v>87</v>
      </c>
      <c r="D209" s="174" t="s">
        <v>656</v>
      </c>
      <c r="E209" s="174" t="s">
        <v>399</v>
      </c>
      <c r="F209" s="174"/>
      <c r="G209" s="174"/>
      <c r="H209" s="174" t="s">
        <v>395</v>
      </c>
      <c r="I209" s="174" t="s">
        <v>1458</v>
      </c>
      <c r="J209" s="174" t="s">
        <v>1459</v>
      </c>
      <c r="K209" s="174" t="s">
        <v>566</v>
      </c>
      <c r="L209" s="174" t="s">
        <v>1428</v>
      </c>
      <c r="M209" s="176" t="s">
        <v>1460</v>
      </c>
      <c r="N209" s="176" t="s">
        <v>1461</v>
      </c>
      <c r="O209" s="174" t="s">
        <v>781</v>
      </c>
      <c r="P209" s="174" t="s">
        <v>782</v>
      </c>
      <c r="Q209" s="174" t="s">
        <v>1232</v>
      </c>
      <c r="R209" s="174" t="s">
        <v>1452</v>
      </c>
      <c r="S209" s="174" t="s">
        <v>60</v>
      </c>
      <c r="T209" s="174" t="s">
        <v>60</v>
      </c>
      <c r="U209" s="174" t="s">
        <v>60</v>
      </c>
      <c r="V209" s="174" t="s">
        <v>60</v>
      </c>
      <c r="W209" s="174" t="s">
        <v>60</v>
      </c>
      <c r="X209" s="174" t="s">
        <v>60</v>
      </c>
      <c r="Y209" s="174" t="s">
        <v>60</v>
      </c>
      <c r="Z209" s="174" t="s">
        <v>60</v>
      </c>
      <c r="AA209" s="174" t="s">
        <v>60</v>
      </c>
      <c r="AB209" s="174" t="s">
        <v>60</v>
      </c>
      <c r="AC209" s="174">
        <v>1</v>
      </c>
      <c r="AD209" s="174"/>
      <c r="AE209" s="174"/>
      <c r="AF209" s="174"/>
      <c r="AG209" s="174"/>
      <c r="AH209" s="174"/>
      <c r="AI209" s="174"/>
      <c r="AJ209" s="174" t="s">
        <v>1453</v>
      </c>
      <c r="AK209" s="174" t="s">
        <v>1454</v>
      </c>
      <c r="AL209" s="174"/>
      <c r="AM209" s="181" t="s">
        <v>554</v>
      </c>
      <c r="AN209" s="192"/>
    </row>
    <row r="210" spans="1:40" s="175" customFormat="1" ht="12" customHeight="1">
      <c r="A210" s="174">
        <v>206</v>
      </c>
      <c r="B210" s="174" t="s">
        <v>86</v>
      </c>
      <c r="C210" s="174" t="s">
        <v>87</v>
      </c>
      <c r="D210" s="174" t="s">
        <v>656</v>
      </c>
      <c r="E210" s="174" t="s">
        <v>399</v>
      </c>
      <c r="F210" s="174"/>
      <c r="G210" s="174"/>
      <c r="H210" s="174" t="s">
        <v>395</v>
      </c>
      <c r="I210" s="174" t="s">
        <v>1462</v>
      </c>
      <c r="J210" s="174" t="s">
        <v>1463</v>
      </c>
      <c r="K210" s="174" t="s">
        <v>1464</v>
      </c>
      <c r="L210" s="174" t="s">
        <v>1428</v>
      </c>
      <c r="M210" s="176" t="s">
        <v>1465</v>
      </c>
      <c r="N210" s="176" t="s">
        <v>1466</v>
      </c>
      <c r="O210" s="174" t="s">
        <v>1467</v>
      </c>
      <c r="P210" s="174" t="s">
        <v>897</v>
      </c>
      <c r="Q210" s="174" t="s">
        <v>1232</v>
      </c>
      <c r="R210" s="174" t="s">
        <v>1452</v>
      </c>
      <c r="S210" s="174" t="s">
        <v>60</v>
      </c>
      <c r="T210" s="174" t="s">
        <v>60</v>
      </c>
      <c r="U210" s="174" t="s">
        <v>60</v>
      </c>
      <c r="V210" s="174" t="s">
        <v>60</v>
      </c>
      <c r="W210" s="174" t="s">
        <v>60</v>
      </c>
      <c r="X210" s="174" t="s">
        <v>60</v>
      </c>
      <c r="Y210" s="174" t="s">
        <v>60</v>
      </c>
      <c r="Z210" s="174" t="s">
        <v>60</v>
      </c>
      <c r="AA210" s="174" t="s">
        <v>60</v>
      </c>
      <c r="AB210" s="174" t="s">
        <v>60</v>
      </c>
      <c r="AC210" s="174">
        <v>1</v>
      </c>
      <c r="AD210" s="174"/>
      <c r="AE210" s="174"/>
      <c r="AF210" s="174"/>
      <c r="AG210" s="174"/>
      <c r="AH210" s="174"/>
      <c r="AI210" s="174"/>
      <c r="AJ210" s="174" t="s">
        <v>1453</v>
      </c>
      <c r="AK210" s="174" t="s">
        <v>1454</v>
      </c>
      <c r="AL210" s="174"/>
      <c r="AM210" s="181" t="s">
        <v>554</v>
      </c>
      <c r="AN210" s="192"/>
    </row>
    <row r="211" spans="1:40" s="175" customFormat="1" ht="12" customHeight="1">
      <c r="A211" s="174">
        <v>207</v>
      </c>
      <c r="B211" s="174" t="s">
        <v>86</v>
      </c>
      <c r="C211" s="174" t="s">
        <v>87</v>
      </c>
      <c r="D211" s="174" t="s">
        <v>656</v>
      </c>
      <c r="E211" s="174" t="s">
        <v>399</v>
      </c>
      <c r="F211" s="174"/>
      <c r="G211" s="174"/>
      <c r="H211" s="174" t="s">
        <v>395</v>
      </c>
      <c r="I211" s="174" t="s">
        <v>1468</v>
      </c>
      <c r="J211" s="174" t="s">
        <v>1469</v>
      </c>
      <c r="K211" s="174" t="s">
        <v>659</v>
      </c>
      <c r="L211" s="174" t="s">
        <v>1428</v>
      </c>
      <c r="M211" s="176" t="s">
        <v>1470</v>
      </c>
      <c r="N211" s="176" t="s">
        <v>1471</v>
      </c>
      <c r="O211" s="174" t="s">
        <v>1472</v>
      </c>
      <c r="P211" s="174" t="s">
        <v>1451</v>
      </c>
      <c r="Q211" s="174" t="s">
        <v>1232</v>
      </c>
      <c r="R211" s="174" t="s">
        <v>1452</v>
      </c>
      <c r="S211" s="174" t="s">
        <v>60</v>
      </c>
      <c r="T211" s="174" t="s">
        <v>60</v>
      </c>
      <c r="U211" s="174" t="s">
        <v>60</v>
      </c>
      <c r="V211" s="174" t="s">
        <v>60</v>
      </c>
      <c r="W211" s="174" t="s">
        <v>60</v>
      </c>
      <c r="X211" s="174" t="s">
        <v>60</v>
      </c>
      <c r="Y211" s="174" t="s">
        <v>60</v>
      </c>
      <c r="Z211" s="174" t="s">
        <v>60</v>
      </c>
      <c r="AA211" s="174" t="s">
        <v>60</v>
      </c>
      <c r="AB211" s="174" t="s">
        <v>60</v>
      </c>
      <c r="AC211" s="174">
        <v>1</v>
      </c>
      <c r="AD211" s="174"/>
      <c r="AE211" s="174"/>
      <c r="AF211" s="174"/>
      <c r="AG211" s="174"/>
      <c r="AH211" s="174"/>
      <c r="AI211" s="174"/>
      <c r="AJ211" s="174" t="s">
        <v>1453</v>
      </c>
      <c r="AK211" s="174" t="s">
        <v>1454</v>
      </c>
      <c r="AL211" s="174"/>
      <c r="AM211" s="181" t="s">
        <v>554</v>
      </c>
      <c r="AN211" s="192"/>
    </row>
    <row r="212" spans="1:40" s="175" customFormat="1" ht="12" customHeight="1">
      <c r="A212" s="174">
        <v>208</v>
      </c>
      <c r="B212" s="174" t="s">
        <v>86</v>
      </c>
      <c r="C212" s="174" t="s">
        <v>87</v>
      </c>
      <c r="D212" s="174" t="s">
        <v>656</v>
      </c>
      <c r="E212" s="174" t="s">
        <v>399</v>
      </c>
      <c r="F212" s="174"/>
      <c r="G212" s="174"/>
      <c r="H212" s="174" t="s">
        <v>395</v>
      </c>
      <c r="I212" s="174" t="s">
        <v>1473</v>
      </c>
      <c r="J212" s="174" t="s">
        <v>1474</v>
      </c>
      <c r="K212" s="174" t="s">
        <v>1475</v>
      </c>
      <c r="L212" s="174" t="s">
        <v>1428</v>
      </c>
      <c r="M212" s="176" t="s">
        <v>1476</v>
      </c>
      <c r="N212" s="176" t="s">
        <v>1477</v>
      </c>
      <c r="O212" s="174" t="s">
        <v>1472</v>
      </c>
      <c r="P212" s="174" t="s">
        <v>1451</v>
      </c>
      <c r="Q212" s="174" t="s">
        <v>1232</v>
      </c>
      <c r="R212" s="174" t="s">
        <v>1452</v>
      </c>
      <c r="S212" s="174" t="s">
        <v>60</v>
      </c>
      <c r="T212" s="174" t="s">
        <v>60</v>
      </c>
      <c r="U212" s="174" t="s">
        <v>60</v>
      </c>
      <c r="V212" s="174" t="s">
        <v>60</v>
      </c>
      <c r="W212" s="174" t="s">
        <v>60</v>
      </c>
      <c r="X212" s="174" t="s">
        <v>60</v>
      </c>
      <c r="Y212" s="174" t="s">
        <v>60</v>
      </c>
      <c r="Z212" s="174" t="s">
        <v>60</v>
      </c>
      <c r="AA212" s="174" t="s">
        <v>60</v>
      </c>
      <c r="AB212" s="174" t="s">
        <v>60</v>
      </c>
      <c r="AC212" s="174">
        <v>1</v>
      </c>
      <c r="AD212" s="174"/>
      <c r="AE212" s="174"/>
      <c r="AF212" s="174"/>
      <c r="AG212" s="174"/>
      <c r="AH212" s="174"/>
      <c r="AI212" s="174"/>
      <c r="AJ212" s="174" t="s">
        <v>1453</v>
      </c>
      <c r="AK212" s="174" t="s">
        <v>1454</v>
      </c>
      <c r="AL212" s="174"/>
      <c r="AM212" s="181" t="s">
        <v>554</v>
      </c>
      <c r="AN212" s="192"/>
    </row>
    <row r="213" spans="1:40" s="175" customFormat="1" ht="12" customHeight="1">
      <c r="A213" s="174">
        <v>209</v>
      </c>
      <c r="B213" s="174" t="s">
        <v>86</v>
      </c>
      <c r="C213" s="174" t="s">
        <v>87</v>
      </c>
      <c r="D213" s="174" t="s">
        <v>656</v>
      </c>
      <c r="E213" s="174" t="s">
        <v>399</v>
      </c>
      <c r="F213" s="174"/>
      <c r="G213" s="174"/>
      <c r="H213" s="174" t="s">
        <v>395</v>
      </c>
      <c r="I213" s="174" t="s">
        <v>1478</v>
      </c>
      <c r="J213" s="174" t="s">
        <v>1479</v>
      </c>
      <c r="K213" s="174" t="s">
        <v>1480</v>
      </c>
      <c r="L213" s="174" t="s">
        <v>1428</v>
      </c>
      <c r="M213" s="176" t="s">
        <v>1481</v>
      </c>
      <c r="N213" s="176" t="s">
        <v>1482</v>
      </c>
      <c r="O213" s="174" t="s">
        <v>1472</v>
      </c>
      <c r="P213" s="174" t="s">
        <v>1451</v>
      </c>
      <c r="Q213" s="174" t="s">
        <v>1232</v>
      </c>
      <c r="R213" s="174" t="s">
        <v>1452</v>
      </c>
      <c r="S213" s="174" t="s">
        <v>60</v>
      </c>
      <c r="T213" s="174" t="s">
        <v>60</v>
      </c>
      <c r="U213" s="174" t="s">
        <v>60</v>
      </c>
      <c r="V213" s="174" t="s">
        <v>60</v>
      </c>
      <c r="W213" s="174" t="s">
        <v>60</v>
      </c>
      <c r="X213" s="174" t="s">
        <v>60</v>
      </c>
      <c r="Y213" s="174" t="s">
        <v>60</v>
      </c>
      <c r="Z213" s="174" t="s">
        <v>60</v>
      </c>
      <c r="AA213" s="174" t="s">
        <v>60</v>
      </c>
      <c r="AB213" s="174" t="s">
        <v>60</v>
      </c>
      <c r="AC213" s="174">
        <v>1</v>
      </c>
      <c r="AD213" s="174"/>
      <c r="AE213" s="174"/>
      <c r="AF213" s="174"/>
      <c r="AG213" s="174"/>
      <c r="AH213" s="174"/>
      <c r="AI213" s="174"/>
      <c r="AJ213" s="174" t="s">
        <v>1453</v>
      </c>
      <c r="AK213" s="174" t="s">
        <v>1454</v>
      </c>
      <c r="AL213" s="174"/>
      <c r="AM213" s="181" t="s">
        <v>554</v>
      </c>
      <c r="AN213" s="192"/>
    </row>
    <row r="214" spans="1:40" s="175" customFormat="1" ht="12" customHeight="1">
      <c r="A214" s="174">
        <v>210</v>
      </c>
      <c r="B214" s="174" t="s">
        <v>86</v>
      </c>
      <c r="C214" s="174" t="s">
        <v>87</v>
      </c>
      <c r="D214" s="174" t="s">
        <v>656</v>
      </c>
      <c r="E214" s="174" t="s">
        <v>399</v>
      </c>
      <c r="F214" s="174"/>
      <c r="G214" s="174"/>
      <c r="H214" s="174" t="s">
        <v>395</v>
      </c>
      <c r="I214" s="174" t="s">
        <v>1483</v>
      </c>
      <c r="J214" s="174" t="s">
        <v>1484</v>
      </c>
      <c r="K214" s="174" t="s">
        <v>1485</v>
      </c>
      <c r="L214" s="174" t="s">
        <v>1428</v>
      </c>
      <c r="M214" s="176" t="s">
        <v>1486</v>
      </c>
      <c r="N214" s="176" t="s">
        <v>1487</v>
      </c>
      <c r="O214" s="174" t="s">
        <v>1472</v>
      </c>
      <c r="P214" s="174" t="s">
        <v>1451</v>
      </c>
      <c r="Q214" s="174" t="s">
        <v>1232</v>
      </c>
      <c r="R214" s="174" t="s">
        <v>1452</v>
      </c>
      <c r="S214" s="174" t="s">
        <v>60</v>
      </c>
      <c r="T214" s="174" t="s">
        <v>60</v>
      </c>
      <c r="U214" s="174" t="s">
        <v>60</v>
      </c>
      <c r="V214" s="174" t="s">
        <v>60</v>
      </c>
      <c r="W214" s="174" t="s">
        <v>60</v>
      </c>
      <c r="X214" s="174" t="s">
        <v>60</v>
      </c>
      <c r="Y214" s="174" t="s">
        <v>60</v>
      </c>
      <c r="Z214" s="174" t="s">
        <v>60</v>
      </c>
      <c r="AA214" s="174" t="s">
        <v>60</v>
      </c>
      <c r="AB214" s="174" t="s">
        <v>60</v>
      </c>
      <c r="AC214" s="174">
        <v>1</v>
      </c>
      <c r="AD214" s="174"/>
      <c r="AE214" s="174"/>
      <c r="AF214" s="174"/>
      <c r="AG214" s="174"/>
      <c r="AH214" s="174"/>
      <c r="AI214" s="174"/>
      <c r="AJ214" s="174" t="s">
        <v>1453</v>
      </c>
      <c r="AK214" s="174" t="s">
        <v>1454</v>
      </c>
      <c r="AL214" s="174"/>
      <c r="AM214" s="181" t="s">
        <v>554</v>
      </c>
      <c r="AN214" s="192"/>
    </row>
    <row r="215" spans="1:40" s="175" customFormat="1" ht="12" customHeight="1">
      <c r="A215" s="174">
        <v>211</v>
      </c>
      <c r="B215" s="174" t="s">
        <v>86</v>
      </c>
      <c r="C215" s="174" t="s">
        <v>87</v>
      </c>
      <c r="D215" s="174" t="s">
        <v>656</v>
      </c>
      <c r="E215" s="174" t="s">
        <v>399</v>
      </c>
      <c r="F215" s="174"/>
      <c r="G215" s="174"/>
      <c r="H215" s="174" t="s">
        <v>395</v>
      </c>
      <c r="I215" s="174" t="s">
        <v>1488</v>
      </c>
      <c r="J215" s="174" t="s">
        <v>1489</v>
      </c>
      <c r="K215" s="174" t="s">
        <v>1490</v>
      </c>
      <c r="L215" s="174" t="s">
        <v>1428</v>
      </c>
      <c r="M215" s="176" t="s">
        <v>1491</v>
      </c>
      <c r="N215" s="174" t="s">
        <v>60</v>
      </c>
      <c r="O215" s="174" t="s">
        <v>1472</v>
      </c>
      <c r="P215" s="174" t="s">
        <v>1451</v>
      </c>
      <c r="Q215" s="174" t="s">
        <v>1232</v>
      </c>
      <c r="R215" s="174" t="s">
        <v>1452</v>
      </c>
      <c r="S215" s="174" t="s">
        <v>60</v>
      </c>
      <c r="T215" s="174" t="s">
        <v>60</v>
      </c>
      <c r="U215" s="174" t="s">
        <v>60</v>
      </c>
      <c r="V215" s="174" t="s">
        <v>60</v>
      </c>
      <c r="W215" s="174" t="s">
        <v>60</v>
      </c>
      <c r="X215" s="174" t="s">
        <v>60</v>
      </c>
      <c r="Y215" s="174" t="s">
        <v>60</v>
      </c>
      <c r="Z215" s="174" t="s">
        <v>60</v>
      </c>
      <c r="AA215" s="174" t="s">
        <v>60</v>
      </c>
      <c r="AB215" s="174" t="s">
        <v>60</v>
      </c>
      <c r="AC215" s="174">
        <v>1</v>
      </c>
      <c r="AD215" s="174"/>
      <c r="AE215" s="174"/>
      <c r="AF215" s="174"/>
      <c r="AG215" s="174"/>
      <c r="AH215" s="174"/>
      <c r="AI215" s="174"/>
      <c r="AJ215" s="174" t="s">
        <v>1453</v>
      </c>
      <c r="AK215" s="174" t="s">
        <v>1454</v>
      </c>
      <c r="AL215" s="174"/>
      <c r="AM215" s="181" t="s">
        <v>755</v>
      </c>
      <c r="AN215" s="192"/>
    </row>
    <row r="216" spans="1:40" s="175" customFormat="1" ht="12" customHeight="1">
      <c r="A216" s="174">
        <v>212</v>
      </c>
      <c r="B216" s="174" t="s">
        <v>86</v>
      </c>
      <c r="C216" s="174" t="s">
        <v>87</v>
      </c>
      <c r="D216" s="174" t="s">
        <v>656</v>
      </c>
      <c r="E216" s="174" t="s">
        <v>399</v>
      </c>
      <c r="F216" s="174"/>
      <c r="G216" s="174"/>
      <c r="H216" s="174" t="s">
        <v>395</v>
      </c>
      <c r="I216" s="174" t="s">
        <v>1492</v>
      </c>
      <c r="J216" s="174" t="s">
        <v>1493</v>
      </c>
      <c r="K216" s="174" t="s">
        <v>1494</v>
      </c>
      <c r="L216" s="174" t="s">
        <v>1428</v>
      </c>
      <c r="M216" s="176" t="s">
        <v>1495</v>
      </c>
      <c r="N216" s="174" t="s">
        <v>60</v>
      </c>
      <c r="O216" s="174" t="s">
        <v>1496</v>
      </c>
      <c r="P216" s="174" t="s">
        <v>1497</v>
      </c>
      <c r="Q216" s="174" t="s">
        <v>1232</v>
      </c>
      <c r="R216" s="174" t="s">
        <v>1452</v>
      </c>
      <c r="S216" s="174" t="s">
        <v>60</v>
      </c>
      <c r="T216" s="174" t="s">
        <v>60</v>
      </c>
      <c r="U216" s="174" t="s">
        <v>60</v>
      </c>
      <c r="V216" s="174" t="s">
        <v>60</v>
      </c>
      <c r="W216" s="174" t="s">
        <v>60</v>
      </c>
      <c r="X216" s="174" t="s">
        <v>60</v>
      </c>
      <c r="Y216" s="174" t="s">
        <v>60</v>
      </c>
      <c r="Z216" s="174" t="s">
        <v>60</v>
      </c>
      <c r="AA216" s="174" t="s">
        <v>60</v>
      </c>
      <c r="AB216" s="174" t="s">
        <v>60</v>
      </c>
      <c r="AC216" s="174">
        <v>1</v>
      </c>
      <c r="AD216" s="174"/>
      <c r="AE216" s="174"/>
      <c r="AF216" s="174"/>
      <c r="AG216" s="174"/>
      <c r="AH216" s="174"/>
      <c r="AI216" s="174"/>
      <c r="AJ216" s="174" t="s">
        <v>1453</v>
      </c>
      <c r="AK216" s="174" t="s">
        <v>1454</v>
      </c>
      <c r="AL216" s="174"/>
      <c r="AM216" s="181" t="s">
        <v>755</v>
      </c>
      <c r="AN216" s="192"/>
    </row>
    <row r="217" spans="1:40" s="175" customFormat="1" ht="12" customHeight="1">
      <c r="A217" s="174">
        <v>213</v>
      </c>
      <c r="B217" s="174" t="s">
        <v>86</v>
      </c>
      <c r="C217" s="174" t="s">
        <v>87</v>
      </c>
      <c r="D217" s="174" t="s">
        <v>656</v>
      </c>
      <c r="E217" s="174" t="s">
        <v>399</v>
      </c>
      <c r="F217" s="174"/>
      <c r="G217" s="174"/>
      <c r="H217" s="174" t="s">
        <v>395</v>
      </c>
      <c r="I217" s="174" t="s">
        <v>1498</v>
      </c>
      <c r="J217" s="174" t="s">
        <v>1499</v>
      </c>
      <c r="K217" s="174" t="s">
        <v>1500</v>
      </c>
      <c r="L217" s="174" t="s">
        <v>1428</v>
      </c>
      <c r="M217" s="176" t="s">
        <v>1501</v>
      </c>
      <c r="N217" s="174" t="s">
        <v>60</v>
      </c>
      <c r="O217" s="174" t="s">
        <v>1472</v>
      </c>
      <c r="P217" s="174" t="s">
        <v>1451</v>
      </c>
      <c r="Q217" s="174" t="s">
        <v>1232</v>
      </c>
      <c r="R217" s="174" t="s">
        <v>1452</v>
      </c>
      <c r="S217" s="174" t="s">
        <v>60</v>
      </c>
      <c r="T217" s="174" t="s">
        <v>60</v>
      </c>
      <c r="U217" s="174" t="s">
        <v>60</v>
      </c>
      <c r="V217" s="174" t="s">
        <v>60</v>
      </c>
      <c r="W217" s="174" t="s">
        <v>60</v>
      </c>
      <c r="X217" s="174" t="s">
        <v>60</v>
      </c>
      <c r="Y217" s="174" t="s">
        <v>60</v>
      </c>
      <c r="Z217" s="174" t="s">
        <v>60</v>
      </c>
      <c r="AA217" s="174" t="s">
        <v>60</v>
      </c>
      <c r="AB217" s="174" t="s">
        <v>60</v>
      </c>
      <c r="AC217" s="174">
        <v>1</v>
      </c>
      <c r="AD217" s="174"/>
      <c r="AE217" s="174"/>
      <c r="AF217" s="174"/>
      <c r="AG217" s="174"/>
      <c r="AH217" s="174"/>
      <c r="AI217" s="174"/>
      <c r="AJ217" s="174" t="s">
        <v>1453</v>
      </c>
      <c r="AK217" s="174" t="s">
        <v>1454</v>
      </c>
      <c r="AL217" s="174"/>
      <c r="AM217" s="181" t="s">
        <v>755</v>
      </c>
      <c r="AN217" s="192"/>
    </row>
    <row r="218" spans="1:40" s="175" customFormat="1" ht="12" customHeight="1">
      <c r="A218" s="174">
        <v>214</v>
      </c>
      <c r="B218" s="174" t="s">
        <v>86</v>
      </c>
      <c r="C218" s="174" t="s">
        <v>87</v>
      </c>
      <c r="D218" s="174" t="s">
        <v>656</v>
      </c>
      <c r="E218" s="174" t="s">
        <v>399</v>
      </c>
      <c r="F218" s="174"/>
      <c r="G218" s="174"/>
      <c r="H218" s="174" t="s">
        <v>395</v>
      </c>
      <c r="I218" s="174" t="s">
        <v>1502</v>
      </c>
      <c r="J218" s="174" t="s">
        <v>1503</v>
      </c>
      <c r="K218" s="174" t="s">
        <v>1504</v>
      </c>
      <c r="L218" s="174" t="s">
        <v>1428</v>
      </c>
      <c r="M218" s="176" t="s">
        <v>1505</v>
      </c>
      <c r="N218" s="174" t="s">
        <v>60</v>
      </c>
      <c r="O218" s="174" t="s">
        <v>1472</v>
      </c>
      <c r="P218" s="174" t="s">
        <v>1451</v>
      </c>
      <c r="Q218" s="174" t="s">
        <v>1232</v>
      </c>
      <c r="R218" s="174" t="s">
        <v>1452</v>
      </c>
      <c r="S218" s="174" t="s">
        <v>60</v>
      </c>
      <c r="T218" s="174" t="s">
        <v>60</v>
      </c>
      <c r="U218" s="174" t="s">
        <v>60</v>
      </c>
      <c r="V218" s="174" t="s">
        <v>60</v>
      </c>
      <c r="W218" s="174" t="s">
        <v>60</v>
      </c>
      <c r="X218" s="174" t="s">
        <v>60</v>
      </c>
      <c r="Y218" s="174" t="s">
        <v>60</v>
      </c>
      <c r="Z218" s="174" t="s">
        <v>60</v>
      </c>
      <c r="AA218" s="174" t="s">
        <v>60</v>
      </c>
      <c r="AB218" s="174" t="s">
        <v>60</v>
      </c>
      <c r="AC218" s="174">
        <v>1</v>
      </c>
      <c r="AD218" s="174"/>
      <c r="AE218" s="174"/>
      <c r="AF218" s="174"/>
      <c r="AG218" s="174"/>
      <c r="AH218" s="174"/>
      <c r="AI218" s="174"/>
      <c r="AJ218" s="174" t="s">
        <v>1453</v>
      </c>
      <c r="AK218" s="174" t="s">
        <v>1454</v>
      </c>
      <c r="AL218" s="174"/>
      <c r="AM218" s="181" t="s">
        <v>755</v>
      </c>
      <c r="AN218" s="192"/>
    </row>
    <row r="219" spans="1:40" s="175" customFormat="1" ht="12" customHeight="1">
      <c r="A219" s="174">
        <v>215</v>
      </c>
      <c r="B219" s="174" t="s">
        <v>86</v>
      </c>
      <c r="C219" s="174" t="s">
        <v>87</v>
      </c>
      <c r="D219" s="174" t="s">
        <v>539</v>
      </c>
      <c r="E219" s="174" t="s">
        <v>309</v>
      </c>
      <c r="F219" s="174" t="e">
        <f>VLOOKUP(E219,'95 Chỉ tiêu'!$B$4:$F$177,2,0)</f>
        <v>#N/A</v>
      </c>
      <c r="G219" s="174" t="s">
        <v>78</v>
      </c>
      <c r="H219" s="174" t="s">
        <v>311</v>
      </c>
      <c r="I219" s="174"/>
      <c r="J219" s="174"/>
      <c r="K219" s="174" t="s">
        <v>1506</v>
      </c>
      <c r="L219" s="174" t="s">
        <v>1428</v>
      </c>
      <c r="M219" s="174"/>
      <c r="N219" s="174"/>
      <c r="O219" s="174"/>
      <c r="P219" s="174"/>
      <c r="Q219" s="174"/>
      <c r="R219" s="174"/>
      <c r="S219" s="174"/>
      <c r="T219" s="174"/>
      <c r="U219" s="174"/>
      <c r="V219" s="174"/>
      <c r="W219" s="174"/>
      <c r="X219" s="174"/>
      <c r="Y219" s="174"/>
      <c r="Z219" s="174"/>
      <c r="AA219" s="174"/>
      <c r="AB219" s="174"/>
      <c r="AC219" s="174"/>
      <c r="AD219" s="174"/>
      <c r="AE219" s="174"/>
      <c r="AF219" s="174"/>
      <c r="AG219" s="174"/>
      <c r="AH219" s="174"/>
      <c r="AI219" s="174"/>
      <c r="AJ219" s="174" t="s">
        <v>311</v>
      </c>
      <c r="AK219" s="174" t="s">
        <v>1507</v>
      </c>
      <c r="AL219" s="174"/>
      <c r="AM219" s="181" t="s">
        <v>554</v>
      </c>
      <c r="AN219" s="192"/>
    </row>
    <row r="220" spans="1:40" s="175" customFormat="1" ht="12" customHeight="1">
      <c r="A220" s="174">
        <v>216</v>
      </c>
      <c r="B220" s="174" t="s">
        <v>86</v>
      </c>
      <c r="C220" s="174" t="s">
        <v>87</v>
      </c>
      <c r="D220" s="174" t="s">
        <v>539</v>
      </c>
      <c r="E220" s="174" t="s">
        <v>309</v>
      </c>
      <c r="F220" s="174" t="e">
        <f>VLOOKUP(E220,'95 Chỉ tiêu'!$B$4:$F$177,2,0)</f>
        <v>#N/A</v>
      </c>
      <c r="G220" s="174" t="s">
        <v>78</v>
      </c>
      <c r="H220" s="174" t="s">
        <v>311</v>
      </c>
      <c r="I220" s="174"/>
      <c r="J220" s="174"/>
      <c r="K220" s="174" t="s">
        <v>1508</v>
      </c>
      <c r="L220" s="174" t="s">
        <v>1428</v>
      </c>
      <c r="M220" s="174"/>
      <c r="N220" s="174"/>
      <c r="O220" s="174"/>
      <c r="P220" s="174"/>
      <c r="Q220" s="174"/>
      <c r="R220" s="174"/>
      <c r="S220" s="174"/>
      <c r="T220" s="174"/>
      <c r="U220" s="174"/>
      <c r="V220" s="174"/>
      <c r="W220" s="174"/>
      <c r="X220" s="174"/>
      <c r="Y220" s="174"/>
      <c r="Z220" s="174"/>
      <c r="AA220" s="174"/>
      <c r="AB220" s="174"/>
      <c r="AC220" s="174"/>
      <c r="AD220" s="174"/>
      <c r="AE220" s="174"/>
      <c r="AF220" s="174"/>
      <c r="AG220" s="174"/>
      <c r="AH220" s="174"/>
      <c r="AI220" s="174"/>
      <c r="AJ220" s="174" t="s">
        <v>311</v>
      </c>
      <c r="AK220" s="174" t="s">
        <v>1507</v>
      </c>
      <c r="AL220" s="174"/>
      <c r="AM220" s="181" t="s">
        <v>554</v>
      </c>
      <c r="AN220" s="192"/>
    </row>
    <row r="221" spans="1:40" s="175" customFormat="1" ht="12" customHeight="1">
      <c r="A221" s="174">
        <v>217</v>
      </c>
      <c r="B221" s="174" t="s">
        <v>86</v>
      </c>
      <c r="C221" s="174" t="s">
        <v>87</v>
      </c>
      <c r="D221" s="174" t="s">
        <v>539</v>
      </c>
      <c r="E221" s="174" t="s">
        <v>309</v>
      </c>
      <c r="F221" s="174" t="e">
        <f>VLOOKUP(E221,'95 Chỉ tiêu'!$B$4:$F$177,2,0)</f>
        <v>#N/A</v>
      </c>
      <c r="G221" s="174" t="s">
        <v>78</v>
      </c>
      <c r="H221" s="174" t="s">
        <v>311</v>
      </c>
      <c r="I221" s="174"/>
      <c r="J221" s="174"/>
      <c r="K221" s="174" t="s">
        <v>1509</v>
      </c>
      <c r="L221" s="174" t="s">
        <v>1428</v>
      </c>
      <c r="M221" s="174"/>
      <c r="N221" s="174"/>
      <c r="O221" s="174"/>
      <c r="P221" s="174"/>
      <c r="Q221" s="174"/>
      <c r="R221" s="174"/>
      <c r="S221" s="174"/>
      <c r="T221" s="174"/>
      <c r="U221" s="174"/>
      <c r="V221" s="174"/>
      <c r="W221" s="174"/>
      <c r="X221" s="174"/>
      <c r="Y221" s="174"/>
      <c r="Z221" s="174"/>
      <c r="AA221" s="174"/>
      <c r="AB221" s="174"/>
      <c r="AC221" s="174"/>
      <c r="AD221" s="174"/>
      <c r="AE221" s="174"/>
      <c r="AF221" s="174"/>
      <c r="AG221" s="174"/>
      <c r="AH221" s="174"/>
      <c r="AI221" s="174"/>
      <c r="AJ221" s="174" t="s">
        <v>311</v>
      </c>
      <c r="AK221" s="174" t="s">
        <v>1507</v>
      </c>
      <c r="AL221" s="174"/>
      <c r="AM221" s="181" t="s">
        <v>554</v>
      </c>
      <c r="AN221" s="192"/>
    </row>
    <row r="222" spans="1:40" s="175" customFormat="1" ht="12" customHeight="1">
      <c r="A222" s="174">
        <v>218</v>
      </c>
      <c r="B222" s="174" t="s">
        <v>86</v>
      </c>
      <c r="C222" s="174" t="s">
        <v>87</v>
      </c>
      <c r="D222" s="174" t="s">
        <v>539</v>
      </c>
      <c r="E222" s="174" t="s">
        <v>309</v>
      </c>
      <c r="F222" s="174" t="e">
        <f>VLOOKUP(E222,'95 Chỉ tiêu'!$B$4:$F$177,2,0)</f>
        <v>#N/A</v>
      </c>
      <c r="G222" s="174" t="s">
        <v>78</v>
      </c>
      <c r="H222" s="174" t="s">
        <v>311</v>
      </c>
      <c r="I222" s="174"/>
      <c r="J222" s="174"/>
      <c r="K222" s="174" t="s">
        <v>1510</v>
      </c>
      <c r="L222" s="174" t="s">
        <v>1428</v>
      </c>
      <c r="M222" s="174"/>
      <c r="N222" s="174"/>
      <c r="O222" s="174"/>
      <c r="P222" s="174"/>
      <c r="Q222" s="174"/>
      <c r="R222" s="174"/>
      <c r="S222" s="174"/>
      <c r="T222" s="174"/>
      <c r="U222" s="174"/>
      <c r="V222" s="174"/>
      <c r="W222" s="174"/>
      <c r="X222" s="174"/>
      <c r="Y222" s="174"/>
      <c r="Z222" s="174"/>
      <c r="AA222" s="174"/>
      <c r="AB222" s="174"/>
      <c r="AC222" s="174"/>
      <c r="AD222" s="174"/>
      <c r="AE222" s="174"/>
      <c r="AF222" s="174"/>
      <c r="AG222" s="174"/>
      <c r="AH222" s="174"/>
      <c r="AI222" s="174"/>
      <c r="AJ222" s="174" t="s">
        <v>311</v>
      </c>
      <c r="AK222" s="174" t="s">
        <v>1507</v>
      </c>
      <c r="AL222" s="174"/>
      <c r="AM222" s="181" t="s">
        <v>1511</v>
      </c>
      <c r="AN222" s="192"/>
    </row>
    <row r="223" spans="1:40" s="175" customFormat="1" ht="12" customHeight="1">
      <c r="A223" s="174">
        <v>219</v>
      </c>
      <c r="B223" s="174" t="s">
        <v>97</v>
      </c>
      <c r="C223" s="174" t="s">
        <v>1512</v>
      </c>
      <c r="D223" s="174" t="s">
        <v>958</v>
      </c>
      <c r="E223" s="174" t="s">
        <v>98</v>
      </c>
      <c r="F223" s="174" t="e">
        <f>VLOOKUP(E223,'95 Chỉ tiêu'!$B$4:$F$177,2,0)</f>
        <v>#N/A</v>
      </c>
      <c r="G223" s="174" t="s">
        <v>99</v>
      </c>
      <c r="H223" s="174" t="s">
        <v>1513</v>
      </c>
      <c r="I223" s="174" t="s">
        <v>1514</v>
      </c>
      <c r="J223" s="174" t="s">
        <v>1515</v>
      </c>
      <c r="K223" s="174" t="s">
        <v>1516</v>
      </c>
      <c r="L223" s="174" t="s">
        <v>1517</v>
      </c>
      <c r="M223" s="174" t="s">
        <v>1518</v>
      </c>
      <c r="N223" s="174" t="s">
        <v>1519</v>
      </c>
      <c r="O223" s="174" t="s">
        <v>1520</v>
      </c>
      <c r="P223" s="174" t="s">
        <v>967</v>
      </c>
      <c r="Q223" s="174" t="s">
        <v>607</v>
      </c>
      <c r="R223" s="174" t="s">
        <v>66</v>
      </c>
      <c r="S223" s="174" t="s">
        <v>60</v>
      </c>
      <c r="T223" s="174" t="s">
        <v>60</v>
      </c>
      <c r="U223" s="174" t="s">
        <v>60</v>
      </c>
      <c r="V223" s="174" t="s">
        <v>60</v>
      </c>
      <c r="W223" s="174" t="s">
        <v>60</v>
      </c>
      <c r="X223" s="174" t="s">
        <v>60</v>
      </c>
      <c r="Y223" s="174" t="s">
        <v>60</v>
      </c>
      <c r="Z223" s="174" t="s">
        <v>60</v>
      </c>
      <c r="AA223" s="174" t="s">
        <v>60</v>
      </c>
      <c r="AB223" s="174" t="s">
        <v>60</v>
      </c>
      <c r="AC223" s="174">
        <v>1</v>
      </c>
      <c r="AD223" s="174" t="s">
        <v>965</v>
      </c>
      <c r="AE223" s="174"/>
      <c r="AF223" s="174"/>
      <c r="AG223" s="174"/>
      <c r="AH223" s="174"/>
      <c r="AI223" s="174"/>
      <c r="AJ223" s="174" t="s">
        <v>101</v>
      </c>
      <c r="AK223" s="174" t="s">
        <v>100</v>
      </c>
      <c r="AL223" s="174"/>
      <c r="AM223" s="181" t="s">
        <v>554</v>
      </c>
      <c r="AN223" s="192"/>
    </row>
    <row r="224" spans="1:40" s="175" customFormat="1" ht="12" customHeight="1">
      <c r="A224" s="174">
        <v>220</v>
      </c>
      <c r="B224" s="174" t="s">
        <v>97</v>
      </c>
      <c r="C224" s="174" t="s">
        <v>1512</v>
      </c>
      <c r="D224" s="174" t="s">
        <v>958</v>
      </c>
      <c r="E224" s="174" t="s">
        <v>98</v>
      </c>
      <c r="F224" s="174" t="e">
        <f>VLOOKUP(E224,'95 Chỉ tiêu'!$B$4:$F$177,2,0)</f>
        <v>#N/A</v>
      </c>
      <c r="G224" s="174" t="s">
        <v>99</v>
      </c>
      <c r="H224" s="174" t="s">
        <v>1513</v>
      </c>
      <c r="I224" s="174" t="s">
        <v>1521</v>
      </c>
      <c r="J224" s="174" t="s">
        <v>1522</v>
      </c>
      <c r="K224" s="174" t="s">
        <v>1523</v>
      </c>
      <c r="L224" s="174" t="s">
        <v>1517</v>
      </c>
      <c r="M224" s="174" t="s">
        <v>1524</v>
      </c>
      <c r="N224" s="174" t="s">
        <v>965</v>
      </c>
      <c r="O224" s="174" t="s">
        <v>1525</v>
      </c>
      <c r="P224" s="174" t="s">
        <v>967</v>
      </c>
      <c r="Q224" s="174" t="s">
        <v>607</v>
      </c>
      <c r="R224" s="174" t="s">
        <v>66</v>
      </c>
      <c r="S224" s="174" t="s">
        <v>60</v>
      </c>
      <c r="T224" s="174" t="s">
        <v>60</v>
      </c>
      <c r="U224" s="174" t="s">
        <v>60</v>
      </c>
      <c r="V224" s="174" t="s">
        <v>60</v>
      </c>
      <c r="W224" s="174" t="s">
        <v>60</v>
      </c>
      <c r="X224" s="174" t="s">
        <v>60</v>
      </c>
      <c r="Y224" s="174" t="s">
        <v>60</v>
      </c>
      <c r="Z224" s="174" t="s">
        <v>60</v>
      </c>
      <c r="AA224" s="174" t="s">
        <v>60</v>
      </c>
      <c r="AB224" s="174" t="s">
        <v>60</v>
      </c>
      <c r="AC224" s="174">
        <v>1</v>
      </c>
      <c r="AD224" s="174" t="s">
        <v>965</v>
      </c>
      <c r="AE224" s="174"/>
      <c r="AF224" s="174"/>
      <c r="AG224" s="174"/>
      <c r="AH224" s="174"/>
      <c r="AI224" s="174"/>
      <c r="AJ224" s="174" t="s">
        <v>101</v>
      </c>
      <c r="AK224" s="174" t="s">
        <v>100</v>
      </c>
      <c r="AL224" s="174"/>
      <c r="AM224" s="181" t="s">
        <v>554</v>
      </c>
      <c r="AN224" s="192"/>
    </row>
    <row r="225" spans="1:40" s="175" customFormat="1" ht="12" customHeight="1">
      <c r="A225" s="174">
        <v>221</v>
      </c>
      <c r="B225" s="174" t="s">
        <v>97</v>
      </c>
      <c r="C225" s="174" t="s">
        <v>1512</v>
      </c>
      <c r="D225" s="174" t="s">
        <v>958</v>
      </c>
      <c r="E225" s="174" t="s">
        <v>98</v>
      </c>
      <c r="F225" s="174" t="e">
        <f>VLOOKUP(E225,'95 Chỉ tiêu'!$B$4:$F$177,2,0)</f>
        <v>#N/A</v>
      </c>
      <c r="G225" s="174" t="s">
        <v>99</v>
      </c>
      <c r="H225" s="174" t="s">
        <v>1513</v>
      </c>
      <c r="I225" s="174" t="s">
        <v>1526</v>
      </c>
      <c r="J225" s="174" t="s">
        <v>1527</v>
      </c>
      <c r="K225" s="174" t="s">
        <v>1528</v>
      </c>
      <c r="L225" s="174" t="s">
        <v>1517</v>
      </c>
      <c r="M225" s="174" t="s">
        <v>1529</v>
      </c>
      <c r="N225" s="174" t="s">
        <v>1530</v>
      </c>
      <c r="O225" s="174" t="s">
        <v>1520</v>
      </c>
      <c r="P225" s="174" t="s">
        <v>1531</v>
      </c>
      <c r="Q225" s="174" t="s">
        <v>607</v>
      </c>
      <c r="R225" s="174" t="s">
        <v>66</v>
      </c>
      <c r="S225" s="174" t="s">
        <v>60</v>
      </c>
      <c r="T225" s="174" t="s">
        <v>60</v>
      </c>
      <c r="U225" s="174" t="s">
        <v>60</v>
      </c>
      <c r="V225" s="174" t="s">
        <v>60</v>
      </c>
      <c r="W225" s="174" t="s">
        <v>60</v>
      </c>
      <c r="X225" s="174" t="s">
        <v>60</v>
      </c>
      <c r="Y225" s="174" t="s">
        <v>60</v>
      </c>
      <c r="Z225" s="174" t="s">
        <v>60</v>
      </c>
      <c r="AA225" s="174" t="s">
        <v>60</v>
      </c>
      <c r="AB225" s="174" t="s">
        <v>60</v>
      </c>
      <c r="AC225" s="174">
        <v>1</v>
      </c>
      <c r="AD225" s="174" t="s">
        <v>965</v>
      </c>
      <c r="AE225" s="174"/>
      <c r="AF225" s="174"/>
      <c r="AG225" s="174"/>
      <c r="AH225" s="174"/>
      <c r="AI225" s="174"/>
      <c r="AJ225" s="174" t="s">
        <v>101</v>
      </c>
      <c r="AK225" s="174" t="s">
        <v>100</v>
      </c>
      <c r="AL225" s="174"/>
      <c r="AM225" s="181" t="s">
        <v>554</v>
      </c>
      <c r="AN225" s="192"/>
    </row>
    <row r="226" spans="1:40" s="175" customFormat="1" ht="12" customHeight="1">
      <c r="A226" s="174">
        <v>222</v>
      </c>
      <c r="B226" s="174" t="s">
        <v>97</v>
      </c>
      <c r="C226" s="174" t="s">
        <v>1512</v>
      </c>
      <c r="D226" s="174" t="s">
        <v>958</v>
      </c>
      <c r="E226" s="174" t="s">
        <v>98</v>
      </c>
      <c r="F226" s="174" t="e">
        <f>VLOOKUP(E226,'95 Chỉ tiêu'!$B$4:$F$177,2,0)</f>
        <v>#N/A</v>
      </c>
      <c r="G226" s="174" t="s">
        <v>99</v>
      </c>
      <c r="H226" s="174" t="s">
        <v>1513</v>
      </c>
      <c r="I226" s="174" t="s">
        <v>1532</v>
      </c>
      <c r="J226" s="174" t="s">
        <v>1533</v>
      </c>
      <c r="K226" s="174" t="s">
        <v>1534</v>
      </c>
      <c r="L226" s="174" t="s">
        <v>1517</v>
      </c>
      <c r="M226" s="174" t="s">
        <v>1535</v>
      </c>
      <c r="N226" s="174" t="s">
        <v>965</v>
      </c>
      <c r="O226" s="174" t="s">
        <v>997</v>
      </c>
      <c r="P226" s="174" t="s">
        <v>967</v>
      </c>
      <c r="Q226" s="174" t="s">
        <v>607</v>
      </c>
      <c r="R226" s="174" t="s">
        <v>66</v>
      </c>
      <c r="S226" s="174" t="s">
        <v>60</v>
      </c>
      <c r="T226" s="174" t="s">
        <v>60</v>
      </c>
      <c r="U226" s="174" t="s">
        <v>60</v>
      </c>
      <c r="V226" s="174" t="s">
        <v>60</v>
      </c>
      <c r="W226" s="174" t="s">
        <v>60</v>
      </c>
      <c r="X226" s="174" t="s">
        <v>60</v>
      </c>
      <c r="Y226" s="174" t="s">
        <v>60</v>
      </c>
      <c r="Z226" s="174" t="s">
        <v>60</v>
      </c>
      <c r="AA226" s="174" t="s">
        <v>60</v>
      </c>
      <c r="AB226" s="174" t="s">
        <v>60</v>
      </c>
      <c r="AC226" s="174">
        <v>1</v>
      </c>
      <c r="AD226" s="174" t="s">
        <v>965</v>
      </c>
      <c r="AE226" s="174"/>
      <c r="AF226" s="174"/>
      <c r="AG226" s="174"/>
      <c r="AH226" s="174"/>
      <c r="AI226" s="174"/>
      <c r="AJ226" s="174" t="s">
        <v>101</v>
      </c>
      <c r="AK226" s="174" t="s">
        <v>100</v>
      </c>
      <c r="AL226" s="174"/>
      <c r="AM226" s="181" t="s">
        <v>554</v>
      </c>
      <c r="AN226" s="192"/>
    </row>
    <row r="227" spans="1:40" s="175" customFormat="1" ht="12" customHeight="1">
      <c r="A227" s="174">
        <v>223</v>
      </c>
      <c r="B227" s="174" t="s">
        <v>97</v>
      </c>
      <c r="C227" s="174" t="s">
        <v>1512</v>
      </c>
      <c r="D227" s="174" t="s">
        <v>958</v>
      </c>
      <c r="E227" s="174" t="s">
        <v>382</v>
      </c>
      <c r="F227" s="174" t="e">
        <f>VLOOKUP(E227,'95 Chỉ tiêu'!$B$4:$F$177,2,0)</f>
        <v>#N/A</v>
      </c>
      <c r="G227" s="174" t="s">
        <v>55</v>
      </c>
      <c r="H227" s="174" t="s">
        <v>1536</v>
      </c>
      <c r="I227" s="174" t="s">
        <v>1537</v>
      </c>
      <c r="J227" s="174" t="s">
        <v>1383</v>
      </c>
      <c r="K227" s="174" t="s">
        <v>1538</v>
      </c>
      <c r="L227" s="174" t="s">
        <v>1517</v>
      </c>
      <c r="M227" s="174" t="s">
        <v>1539</v>
      </c>
      <c r="N227" s="174" t="s">
        <v>965</v>
      </c>
      <c r="O227" s="174" t="s">
        <v>1540</v>
      </c>
      <c r="P227" s="174" t="s">
        <v>967</v>
      </c>
      <c r="Q227" s="174" t="s">
        <v>874</v>
      </c>
      <c r="R227" s="174" t="s">
        <v>66</v>
      </c>
      <c r="S227" s="174" t="s">
        <v>60</v>
      </c>
      <c r="T227" s="174" t="s">
        <v>60</v>
      </c>
      <c r="U227" s="174" t="s">
        <v>60</v>
      </c>
      <c r="V227" s="174" t="s">
        <v>60</v>
      </c>
      <c r="W227" s="174" t="s">
        <v>60</v>
      </c>
      <c r="X227" s="174" t="s">
        <v>60</v>
      </c>
      <c r="Y227" s="174" t="s">
        <v>60</v>
      </c>
      <c r="Z227" s="174" t="s">
        <v>60</v>
      </c>
      <c r="AA227" s="174" t="s">
        <v>60</v>
      </c>
      <c r="AB227" s="174" t="s">
        <v>60</v>
      </c>
      <c r="AC227" s="174">
        <v>1</v>
      </c>
      <c r="AD227" s="174" t="s">
        <v>965</v>
      </c>
      <c r="AE227" s="174"/>
      <c r="AF227" s="174"/>
      <c r="AG227" s="174"/>
      <c r="AH227" s="174"/>
      <c r="AI227" s="174"/>
      <c r="AJ227" s="174" t="s">
        <v>384</v>
      </c>
      <c r="AK227" s="174" t="s">
        <v>383</v>
      </c>
      <c r="AL227" s="174"/>
      <c r="AM227" s="181" t="s">
        <v>554</v>
      </c>
      <c r="AN227" s="192"/>
    </row>
    <row r="228" spans="1:40" s="175" customFormat="1" ht="12" customHeight="1">
      <c r="A228" s="174">
        <v>224</v>
      </c>
      <c r="B228" s="174" t="s">
        <v>97</v>
      </c>
      <c r="C228" s="174" t="s">
        <v>1512</v>
      </c>
      <c r="D228" s="174" t="s">
        <v>958</v>
      </c>
      <c r="E228" s="174" t="s">
        <v>382</v>
      </c>
      <c r="F228" s="174" t="e">
        <f>VLOOKUP(E228,'95 Chỉ tiêu'!$B$4:$F$177,2,0)</f>
        <v>#N/A</v>
      </c>
      <c r="G228" s="174" t="s">
        <v>55</v>
      </c>
      <c r="H228" s="174" t="s">
        <v>1536</v>
      </c>
      <c r="I228" s="174" t="s">
        <v>1541</v>
      </c>
      <c r="J228" s="174" t="s">
        <v>1542</v>
      </c>
      <c r="K228" s="174" t="s">
        <v>1543</v>
      </c>
      <c r="L228" s="174" t="s">
        <v>1517</v>
      </c>
      <c r="M228" s="174" t="s">
        <v>1544</v>
      </c>
      <c r="N228" s="174" t="s">
        <v>965</v>
      </c>
      <c r="O228" s="174" t="s">
        <v>1540</v>
      </c>
      <c r="P228" s="174" t="s">
        <v>967</v>
      </c>
      <c r="Q228" s="174" t="s">
        <v>874</v>
      </c>
      <c r="R228" s="174" t="s">
        <v>66</v>
      </c>
      <c r="S228" s="174" t="s">
        <v>60</v>
      </c>
      <c r="T228" s="174" t="s">
        <v>60</v>
      </c>
      <c r="U228" s="174" t="s">
        <v>60</v>
      </c>
      <c r="V228" s="174" t="s">
        <v>60</v>
      </c>
      <c r="W228" s="174" t="s">
        <v>60</v>
      </c>
      <c r="X228" s="174" t="s">
        <v>60</v>
      </c>
      <c r="Y228" s="174" t="s">
        <v>60</v>
      </c>
      <c r="Z228" s="174" t="s">
        <v>60</v>
      </c>
      <c r="AA228" s="174" t="s">
        <v>60</v>
      </c>
      <c r="AB228" s="174" t="s">
        <v>60</v>
      </c>
      <c r="AC228" s="174">
        <v>1</v>
      </c>
      <c r="AD228" s="174" t="s">
        <v>965</v>
      </c>
      <c r="AE228" s="174"/>
      <c r="AF228" s="174"/>
      <c r="AG228" s="174"/>
      <c r="AH228" s="174"/>
      <c r="AI228" s="174"/>
      <c r="AJ228" s="174" t="s">
        <v>384</v>
      </c>
      <c r="AK228" s="174" t="s">
        <v>383</v>
      </c>
      <c r="AL228" s="174"/>
      <c r="AM228" s="181" t="s">
        <v>554</v>
      </c>
      <c r="AN228" s="192"/>
    </row>
    <row r="229" spans="1:40" s="175" customFormat="1" ht="12" customHeight="1">
      <c r="A229" s="174">
        <v>225</v>
      </c>
      <c r="B229" s="174" t="s">
        <v>97</v>
      </c>
      <c r="C229" s="174" t="s">
        <v>1512</v>
      </c>
      <c r="D229" s="174" t="s">
        <v>958</v>
      </c>
      <c r="E229" s="174" t="s">
        <v>382</v>
      </c>
      <c r="F229" s="174" t="e">
        <f>VLOOKUP(E229,'95 Chỉ tiêu'!$B$4:$F$177,2,0)</f>
        <v>#N/A</v>
      </c>
      <c r="G229" s="174" t="s">
        <v>55</v>
      </c>
      <c r="H229" s="174" t="s">
        <v>1536</v>
      </c>
      <c r="I229" s="174" t="s">
        <v>1545</v>
      </c>
      <c r="J229" s="174" t="s">
        <v>1546</v>
      </c>
      <c r="K229" s="174" t="s">
        <v>1547</v>
      </c>
      <c r="L229" s="174" t="s">
        <v>1517</v>
      </c>
      <c r="M229" s="174" t="s">
        <v>1548</v>
      </c>
      <c r="N229" s="174" t="s">
        <v>965</v>
      </c>
      <c r="O229" s="174" t="s">
        <v>1540</v>
      </c>
      <c r="P229" s="174" t="s">
        <v>967</v>
      </c>
      <c r="Q229" s="174" t="s">
        <v>874</v>
      </c>
      <c r="R229" s="174" t="s">
        <v>66</v>
      </c>
      <c r="S229" s="174" t="s">
        <v>60</v>
      </c>
      <c r="T229" s="174" t="s">
        <v>60</v>
      </c>
      <c r="U229" s="174" t="s">
        <v>60</v>
      </c>
      <c r="V229" s="174" t="s">
        <v>60</v>
      </c>
      <c r="W229" s="174" t="s">
        <v>60</v>
      </c>
      <c r="X229" s="174" t="s">
        <v>60</v>
      </c>
      <c r="Y229" s="174" t="s">
        <v>60</v>
      </c>
      <c r="Z229" s="174" t="s">
        <v>60</v>
      </c>
      <c r="AA229" s="174" t="s">
        <v>60</v>
      </c>
      <c r="AB229" s="174" t="s">
        <v>60</v>
      </c>
      <c r="AC229" s="174">
        <v>1</v>
      </c>
      <c r="AD229" s="174" t="s">
        <v>965</v>
      </c>
      <c r="AE229" s="174"/>
      <c r="AF229" s="174"/>
      <c r="AG229" s="174"/>
      <c r="AH229" s="174"/>
      <c r="AI229" s="174"/>
      <c r="AJ229" s="174" t="s">
        <v>384</v>
      </c>
      <c r="AK229" s="174" t="s">
        <v>383</v>
      </c>
      <c r="AL229" s="174"/>
      <c r="AM229" s="181" t="s">
        <v>554</v>
      </c>
      <c r="AN229" s="192"/>
    </row>
    <row r="230" spans="1:40" s="175" customFormat="1" ht="12" customHeight="1">
      <c r="A230" s="174">
        <v>226</v>
      </c>
      <c r="B230" s="174" t="s">
        <v>97</v>
      </c>
      <c r="C230" s="174" t="s">
        <v>1512</v>
      </c>
      <c r="D230" s="174" t="s">
        <v>958</v>
      </c>
      <c r="E230" s="174" t="s">
        <v>382</v>
      </c>
      <c r="F230" s="174" t="e">
        <f>VLOOKUP(E230,'95 Chỉ tiêu'!$B$4:$F$177,2,0)</f>
        <v>#N/A</v>
      </c>
      <c r="G230" s="174" t="s">
        <v>55</v>
      </c>
      <c r="H230" s="174" t="s">
        <v>1536</v>
      </c>
      <c r="I230" s="174" t="s">
        <v>1549</v>
      </c>
      <c r="J230" s="174" t="s">
        <v>1550</v>
      </c>
      <c r="K230" s="174" t="s">
        <v>1551</v>
      </c>
      <c r="L230" s="174" t="s">
        <v>1517</v>
      </c>
      <c r="M230" s="174" t="s">
        <v>1552</v>
      </c>
      <c r="N230" s="174" t="s">
        <v>965</v>
      </c>
      <c r="O230" s="174" t="s">
        <v>1540</v>
      </c>
      <c r="P230" s="174" t="s">
        <v>967</v>
      </c>
      <c r="Q230" s="174" t="s">
        <v>874</v>
      </c>
      <c r="R230" s="174" t="s">
        <v>66</v>
      </c>
      <c r="S230" s="174" t="s">
        <v>60</v>
      </c>
      <c r="T230" s="174" t="s">
        <v>60</v>
      </c>
      <c r="U230" s="174" t="s">
        <v>60</v>
      </c>
      <c r="V230" s="174" t="s">
        <v>60</v>
      </c>
      <c r="W230" s="174" t="s">
        <v>60</v>
      </c>
      <c r="X230" s="174" t="s">
        <v>60</v>
      </c>
      <c r="Y230" s="174" t="s">
        <v>60</v>
      </c>
      <c r="Z230" s="174" t="s">
        <v>60</v>
      </c>
      <c r="AA230" s="174" t="s">
        <v>60</v>
      </c>
      <c r="AB230" s="174" t="s">
        <v>60</v>
      </c>
      <c r="AC230" s="174">
        <v>1</v>
      </c>
      <c r="AD230" s="174" t="s">
        <v>965</v>
      </c>
      <c r="AE230" s="174"/>
      <c r="AF230" s="174"/>
      <c r="AG230" s="174"/>
      <c r="AH230" s="174"/>
      <c r="AI230" s="174"/>
      <c r="AJ230" s="174" t="s">
        <v>384</v>
      </c>
      <c r="AK230" s="174" t="s">
        <v>383</v>
      </c>
      <c r="AL230" s="174"/>
      <c r="AM230" s="181" t="s">
        <v>554</v>
      </c>
      <c r="AN230" s="192"/>
    </row>
    <row r="231" spans="1:40" s="175" customFormat="1" ht="12" customHeight="1">
      <c r="A231" s="174">
        <v>227</v>
      </c>
      <c r="B231" s="174" t="s">
        <v>68</v>
      </c>
      <c r="C231" s="174" t="s">
        <v>1553</v>
      </c>
      <c r="D231" s="174" t="s">
        <v>539</v>
      </c>
      <c r="E231" s="174" t="s">
        <v>69</v>
      </c>
      <c r="F231" s="174" t="e">
        <f>VLOOKUP(E231,'95 Chỉ tiêu'!$B$4:$F$177,2,0)</f>
        <v>#N/A</v>
      </c>
      <c r="G231" s="174" t="s">
        <v>55</v>
      </c>
      <c r="H231" s="174" t="s">
        <v>73</v>
      </c>
      <c r="I231" s="174" t="s">
        <v>1554</v>
      </c>
      <c r="J231" s="174" t="s">
        <v>1555</v>
      </c>
      <c r="K231" s="174" t="s">
        <v>1556</v>
      </c>
      <c r="L231" s="174" t="s">
        <v>1557</v>
      </c>
      <c r="M231" s="174" t="s">
        <v>1558</v>
      </c>
      <c r="N231" s="174" t="s">
        <v>965</v>
      </c>
      <c r="O231" s="174" t="s">
        <v>1559</v>
      </c>
      <c r="P231" s="174" t="s">
        <v>71</v>
      </c>
      <c r="Q231" s="174" t="s">
        <v>1232</v>
      </c>
      <c r="R231" s="174" t="s">
        <v>1452</v>
      </c>
      <c r="S231" s="174" t="s">
        <v>60</v>
      </c>
      <c r="T231" s="174" t="s">
        <v>60</v>
      </c>
      <c r="U231" s="174" t="s">
        <v>60</v>
      </c>
      <c r="V231" s="174" t="s">
        <v>60</v>
      </c>
      <c r="W231" s="174" t="s">
        <v>60</v>
      </c>
      <c r="X231" s="174" t="s">
        <v>60</v>
      </c>
      <c r="Y231" s="174" t="s">
        <v>60</v>
      </c>
      <c r="Z231" s="174" t="s">
        <v>60</v>
      </c>
      <c r="AA231" s="174" t="s">
        <v>60</v>
      </c>
      <c r="AB231" s="174" t="s">
        <v>60</v>
      </c>
      <c r="AC231" s="174">
        <v>1</v>
      </c>
      <c r="AD231" s="174" t="s">
        <v>965</v>
      </c>
      <c r="AE231" s="174"/>
      <c r="AF231" s="174"/>
      <c r="AG231" s="174"/>
      <c r="AH231" s="174"/>
      <c r="AI231" s="174"/>
      <c r="AJ231" s="174" t="s">
        <v>1560</v>
      </c>
      <c r="AK231" s="174" t="s">
        <v>1561</v>
      </c>
      <c r="AL231" s="174"/>
      <c r="AM231" s="181" t="s">
        <v>554</v>
      </c>
      <c r="AN231" s="192"/>
    </row>
    <row r="232" spans="1:40" s="175" customFormat="1" ht="12" customHeight="1">
      <c r="A232" s="174">
        <v>228</v>
      </c>
      <c r="B232" s="174" t="s">
        <v>68</v>
      </c>
      <c r="C232" s="174" t="s">
        <v>1553</v>
      </c>
      <c r="D232" s="174" t="s">
        <v>539</v>
      </c>
      <c r="E232" s="174" t="s">
        <v>69</v>
      </c>
      <c r="F232" s="174" t="e">
        <f>VLOOKUP(E232,'95 Chỉ tiêu'!$B$4:$F$177,2,0)</f>
        <v>#N/A</v>
      </c>
      <c r="G232" s="174" t="s">
        <v>55</v>
      </c>
      <c r="H232" s="174" t="s">
        <v>73</v>
      </c>
      <c r="I232" s="174" t="s">
        <v>1562</v>
      </c>
      <c r="J232" s="174" t="s">
        <v>1563</v>
      </c>
      <c r="K232" s="174" t="s">
        <v>1564</v>
      </c>
      <c r="L232" s="174" t="s">
        <v>1557</v>
      </c>
      <c r="M232" s="174" t="s">
        <v>1565</v>
      </c>
      <c r="N232" s="174" t="s">
        <v>965</v>
      </c>
      <c r="O232" s="174" t="s">
        <v>1559</v>
      </c>
      <c r="P232" s="174" t="s">
        <v>71</v>
      </c>
      <c r="Q232" s="174" t="s">
        <v>1232</v>
      </c>
      <c r="R232" s="174" t="s">
        <v>1452</v>
      </c>
      <c r="S232" s="174" t="s">
        <v>60</v>
      </c>
      <c r="T232" s="174" t="s">
        <v>60</v>
      </c>
      <c r="U232" s="174" t="s">
        <v>60</v>
      </c>
      <c r="V232" s="174" t="s">
        <v>60</v>
      </c>
      <c r="W232" s="174" t="s">
        <v>60</v>
      </c>
      <c r="X232" s="174" t="s">
        <v>60</v>
      </c>
      <c r="Y232" s="174" t="s">
        <v>60</v>
      </c>
      <c r="Z232" s="174" t="s">
        <v>60</v>
      </c>
      <c r="AA232" s="174" t="s">
        <v>60</v>
      </c>
      <c r="AB232" s="174" t="s">
        <v>60</v>
      </c>
      <c r="AC232" s="174">
        <v>1</v>
      </c>
      <c r="AD232" s="174" t="s">
        <v>965</v>
      </c>
      <c r="AE232" s="174"/>
      <c r="AF232" s="174"/>
      <c r="AG232" s="174"/>
      <c r="AH232" s="174"/>
      <c r="AI232" s="174"/>
      <c r="AJ232" s="174" t="s">
        <v>1560</v>
      </c>
      <c r="AK232" s="174" t="s">
        <v>1561</v>
      </c>
      <c r="AL232" s="174"/>
      <c r="AM232" s="181" t="s">
        <v>1566</v>
      </c>
      <c r="AN232" s="192"/>
    </row>
    <row r="233" spans="1:40" s="175" customFormat="1" ht="12" customHeight="1">
      <c r="A233" s="174">
        <v>229</v>
      </c>
      <c r="B233" s="174" t="s">
        <v>68</v>
      </c>
      <c r="C233" s="174" t="s">
        <v>1553</v>
      </c>
      <c r="D233" s="174" t="s">
        <v>539</v>
      </c>
      <c r="E233" s="174" t="s">
        <v>69</v>
      </c>
      <c r="F233" s="174" t="e">
        <f>VLOOKUP(E233,'95 Chỉ tiêu'!$B$4:$F$177,2,0)</f>
        <v>#N/A</v>
      </c>
      <c r="G233" s="174" t="s">
        <v>55</v>
      </c>
      <c r="H233" s="174" t="s">
        <v>73</v>
      </c>
      <c r="I233" s="174" t="s">
        <v>1567</v>
      </c>
      <c r="J233" s="174" t="s">
        <v>1568</v>
      </c>
      <c r="K233" s="174" t="s">
        <v>1569</v>
      </c>
      <c r="L233" s="174" t="s">
        <v>1557</v>
      </c>
      <c r="M233" s="174" t="s">
        <v>1570</v>
      </c>
      <c r="N233" s="174" t="s">
        <v>965</v>
      </c>
      <c r="O233" s="174" t="s">
        <v>1559</v>
      </c>
      <c r="P233" s="174" t="s">
        <v>71</v>
      </c>
      <c r="Q233" s="174" t="s">
        <v>1232</v>
      </c>
      <c r="R233" s="174" t="s">
        <v>1452</v>
      </c>
      <c r="S233" s="174" t="s">
        <v>60</v>
      </c>
      <c r="T233" s="174" t="s">
        <v>60</v>
      </c>
      <c r="U233" s="174" t="s">
        <v>60</v>
      </c>
      <c r="V233" s="174" t="s">
        <v>60</v>
      </c>
      <c r="W233" s="174" t="s">
        <v>60</v>
      </c>
      <c r="X233" s="174" t="s">
        <v>60</v>
      </c>
      <c r="Y233" s="174" t="s">
        <v>60</v>
      </c>
      <c r="Z233" s="174" t="s">
        <v>60</v>
      </c>
      <c r="AA233" s="174" t="s">
        <v>60</v>
      </c>
      <c r="AB233" s="174" t="s">
        <v>60</v>
      </c>
      <c r="AC233" s="174">
        <v>1</v>
      </c>
      <c r="AD233" s="174" t="s">
        <v>965</v>
      </c>
      <c r="AE233" s="174"/>
      <c r="AF233" s="174"/>
      <c r="AG233" s="174"/>
      <c r="AH233" s="174"/>
      <c r="AI233" s="174"/>
      <c r="AJ233" s="174" t="s">
        <v>1560</v>
      </c>
      <c r="AK233" s="174" t="s">
        <v>1561</v>
      </c>
      <c r="AL233" s="174"/>
      <c r="AM233" s="181" t="s">
        <v>981</v>
      </c>
      <c r="AN233" s="192"/>
    </row>
    <row r="234" spans="1:40" s="175" customFormat="1" ht="12" customHeight="1">
      <c r="A234" s="174">
        <v>230</v>
      </c>
      <c r="B234" s="174" t="s">
        <v>68</v>
      </c>
      <c r="C234" s="174" t="s">
        <v>1553</v>
      </c>
      <c r="D234" s="174" t="s">
        <v>539</v>
      </c>
      <c r="E234" s="174" t="s">
        <v>69</v>
      </c>
      <c r="F234" s="174" t="e">
        <f>VLOOKUP(E234,'95 Chỉ tiêu'!$B$4:$F$177,2,0)</f>
        <v>#N/A</v>
      </c>
      <c r="G234" s="174" t="s">
        <v>55</v>
      </c>
      <c r="H234" s="174" t="s">
        <v>73</v>
      </c>
      <c r="I234" s="174" t="s">
        <v>1571</v>
      </c>
      <c r="J234" s="174" t="s">
        <v>1572</v>
      </c>
      <c r="K234" s="174" t="s">
        <v>1573</v>
      </c>
      <c r="L234" s="174" t="s">
        <v>1557</v>
      </c>
      <c r="M234" s="174" t="s">
        <v>1574</v>
      </c>
      <c r="N234" s="174" t="s">
        <v>965</v>
      </c>
      <c r="O234" s="174" t="s">
        <v>1559</v>
      </c>
      <c r="P234" s="174" t="s">
        <v>71</v>
      </c>
      <c r="Q234" s="174" t="s">
        <v>1232</v>
      </c>
      <c r="R234" s="174" t="s">
        <v>1452</v>
      </c>
      <c r="S234" s="174" t="s">
        <v>60</v>
      </c>
      <c r="T234" s="174" t="s">
        <v>60</v>
      </c>
      <c r="U234" s="174" t="s">
        <v>60</v>
      </c>
      <c r="V234" s="174" t="s">
        <v>60</v>
      </c>
      <c r="W234" s="174" t="s">
        <v>60</v>
      </c>
      <c r="X234" s="174" t="s">
        <v>60</v>
      </c>
      <c r="Y234" s="174" t="s">
        <v>60</v>
      </c>
      <c r="Z234" s="174" t="s">
        <v>60</v>
      </c>
      <c r="AA234" s="174" t="s">
        <v>60</v>
      </c>
      <c r="AB234" s="174" t="s">
        <v>60</v>
      </c>
      <c r="AC234" s="174">
        <v>1</v>
      </c>
      <c r="AD234" s="174" t="s">
        <v>965</v>
      </c>
      <c r="AE234" s="174"/>
      <c r="AF234" s="174"/>
      <c r="AG234" s="174"/>
      <c r="AH234" s="174"/>
      <c r="AI234" s="174"/>
      <c r="AJ234" s="174" t="s">
        <v>1560</v>
      </c>
      <c r="AK234" s="174" t="s">
        <v>1561</v>
      </c>
      <c r="AL234" s="174"/>
      <c r="AM234" s="181" t="s">
        <v>981</v>
      </c>
      <c r="AN234" s="192"/>
    </row>
    <row r="235" spans="1:40" s="175" customFormat="1" ht="12" customHeight="1">
      <c r="A235" s="174">
        <v>231</v>
      </c>
      <c r="B235" s="174" t="s">
        <v>386</v>
      </c>
      <c r="C235" s="174" t="s">
        <v>1575</v>
      </c>
      <c r="D235" s="174" t="s">
        <v>1101</v>
      </c>
      <c r="E235" s="174" t="s">
        <v>388</v>
      </c>
      <c r="F235" s="174" t="e">
        <f>VLOOKUP(E235,'95 Chỉ tiêu'!$B$4:$F$177,2,0)</f>
        <v>#N/A</v>
      </c>
      <c r="G235" s="174" t="s">
        <v>55</v>
      </c>
      <c r="H235" s="174" t="s">
        <v>1576</v>
      </c>
      <c r="I235" s="174" t="s">
        <v>1577</v>
      </c>
      <c r="J235" s="174" t="s">
        <v>1578</v>
      </c>
      <c r="K235" s="174" t="s">
        <v>1579</v>
      </c>
      <c r="L235" s="174" t="s">
        <v>1580</v>
      </c>
      <c r="M235" s="174" t="s">
        <v>1581</v>
      </c>
      <c r="N235" s="174" t="s">
        <v>60</v>
      </c>
      <c r="O235" s="174" t="s">
        <v>1582</v>
      </c>
      <c r="P235" s="174" t="s">
        <v>1108</v>
      </c>
      <c r="Q235" s="174" t="s">
        <v>1232</v>
      </c>
      <c r="R235" s="174" t="s">
        <v>1583</v>
      </c>
      <c r="S235" s="174" t="s">
        <v>60</v>
      </c>
      <c r="T235" s="174" t="s">
        <v>60</v>
      </c>
      <c r="U235" s="174" t="s">
        <v>60</v>
      </c>
      <c r="V235" s="174" t="s">
        <v>60</v>
      </c>
      <c r="W235" s="174" t="s">
        <v>60</v>
      </c>
      <c r="X235" s="174" t="s">
        <v>60</v>
      </c>
      <c r="Y235" s="174" t="s">
        <v>60</v>
      </c>
      <c r="Z235" s="174" t="s">
        <v>60</v>
      </c>
      <c r="AA235" s="174" t="s">
        <v>60</v>
      </c>
      <c r="AB235" s="174" t="s">
        <v>60</v>
      </c>
      <c r="AC235" s="174">
        <v>1</v>
      </c>
      <c r="AD235" s="174"/>
      <c r="AE235" s="174"/>
      <c r="AF235" s="174"/>
      <c r="AG235" s="174"/>
      <c r="AH235" s="174"/>
      <c r="AI235" s="174"/>
      <c r="AJ235" s="174" t="s">
        <v>1576</v>
      </c>
      <c r="AK235" s="174" t="s">
        <v>1584</v>
      </c>
      <c r="AL235" s="174"/>
      <c r="AM235" s="181" t="s">
        <v>554</v>
      </c>
      <c r="AN235" s="192"/>
    </row>
    <row r="236" spans="1:40" s="175" customFormat="1" ht="12" customHeight="1">
      <c r="A236" s="174">
        <v>232</v>
      </c>
      <c r="B236" s="174" t="s">
        <v>386</v>
      </c>
      <c r="C236" s="174" t="s">
        <v>1575</v>
      </c>
      <c r="D236" s="174" t="s">
        <v>1101</v>
      </c>
      <c r="E236" s="174" t="s">
        <v>388</v>
      </c>
      <c r="F236" s="174" t="e">
        <f>VLOOKUP(E236,'95 Chỉ tiêu'!$B$4:$F$177,2,0)</f>
        <v>#N/A</v>
      </c>
      <c r="G236" s="174" t="s">
        <v>55</v>
      </c>
      <c r="H236" s="174" t="s">
        <v>1576</v>
      </c>
      <c r="I236" s="174" t="s">
        <v>1585</v>
      </c>
      <c r="J236" s="174" t="s">
        <v>1586</v>
      </c>
      <c r="K236" s="174" t="s">
        <v>1587</v>
      </c>
      <c r="L236" s="174" t="s">
        <v>1580</v>
      </c>
      <c r="M236" s="174" t="s">
        <v>1588</v>
      </c>
      <c r="N236" s="174" t="s">
        <v>60</v>
      </c>
      <c r="O236" s="174" t="s">
        <v>1582</v>
      </c>
      <c r="P236" s="174" t="s">
        <v>1108</v>
      </c>
      <c r="Q236" s="174" t="s">
        <v>1232</v>
      </c>
      <c r="R236" s="174" t="s">
        <v>1583</v>
      </c>
      <c r="S236" s="174" t="s">
        <v>60</v>
      </c>
      <c r="T236" s="174" t="s">
        <v>60</v>
      </c>
      <c r="U236" s="174" t="s">
        <v>60</v>
      </c>
      <c r="V236" s="174" t="s">
        <v>60</v>
      </c>
      <c r="W236" s="174" t="s">
        <v>60</v>
      </c>
      <c r="X236" s="174" t="s">
        <v>60</v>
      </c>
      <c r="Y236" s="174" t="s">
        <v>60</v>
      </c>
      <c r="Z236" s="174" t="s">
        <v>60</v>
      </c>
      <c r="AA236" s="174" t="s">
        <v>60</v>
      </c>
      <c r="AB236" s="174" t="s">
        <v>60</v>
      </c>
      <c r="AC236" s="174">
        <v>1</v>
      </c>
      <c r="AD236" s="174"/>
      <c r="AE236" s="174"/>
      <c r="AF236" s="174"/>
      <c r="AG236" s="174"/>
      <c r="AH236" s="174"/>
      <c r="AI236" s="174"/>
      <c r="AJ236" s="174" t="s">
        <v>1576</v>
      </c>
      <c r="AK236" s="174" t="s">
        <v>1584</v>
      </c>
      <c r="AL236" s="174"/>
      <c r="AM236" s="181" t="s">
        <v>554</v>
      </c>
      <c r="AN236" s="192"/>
    </row>
    <row r="237" spans="1:40" s="175" customFormat="1" ht="12" customHeight="1">
      <c r="A237" s="174">
        <v>233</v>
      </c>
      <c r="B237" s="174" t="s">
        <v>386</v>
      </c>
      <c r="C237" s="174" t="s">
        <v>1575</v>
      </c>
      <c r="D237" s="174" t="s">
        <v>1101</v>
      </c>
      <c r="E237" s="174" t="s">
        <v>388</v>
      </c>
      <c r="F237" s="174" t="e">
        <f>VLOOKUP(E237,'95 Chỉ tiêu'!$B$4:$F$177,2,0)</f>
        <v>#N/A</v>
      </c>
      <c r="G237" s="174" t="s">
        <v>55</v>
      </c>
      <c r="H237" s="174" t="s">
        <v>1576</v>
      </c>
      <c r="I237" s="174" t="s">
        <v>1589</v>
      </c>
      <c r="J237" s="174" t="s">
        <v>1590</v>
      </c>
      <c r="K237" s="174" t="s">
        <v>1591</v>
      </c>
      <c r="L237" s="174" t="s">
        <v>1580</v>
      </c>
      <c r="M237" s="174" t="s">
        <v>1592</v>
      </c>
      <c r="N237" s="174" t="s">
        <v>60</v>
      </c>
      <c r="O237" s="174" t="s">
        <v>1582</v>
      </c>
      <c r="P237" s="174" t="s">
        <v>1108</v>
      </c>
      <c r="Q237" s="174" t="s">
        <v>1232</v>
      </c>
      <c r="R237" s="174" t="s">
        <v>1583</v>
      </c>
      <c r="S237" s="174" t="s">
        <v>60</v>
      </c>
      <c r="T237" s="174" t="s">
        <v>60</v>
      </c>
      <c r="U237" s="174" t="s">
        <v>60</v>
      </c>
      <c r="V237" s="174" t="s">
        <v>60</v>
      </c>
      <c r="W237" s="174" t="s">
        <v>60</v>
      </c>
      <c r="X237" s="174" t="s">
        <v>60</v>
      </c>
      <c r="Y237" s="174" t="s">
        <v>60</v>
      </c>
      <c r="Z237" s="174" t="s">
        <v>60</v>
      </c>
      <c r="AA237" s="174" t="s">
        <v>60</v>
      </c>
      <c r="AB237" s="174" t="s">
        <v>60</v>
      </c>
      <c r="AC237" s="174">
        <v>1</v>
      </c>
      <c r="AD237" s="174"/>
      <c r="AE237" s="174"/>
      <c r="AF237" s="174"/>
      <c r="AG237" s="174"/>
      <c r="AH237" s="174"/>
      <c r="AI237" s="174"/>
      <c r="AJ237" s="174" t="s">
        <v>1576</v>
      </c>
      <c r="AK237" s="174" t="s">
        <v>1584</v>
      </c>
      <c r="AL237" s="174"/>
      <c r="AM237" s="181" t="s">
        <v>554</v>
      </c>
      <c r="AN237" s="192"/>
    </row>
    <row r="238" spans="1:40" s="175" customFormat="1" ht="12" customHeight="1">
      <c r="A238" s="174">
        <v>234</v>
      </c>
      <c r="B238" s="174" t="s">
        <v>386</v>
      </c>
      <c r="C238" s="174" t="s">
        <v>1575</v>
      </c>
      <c r="D238" s="174" t="s">
        <v>1101</v>
      </c>
      <c r="E238" s="174" t="s">
        <v>388</v>
      </c>
      <c r="F238" s="174" t="e">
        <f>VLOOKUP(E238,'95 Chỉ tiêu'!$B$4:$F$177,2,0)</f>
        <v>#N/A</v>
      </c>
      <c r="G238" s="174" t="s">
        <v>55</v>
      </c>
      <c r="H238" s="174" t="s">
        <v>1576</v>
      </c>
      <c r="I238" s="174" t="s">
        <v>1593</v>
      </c>
      <c r="J238" s="174" t="s">
        <v>1594</v>
      </c>
      <c r="K238" s="174" t="s">
        <v>1595</v>
      </c>
      <c r="L238" s="174" t="s">
        <v>1580</v>
      </c>
      <c r="M238" s="174" t="s">
        <v>1596</v>
      </c>
      <c r="N238" s="174" t="s">
        <v>60</v>
      </c>
      <c r="O238" s="174" t="s">
        <v>1582</v>
      </c>
      <c r="P238" s="174" t="s">
        <v>1108</v>
      </c>
      <c r="Q238" s="174" t="s">
        <v>1232</v>
      </c>
      <c r="R238" s="174" t="s">
        <v>1583</v>
      </c>
      <c r="S238" s="174" t="s">
        <v>60</v>
      </c>
      <c r="T238" s="174" t="s">
        <v>60</v>
      </c>
      <c r="U238" s="174" t="s">
        <v>60</v>
      </c>
      <c r="V238" s="174" t="s">
        <v>60</v>
      </c>
      <c r="W238" s="174" t="s">
        <v>60</v>
      </c>
      <c r="X238" s="174" t="s">
        <v>60</v>
      </c>
      <c r="Y238" s="174" t="s">
        <v>60</v>
      </c>
      <c r="Z238" s="174" t="s">
        <v>549</v>
      </c>
      <c r="AA238" s="174" t="s">
        <v>60</v>
      </c>
      <c r="AB238" s="174" t="s">
        <v>60</v>
      </c>
      <c r="AC238" s="174">
        <v>1</v>
      </c>
      <c r="AD238" s="174"/>
      <c r="AE238" s="174"/>
      <c r="AF238" s="174"/>
      <c r="AG238" s="174"/>
      <c r="AH238" s="174"/>
      <c r="AI238" s="174"/>
      <c r="AJ238" s="174" t="s">
        <v>1576</v>
      </c>
      <c r="AK238" s="174" t="s">
        <v>1584</v>
      </c>
      <c r="AL238" s="174"/>
      <c r="AM238" s="181" t="s">
        <v>991</v>
      </c>
      <c r="AN238" s="192"/>
    </row>
    <row r="239" spans="1:40" s="175" customFormat="1" ht="12" customHeight="1">
      <c r="A239" s="174">
        <v>235</v>
      </c>
      <c r="B239" s="174" t="s">
        <v>386</v>
      </c>
      <c r="C239" s="174" t="s">
        <v>1575</v>
      </c>
      <c r="D239" s="174" t="s">
        <v>1101</v>
      </c>
      <c r="E239" s="174" t="s">
        <v>388</v>
      </c>
      <c r="F239" s="174" t="e">
        <f>VLOOKUP(E239,'95 Chỉ tiêu'!$B$4:$F$177,2,0)</f>
        <v>#N/A</v>
      </c>
      <c r="G239" s="174" t="s">
        <v>55</v>
      </c>
      <c r="H239" s="174" t="s">
        <v>1576</v>
      </c>
      <c r="I239" s="174" t="s">
        <v>1597</v>
      </c>
      <c r="J239" s="174" t="s">
        <v>1598</v>
      </c>
      <c r="K239" s="174" t="s">
        <v>1599</v>
      </c>
      <c r="L239" s="174" t="s">
        <v>1580</v>
      </c>
      <c r="M239" s="174" t="s">
        <v>1600</v>
      </c>
      <c r="N239" s="174" t="s">
        <v>60</v>
      </c>
      <c r="O239" s="174" t="s">
        <v>1582</v>
      </c>
      <c r="P239" s="174" t="s">
        <v>1108</v>
      </c>
      <c r="Q239" s="174" t="s">
        <v>1232</v>
      </c>
      <c r="R239" s="174" t="s">
        <v>1583</v>
      </c>
      <c r="S239" s="174" t="s">
        <v>60</v>
      </c>
      <c r="T239" s="174" t="s">
        <v>60</v>
      </c>
      <c r="U239" s="174" t="s">
        <v>60</v>
      </c>
      <c r="V239" s="174" t="s">
        <v>60</v>
      </c>
      <c r="W239" s="174" t="s">
        <v>60</v>
      </c>
      <c r="X239" s="174" t="s">
        <v>60</v>
      </c>
      <c r="Y239" s="174" t="s">
        <v>60</v>
      </c>
      <c r="Z239" s="174" t="s">
        <v>60</v>
      </c>
      <c r="AA239" s="174" t="s">
        <v>60</v>
      </c>
      <c r="AB239" s="174" t="s">
        <v>60</v>
      </c>
      <c r="AC239" s="174">
        <v>1</v>
      </c>
      <c r="AD239" s="174"/>
      <c r="AE239" s="174"/>
      <c r="AF239" s="174"/>
      <c r="AG239" s="174"/>
      <c r="AH239" s="174"/>
      <c r="AI239" s="174"/>
      <c r="AJ239" s="174" t="s">
        <v>1576</v>
      </c>
      <c r="AK239" s="174" t="s">
        <v>1584</v>
      </c>
      <c r="AL239" s="174"/>
      <c r="AM239" s="181" t="s">
        <v>582</v>
      </c>
      <c r="AN239" s="192"/>
    </row>
    <row r="240" spans="1:40" s="175" customFormat="1" ht="12" customHeight="1">
      <c r="A240" s="174">
        <v>236</v>
      </c>
      <c r="B240" s="174" t="s">
        <v>117</v>
      </c>
      <c r="C240" s="174" t="s">
        <v>1601</v>
      </c>
      <c r="D240" s="174" t="s">
        <v>958</v>
      </c>
      <c r="E240" s="174" t="s">
        <v>134</v>
      </c>
      <c r="F240" s="174" t="e">
        <f>VLOOKUP(E240,'95 Chỉ tiêu'!$B$4:$F$177,2,0)</f>
        <v>#N/A</v>
      </c>
      <c r="G240" s="174" t="s">
        <v>135</v>
      </c>
      <c r="H240" s="174" t="s">
        <v>1602</v>
      </c>
      <c r="I240" s="174" t="s">
        <v>1603</v>
      </c>
      <c r="J240" s="174" t="s">
        <v>1604</v>
      </c>
      <c r="K240" s="174" t="s">
        <v>1605</v>
      </c>
      <c r="L240" s="174" t="s">
        <v>1606</v>
      </c>
      <c r="M240" s="174"/>
      <c r="N240" s="174"/>
      <c r="O240" s="176" t="s">
        <v>1607</v>
      </c>
      <c r="P240" s="174" t="s">
        <v>1608</v>
      </c>
      <c r="Q240" s="174"/>
      <c r="R240" s="174"/>
      <c r="S240" s="174"/>
      <c r="T240" s="174"/>
      <c r="U240" s="174"/>
      <c r="V240" s="174"/>
      <c r="W240" s="174"/>
      <c r="X240" s="174"/>
      <c r="Y240" s="174"/>
      <c r="Z240" s="174"/>
      <c r="AA240" s="174"/>
      <c r="AB240" s="174"/>
      <c r="AC240" s="174"/>
      <c r="AD240" s="174"/>
      <c r="AE240" s="174"/>
      <c r="AF240" s="174"/>
      <c r="AG240" s="174"/>
      <c r="AH240" s="174"/>
      <c r="AI240" s="174"/>
      <c r="AJ240" s="174" t="s">
        <v>1602</v>
      </c>
      <c r="AK240" s="174"/>
      <c r="AL240" s="174"/>
      <c r="AM240" s="181" t="s">
        <v>554</v>
      </c>
      <c r="AN240" s="192"/>
    </row>
    <row r="241" spans="1:40" s="175" customFormat="1" ht="12" customHeight="1">
      <c r="A241" s="174">
        <v>237</v>
      </c>
      <c r="B241" s="174" t="s">
        <v>117</v>
      </c>
      <c r="C241" s="174" t="s">
        <v>1601</v>
      </c>
      <c r="D241" s="174" t="s">
        <v>958</v>
      </c>
      <c r="E241" s="174" t="s">
        <v>134</v>
      </c>
      <c r="F241" s="174" t="e">
        <f>VLOOKUP(E241,'95 Chỉ tiêu'!$B$4:$F$177,2,0)</f>
        <v>#N/A</v>
      </c>
      <c r="G241" s="174" t="s">
        <v>135</v>
      </c>
      <c r="H241" s="174" t="s">
        <v>1602</v>
      </c>
      <c r="I241" s="174" t="s">
        <v>1609</v>
      </c>
      <c r="J241" s="174" t="s">
        <v>1610</v>
      </c>
      <c r="K241" s="174" t="s">
        <v>1611</v>
      </c>
      <c r="L241" s="174" t="s">
        <v>1606</v>
      </c>
      <c r="M241" s="174"/>
      <c r="N241" s="174"/>
      <c r="O241" s="176" t="s">
        <v>1607</v>
      </c>
      <c r="P241" s="174" t="s">
        <v>967</v>
      </c>
      <c r="Q241" s="174"/>
      <c r="R241" s="174"/>
      <c r="S241" s="174"/>
      <c r="T241" s="174"/>
      <c r="U241" s="174"/>
      <c r="V241" s="174"/>
      <c r="W241" s="174"/>
      <c r="X241" s="174"/>
      <c r="Y241" s="174"/>
      <c r="Z241" s="174"/>
      <c r="AA241" s="174"/>
      <c r="AB241" s="174"/>
      <c r="AC241" s="174"/>
      <c r="AD241" s="174"/>
      <c r="AE241" s="174"/>
      <c r="AF241" s="174"/>
      <c r="AG241" s="174"/>
      <c r="AH241" s="174"/>
      <c r="AI241" s="174"/>
      <c r="AJ241" s="174" t="s">
        <v>1602</v>
      </c>
      <c r="AK241" s="174"/>
      <c r="AL241" s="174"/>
      <c r="AM241" s="181" t="s">
        <v>554</v>
      </c>
      <c r="AN241" s="192"/>
    </row>
    <row r="242" spans="1:40" s="175" customFormat="1" ht="12" customHeight="1">
      <c r="A242" s="174">
        <v>238</v>
      </c>
      <c r="B242" s="174" t="s">
        <v>117</v>
      </c>
      <c r="C242" s="174" t="s">
        <v>1601</v>
      </c>
      <c r="D242" s="174" t="s">
        <v>958</v>
      </c>
      <c r="E242" s="174" t="s">
        <v>134</v>
      </c>
      <c r="F242" s="174" t="e">
        <f>VLOOKUP(E242,'95 Chỉ tiêu'!$B$4:$F$177,2,0)</f>
        <v>#N/A</v>
      </c>
      <c r="G242" s="174" t="s">
        <v>135</v>
      </c>
      <c r="H242" s="174" t="s">
        <v>1602</v>
      </c>
      <c r="I242" s="174" t="s">
        <v>1612</v>
      </c>
      <c r="J242" s="174" t="s">
        <v>1613</v>
      </c>
      <c r="K242" s="174" t="s">
        <v>1614</v>
      </c>
      <c r="L242" s="174" t="s">
        <v>1606</v>
      </c>
      <c r="M242" s="174"/>
      <c r="N242" s="174"/>
      <c r="O242" s="176" t="s">
        <v>1607</v>
      </c>
      <c r="P242" s="174" t="s">
        <v>1608</v>
      </c>
      <c r="Q242" s="174"/>
      <c r="R242" s="174"/>
      <c r="S242" s="174"/>
      <c r="T242" s="174"/>
      <c r="U242" s="174"/>
      <c r="V242" s="174"/>
      <c r="W242" s="174"/>
      <c r="X242" s="174"/>
      <c r="Y242" s="174"/>
      <c r="Z242" s="174"/>
      <c r="AA242" s="174"/>
      <c r="AB242" s="174"/>
      <c r="AC242" s="174"/>
      <c r="AD242" s="174"/>
      <c r="AE242" s="174"/>
      <c r="AF242" s="174"/>
      <c r="AG242" s="174"/>
      <c r="AH242" s="174"/>
      <c r="AI242" s="174"/>
      <c r="AJ242" s="174" t="s">
        <v>1602</v>
      </c>
      <c r="AK242" s="174"/>
      <c r="AL242" s="174"/>
      <c r="AM242" s="181" t="s">
        <v>554</v>
      </c>
      <c r="AN242" s="192"/>
    </row>
    <row r="243" spans="1:40" s="175" customFormat="1" ht="12" customHeight="1">
      <c r="A243" s="174">
        <v>239</v>
      </c>
      <c r="B243" s="174" t="s">
        <v>117</v>
      </c>
      <c r="C243" s="174" t="s">
        <v>1601</v>
      </c>
      <c r="D243" s="174" t="s">
        <v>958</v>
      </c>
      <c r="E243" s="174" t="s">
        <v>134</v>
      </c>
      <c r="F243" s="174" t="e">
        <f>VLOOKUP(E243,'95 Chỉ tiêu'!$B$4:$F$177,2,0)</f>
        <v>#N/A</v>
      </c>
      <c r="G243" s="174" t="s">
        <v>135</v>
      </c>
      <c r="H243" s="174" t="s">
        <v>1602</v>
      </c>
      <c r="I243" s="174" t="s">
        <v>1615</v>
      </c>
      <c r="J243" s="174" t="s">
        <v>1616</v>
      </c>
      <c r="K243" s="174" t="s">
        <v>1617</v>
      </c>
      <c r="L243" s="174" t="s">
        <v>1606</v>
      </c>
      <c r="M243" s="174"/>
      <c r="N243" s="174"/>
      <c r="O243" s="176" t="s">
        <v>1607</v>
      </c>
      <c r="P243" s="174" t="s">
        <v>967</v>
      </c>
      <c r="Q243" s="174"/>
      <c r="R243" s="174"/>
      <c r="S243" s="174"/>
      <c r="T243" s="174"/>
      <c r="U243" s="174"/>
      <c r="V243" s="174"/>
      <c r="W243" s="174"/>
      <c r="X243" s="174"/>
      <c r="Y243" s="174"/>
      <c r="Z243" s="174"/>
      <c r="AA243" s="174"/>
      <c r="AB243" s="174"/>
      <c r="AC243" s="174"/>
      <c r="AD243" s="174"/>
      <c r="AE243" s="174"/>
      <c r="AF243" s="174"/>
      <c r="AG243" s="174"/>
      <c r="AH243" s="174"/>
      <c r="AI243" s="174"/>
      <c r="AJ243" s="174" t="s">
        <v>1602</v>
      </c>
      <c r="AK243" s="174"/>
      <c r="AL243" s="174"/>
      <c r="AM243" s="181" t="s">
        <v>554</v>
      </c>
      <c r="AN243" s="192"/>
    </row>
    <row r="244" spans="1:40" s="175" customFormat="1" ht="12" customHeight="1">
      <c r="A244" s="174">
        <v>240</v>
      </c>
      <c r="B244" s="174" t="s">
        <v>117</v>
      </c>
      <c r="C244" s="174" t="s">
        <v>1601</v>
      </c>
      <c r="D244" s="174" t="s">
        <v>958</v>
      </c>
      <c r="E244" s="174" t="s">
        <v>134</v>
      </c>
      <c r="F244" s="174" t="e">
        <f>VLOOKUP(E244,'95 Chỉ tiêu'!$B$4:$F$177,2,0)</f>
        <v>#N/A</v>
      </c>
      <c r="G244" s="174" t="s">
        <v>135</v>
      </c>
      <c r="H244" s="174" t="s">
        <v>1602</v>
      </c>
      <c r="I244" s="174" t="s">
        <v>1618</v>
      </c>
      <c r="J244" s="174" t="s">
        <v>1619</v>
      </c>
      <c r="K244" s="174" t="s">
        <v>1620</v>
      </c>
      <c r="L244" s="174" t="s">
        <v>1606</v>
      </c>
      <c r="M244" s="174"/>
      <c r="N244" s="174"/>
      <c r="O244" s="176" t="s">
        <v>1607</v>
      </c>
      <c r="P244" s="174" t="s">
        <v>1608</v>
      </c>
      <c r="Q244" s="174"/>
      <c r="R244" s="174"/>
      <c r="S244" s="174"/>
      <c r="T244" s="174"/>
      <c r="U244" s="174"/>
      <c r="V244" s="174"/>
      <c r="W244" s="174"/>
      <c r="X244" s="174"/>
      <c r="Y244" s="174"/>
      <c r="Z244" s="174"/>
      <c r="AA244" s="174"/>
      <c r="AB244" s="174"/>
      <c r="AC244" s="174"/>
      <c r="AD244" s="174"/>
      <c r="AE244" s="174"/>
      <c r="AF244" s="174"/>
      <c r="AG244" s="174"/>
      <c r="AH244" s="174"/>
      <c r="AI244" s="174"/>
      <c r="AJ244" s="174" t="s">
        <v>1602</v>
      </c>
      <c r="AK244" s="174"/>
      <c r="AL244" s="174"/>
      <c r="AM244" s="181" t="s">
        <v>554</v>
      </c>
      <c r="AN244" s="192"/>
    </row>
    <row r="245" spans="1:40" s="175" customFormat="1" ht="12" customHeight="1">
      <c r="A245" s="174">
        <v>241</v>
      </c>
      <c r="B245" s="174" t="s">
        <v>117</v>
      </c>
      <c r="C245" s="174" t="s">
        <v>1601</v>
      </c>
      <c r="D245" s="174" t="s">
        <v>958</v>
      </c>
      <c r="E245" s="174" t="s">
        <v>134</v>
      </c>
      <c r="F245" s="174" t="e">
        <f>VLOOKUP(E245,'95 Chỉ tiêu'!$B$4:$F$177,2,0)</f>
        <v>#N/A</v>
      </c>
      <c r="G245" s="174" t="s">
        <v>135</v>
      </c>
      <c r="H245" s="174" t="s">
        <v>1602</v>
      </c>
      <c r="I245" s="174" t="s">
        <v>1621</v>
      </c>
      <c r="J245" s="182" t="s">
        <v>1622</v>
      </c>
      <c r="K245" s="182" t="s">
        <v>1623</v>
      </c>
      <c r="L245" s="182" t="s">
        <v>1606</v>
      </c>
      <c r="M245" s="182"/>
      <c r="N245" s="182"/>
      <c r="O245" s="176" t="s">
        <v>1607</v>
      </c>
      <c r="P245" s="174" t="s">
        <v>967</v>
      </c>
      <c r="Q245" s="182"/>
      <c r="R245" s="182"/>
      <c r="S245" s="182"/>
      <c r="T245" s="182"/>
      <c r="U245" s="182"/>
      <c r="V245" s="182"/>
      <c r="W245" s="182"/>
      <c r="X245" s="182"/>
      <c r="Y245" s="182"/>
      <c r="Z245" s="182"/>
      <c r="AA245" s="182"/>
      <c r="AB245" s="182"/>
      <c r="AC245" s="182"/>
      <c r="AD245" s="182"/>
      <c r="AE245" s="182"/>
      <c r="AF245" s="182"/>
      <c r="AG245" s="182"/>
      <c r="AH245" s="182"/>
      <c r="AI245" s="182"/>
      <c r="AJ245" s="182" t="s">
        <v>1602</v>
      </c>
      <c r="AK245" s="182"/>
      <c r="AL245" s="182"/>
      <c r="AM245" s="194" t="s">
        <v>554</v>
      </c>
      <c r="AN245" s="192"/>
    </row>
    <row r="246" spans="1:40" ht="12.75" customHeight="1">
      <c r="A246" s="174">
        <v>242</v>
      </c>
      <c r="B246" s="174" t="s">
        <v>117</v>
      </c>
      <c r="C246" s="174" t="s">
        <v>1601</v>
      </c>
      <c r="D246" s="174" t="s">
        <v>958</v>
      </c>
      <c r="E246" s="174" t="s">
        <v>134</v>
      </c>
      <c r="F246" s="174" t="e">
        <f>VLOOKUP(E246,'95 Chỉ tiêu'!$B$4:$F$177,2,0)</f>
        <v>#N/A</v>
      </c>
      <c r="G246" s="174" t="s">
        <v>135</v>
      </c>
      <c r="H246" s="174" t="s">
        <v>1602</v>
      </c>
      <c r="I246" s="181" t="s">
        <v>1624</v>
      </c>
      <c r="J246" s="179" t="s">
        <v>1625</v>
      </c>
      <c r="K246" s="179" t="s">
        <v>1626</v>
      </c>
      <c r="L246" s="182" t="s">
        <v>1606</v>
      </c>
      <c r="M246" s="179"/>
      <c r="N246" s="179"/>
      <c r="O246" s="185" t="s">
        <v>1627</v>
      </c>
      <c r="P246" s="185" t="s">
        <v>1628</v>
      </c>
      <c r="Q246" s="179"/>
      <c r="R246" s="179"/>
      <c r="S246" s="179"/>
      <c r="T246" s="179"/>
      <c r="U246" s="179"/>
      <c r="V246" s="179"/>
      <c r="W246" s="179"/>
      <c r="X246" s="179"/>
      <c r="Y246" s="179"/>
      <c r="Z246" s="179"/>
      <c r="AA246" s="179"/>
      <c r="AB246" s="179"/>
      <c r="AC246" s="179"/>
      <c r="AD246" s="179"/>
      <c r="AE246" s="179"/>
      <c r="AF246" s="179"/>
      <c r="AG246" s="179"/>
      <c r="AH246" s="179"/>
      <c r="AI246" s="179"/>
      <c r="AJ246" s="182" t="s">
        <v>1602</v>
      </c>
      <c r="AK246" s="180"/>
      <c r="AL246" s="180"/>
      <c r="AM246" s="195" t="s">
        <v>582</v>
      </c>
      <c r="AN246" s="180"/>
    </row>
    <row r="247" spans="1:40" ht="12.75" customHeight="1">
      <c r="A247" s="174">
        <v>243</v>
      </c>
      <c r="B247" s="174" t="s">
        <v>117</v>
      </c>
      <c r="C247" s="174" t="s">
        <v>1601</v>
      </c>
      <c r="D247" s="174" t="s">
        <v>958</v>
      </c>
      <c r="E247" s="174" t="s">
        <v>134</v>
      </c>
      <c r="F247" s="174" t="e">
        <f>VLOOKUP(E247,'95 Chỉ tiêu'!$B$4:$F$177,2,0)</f>
        <v>#N/A</v>
      </c>
      <c r="G247" s="174" t="s">
        <v>135</v>
      </c>
      <c r="H247" s="174" t="s">
        <v>1602</v>
      </c>
      <c r="I247" s="181" t="s">
        <v>1629</v>
      </c>
      <c r="J247" s="179" t="s">
        <v>1630</v>
      </c>
      <c r="K247" s="183" t="s">
        <v>1631</v>
      </c>
      <c r="L247" s="174" t="s">
        <v>1606</v>
      </c>
      <c r="M247" s="184"/>
      <c r="N247" s="179"/>
      <c r="O247" s="185" t="s">
        <v>1627</v>
      </c>
      <c r="P247" s="185" t="s">
        <v>1628</v>
      </c>
      <c r="Q247" s="183"/>
      <c r="R247" s="184"/>
      <c r="S247" s="179"/>
      <c r="T247" s="179"/>
      <c r="U247" s="179"/>
      <c r="V247" s="179"/>
      <c r="W247" s="179"/>
      <c r="X247" s="179"/>
      <c r="Y247" s="179"/>
      <c r="Z247" s="179"/>
      <c r="AA247" s="179"/>
      <c r="AB247" s="179"/>
      <c r="AC247" s="179"/>
      <c r="AD247" s="179"/>
      <c r="AE247" s="179"/>
      <c r="AF247" s="179"/>
      <c r="AG247" s="179"/>
      <c r="AH247" s="179"/>
      <c r="AI247" s="183"/>
      <c r="AJ247" s="174" t="s">
        <v>1602</v>
      </c>
      <c r="AK247" s="184"/>
      <c r="AL247" s="179"/>
      <c r="AM247" s="183" t="s">
        <v>981</v>
      </c>
      <c r="AN247" s="180"/>
    </row>
  </sheetData>
  <autoFilter ref="A2:AJ247" xr:uid="{D295ED08-4A4B-4180-B4E3-CA22E0FAAAAF}"/>
  <mergeCells count="2">
    <mergeCell ref="AF1:AI1"/>
    <mergeCell ref="AN1:AN2"/>
  </mergeCells>
  <hyperlinks>
    <hyperlink ref="AD3" r:id="rId1" location="gid=1875964009" xr:uid="{DFE44C04-77B2-43F2-B7EE-455808215882}"/>
    <hyperlink ref="AD4" r:id="rId2" xr:uid="{1DB3ED1B-6F56-4BD7-A2B7-8169116D5799}"/>
    <hyperlink ref="AD7" r:id="rId3" xr:uid="{0AA63D2B-3EB3-4649-B1AB-20F64198A96B}"/>
    <hyperlink ref="AD18" r:id="rId4" location="gid=1875964009" xr:uid="{0A1C41E4-567F-4FE4-B48D-95006852A2D1}"/>
  </hyperlinks>
  <pageMargins left="0.7" right="0.7" top="0.75" bottom="0.75" header="0.3" footer="0.3"/>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E9CF7-9E6C-499B-9955-EF64B7E64726}">
  <dimension ref="A1:I25"/>
  <sheetViews>
    <sheetView zoomScale="70" zoomScaleNormal="70" workbookViewId="0">
      <pane ySplit="3" topLeftCell="A4" activePane="bottomLeft" state="frozen"/>
      <selection pane="bottomLeft" activeCell="F3" sqref="F3"/>
    </sheetView>
  </sheetViews>
  <sheetFormatPr defaultColWidth="62" defaultRowHeight="12.6"/>
  <cols>
    <col min="1" max="1" width="6.85546875" style="198" customWidth="1"/>
    <col min="2" max="2" width="12" style="198" customWidth="1"/>
    <col min="3" max="4" width="24.28515625" style="198" customWidth="1"/>
    <col min="5" max="5" width="11" style="198" customWidth="1"/>
    <col min="6" max="6" width="73" style="198" customWidth="1"/>
    <col min="7" max="7" width="83" style="198" customWidth="1"/>
    <col min="8" max="8" width="50.42578125" style="198" customWidth="1"/>
    <col min="9" max="9" width="12.85546875" style="199" customWidth="1"/>
    <col min="10" max="16384" width="62" style="198"/>
  </cols>
  <sheetData>
    <row r="1" spans="1:9" ht="24" customHeight="1">
      <c r="A1" s="324" t="s">
        <v>1632</v>
      </c>
      <c r="B1" s="324"/>
      <c r="C1" s="324"/>
      <c r="D1" s="324"/>
      <c r="E1" s="324"/>
      <c r="F1" s="324"/>
      <c r="G1" s="324"/>
      <c r="H1" s="324"/>
      <c r="I1" s="324"/>
    </row>
    <row r="2" spans="1:9" ht="24" customHeight="1" thickBot="1">
      <c r="A2" s="221"/>
    </row>
    <row r="3" spans="1:9" s="199" customFormat="1" ht="45" customHeight="1">
      <c r="A3" s="218" t="s">
        <v>23</v>
      </c>
      <c r="B3" s="218" t="s">
        <v>422</v>
      </c>
      <c r="C3" s="218" t="s">
        <v>423</v>
      </c>
      <c r="D3" s="218" t="s">
        <v>424</v>
      </c>
      <c r="E3" s="220" t="s">
        <v>1633</v>
      </c>
      <c r="F3" s="219" t="s">
        <v>1634</v>
      </c>
      <c r="G3" s="219" t="s">
        <v>429</v>
      </c>
      <c r="H3" s="218" t="s">
        <v>1635</v>
      </c>
      <c r="I3" s="218" t="s">
        <v>1636</v>
      </c>
    </row>
    <row r="4" spans="1:9" s="217" customFormat="1" ht="219" customHeight="1">
      <c r="A4" s="207">
        <f t="shared" ref="A4:A25" si="0">ROW()-3</f>
        <v>1</v>
      </c>
      <c r="B4" s="214" t="s">
        <v>198</v>
      </c>
      <c r="C4" s="213" t="s">
        <v>200</v>
      </c>
      <c r="D4" s="212" t="s">
        <v>199</v>
      </c>
      <c r="E4" s="203" t="s">
        <v>61</v>
      </c>
      <c r="F4" s="210" t="s">
        <v>458</v>
      </c>
      <c r="G4" s="209" t="s">
        <v>1637</v>
      </c>
      <c r="H4" s="209" t="s">
        <v>1638</v>
      </c>
      <c r="I4" s="208"/>
    </row>
    <row r="5" spans="1:9" ht="128.1">
      <c r="A5" s="207">
        <f t="shared" si="0"/>
        <v>2</v>
      </c>
      <c r="B5" s="206" t="s">
        <v>147</v>
      </c>
      <c r="C5" s="205" t="s">
        <v>149</v>
      </c>
      <c r="D5" s="204" t="s">
        <v>148</v>
      </c>
      <c r="E5" s="203" t="s">
        <v>61</v>
      </c>
      <c r="F5" s="202" t="s">
        <v>1639</v>
      </c>
      <c r="G5" s="201" t="s">
        <v>461</v>
      </c>
      <c r="H5" s="201" t="s">
        <v>1640</v>
      </c>
      <c r="I5" s="200"/>
    </row>
    <row r="6" spans="1:9" ht="63.95">
      <c r="A6" s="207">
        <f t="shared" si="0"/>
        <v>3</v>
      </c>
      <c r="B6" s="214" t="s">
        <v>150</v>
      </c>
      <c r="C6" s="213" t="s">
        <v>1239</v>
      </c>
      <c r="D6" s="212" t="s">
        <v>151</v>
      </c>
      <c r="E6" s="203" t="s">
        <v>61</v>
      </c>
      <c r="F6" s="210" t="s">
        <v>1641</v>
      </c>
      <c r="G6" s="209" t="s">
        <v>463</v>
      </c>
      <c r="H6" s="209" t="s">
        <v>1642</v>
      </c>
      <c r="I6" s="208"/>
    </row>
    <row r="7" spans="1:9" ht="204.6" customHeight="1">
      <c r="A7" s="207">
        <f t="shared" si="0"/>
        <v>4</v>
      </c>
      <c r="B7" s="206" t="s">
        <v>153</v>
      </c>
      <c r="C7" s="205" t="s">
        <v>146</v>
      </c>
      <c r="D7" s="204" t="s">
        <v>154</v>
      </c>
      <c r="E7" s="203" t="s">
        <v>61</v>
      </c>
      <c r="F7" s="202" t="s">
        <v>1643</v>
      </c>
      <c r="G7" s="201" t="s">
        <v>465</v>
      </c>
      <c r="H7" s="201" t="s">
        <v>1644</v>
      </c>
      <c r="I7" s="200"/>
    </row>
    <row r="8" spans="1:9" ht="192">
      <c r="A8" s="207">
        <f t="shared" si="0"/>
        <v>5</v>
      </c>
      <c r="B8" s="214" t="s">
        <v>156</v>
      </c>
      <c r="C8" s="213" t="s">
        <v>1645</v>
      </c>
      <c r="D8" s="212" t="s">
        <v>157</v>
      </c>
      <c r="E8" s="203" t="s">
        <v>61</v>
      </c>
      <c r="F8" s="210" t="s">
        <v>1646</v>
      </c>
      <c r="G8" s="209" t="s">
        <v>467</v>
      </c>
      <c r="H8" s="209" t="s">
        <v>1647</v>
      </c>
      <c r="I8" s="208"/>
    </row>
    <row r="9" spans="1:9" ht="111.95">
      <c r="A9" s="207">
        <f t="shared" si="0"/>
        <v>6</v>
      </c>
      <c r="B9" s="214" t="s">
        <v>159</v>
      </c>
      <c r="C9" s="213" t="s">
        <v>1648</v>
      </c>
      <c r="D9" s="212" t="s">
        <v>160</v>
      </c>
      <c r="E9" s="203" t="s">
        <v>61</v>
      </c>
      <c r="F9" s="210" t="s">
        <v>1649</v>
      </c>
      <c r="G9" s="209" t="s">
        <v>469</v>
      </c>
      <c r="H9" s="209" t="s">
        <v>1650</v>
      </c>
      <c r="I9" s="208" t="s">
        <v>1651</v>
      </c>
    </row>
    <row r="10" spans="1:9" ht="368.1">
      <c r="A10" s="207">
        <f t="shared" si="0"/>
        <v>7</v>
      </c>
      <c r="B10" s="206" t="s">
        <v>161</v>
      </c>
      <c r="C10" s="205" t="s">
        <v>163</v>
      </c>
      <c r="D10" s="204" t="s">
        <v>162</v>
      </c>
      <c r="E10" s="203" t="s">
        <v>61</v>
      </c>
      <c r="F10" s="202" t="s">
        <v>1652</v>
      </c>
      <c r="G10" s="201" t="s">
        <v>471</v>
      </c>
      <c r="H10" s="201" t="s">
        <v>1653</v>
      </c>
      <c r="I10" s="200"/>
    </row>
    <row r="11" spans="1:9" ht="166.9" customHeight="1">
      <c r="A11" s="207">
        <f t="shared" si="0"/>
        <v>8</v>
      </c>
      <c r="B11" s="214" t="s">
        <v>164</v>
      </c>
      <c r="C11" s="213" t="s">
        <v>1654</v>
      </c>
      <c r="D11" s="212" t="s">
        <v>165</v>
      </c>
      <c r="E11" s="203" t="s">
        <v>61</v>
      </c>
      <c r="F11" s="210" t="s">
        <v>1655</v>
      </c>
      <c r="G11" s="209" t="s">
        <v>473</v>
      </c>
      <c r="H11" s="209" t="s">
        <v>1656</v>
      </c>
      <c r="I11" s="208" t="s">
        <v>1442</v>
      </c>
    </row>
    <row r="12" spans="1:9" ht="63.95">
      <c r="A12" s="207">
        <f t="shared" si="0"/>
        <v>9</v>
      </c>
      <c r="B12" s="214" t="s">
        <v>166</v>
      </c>
      <c r="C12" s="213" t="s">
        <v>1657</v>
      </c>
      <c r="D12" s="212" t="s">
        <v>167</v>
      </c>
      <c r="E12" s="216" t="s">
        <v>61</v>
      </c>
      <c r="F12" s="210" t="s">
        <v>474</v>
      </c>
      <c r="G12" s="209" t="s">
        <v>475</v>
      </c>
      <c r="H12" s="209" t="s">
        <v>1658</v>
      </c>
      <c r="I12" s="208" t="s">
        <v>1442</v>
      </c>
    </row>
    <row r="13" spans="1:9" ht="111.95">
      <c r="A13" s="207">
        <f t="shared" si="0"/>
        <v>10</v>
      </c>
      <c r="B13" s="206" t="s">
        <v>168</v>
      </c>
      <c r="C13" s="205" t="s">
        <v>1659</v>
      </c>
      <c r="D13" s="204" t="s">
        <v>169</v>
      </c>
      <c r="E13" s="216" t="s">
        <v>61</v>
      </c>
      <c r="F13" s="202" t="s">
        <v>1660</v>
      </c>
      <c r="G13" s="201" t="s">
        <v>477</v>
      </c>
      <c r="H13" s="201" t="s">
        <v>1661</v>
      </c>
      <c r="I13" s="200" t="s">
        <v>1442</v>
      </c>
    </row>
    <row r="14" spans="1:9" ht="303.95">
      <c r="A14" s="207">
        <f t="shared" si="0"/>
        <v>11</v>
      </c>
      <c r="B14" s="214" t="s">
        <v>172</v>
      </c>
      <c r="C14" s="213" t="s">
        <v>174</v>
      </c>
      <c r="D14" s="212" t="s">
        <v>173</v>
      </c>
      <c r="E14" s="203" t="s">
        <v>61</v>
      </c>
      <c r="F14" s="210" t="s">
        <v>1662</v>
      </c>
      <c r="G14" s="209" t="s">
        <v>479</v>
      </c>
      <c r="H14" s="209" t="s">
        <v>1663</v>
      </c>
      <c r="I14" s="208"/>
    </row>
    <row r="15" spans="1:9" ht="250.9" customHeight="1">
      <c r="A15" s="207">
        <f t="shared" si="0"/>
        <v>12</v>
      </c>
      <c r="B15" s="206" t="s">
        <v>175</v>
      </c>
      <c r="C15" s="205" t="s">
        <v>1664</v>
      </c>
      <c r="D15" s="204" t="s">
        <v>176</v>
      </c>
      <c r="E15" s="203" t="s">
        <v>61</v>
      </c>
      <c r="F15" s="202" t="s">
        <v>1665</v>
      </c>
      <c r="G15" s="201" t="s">
        <v>481</v>
      </c>
      <c r="H15" s="201" t="s">
        <v>1666</v>
      </c>
      <c r="I15" s="200" t="s">
        <v>1442</v>
      </c>
    </row>
    <row r="16" spans="1:9" ht="207.95">
      <c r="A16" s="207">
        <f t="shared" si="0"/>
        <v>13</v>
      </c>
      <c r="B16" s="214" t="s">
        <v>177</v>
      </c>
      <c r="C16" s="213" t="s">
        <v>1667</v>
      </c>
      <c r="D16" s="212" t="s">
        <v>178</v>
      </c>
      <c r="E16" s="203" t="s">
        <v>61</v>
      </c>
      <c r="F16" s="210" t="s">
        <v>1668</v>
      </c>
      <c r="G16" s="209" t="s">
        <v>483</v>
      </c>
      <c r="H16" s="209" t="s">
        <v>1669</v>
      </c>
      <c r="I16" s="208" t="s">
        <v>1442</v>
      </c>
    </row>
    <row r="17" spans="1:9" ht="198" customHeight="1">
      <c r="A17" s="207">
        <f t="shared" si="0"/>
        <v>14</v>
      </c>
      <c r="B17" s="206" t="s">
        <v>179</v>
      </c>
      <c r="C17" s="205" t="s">
        <v>181</v>
      </c>
      <c r="D17" s="204" t="s">
        <v>180</v>
      </c>
      <c r="E17" s="203" t="s">
        <v>61</v>
      </c>
      <c r="F17" s="202" t="s">
        <v>1670</v>
      </c>
      <c r="G17" s="201" t="s">
        <v>485</v>
      </c>
      <c r="H17" s="201" t="s">
        <v>1671</v>
      </c>
      <c r="I17" s="200"/>
    </row>
    <row r="18" spans="1:9" ht="192">
      <c r="A18" s="207">
        <f t="shared" si="0"/>
        <v>15</v>
      </c>
      <c r="B18" s="214" t="s">
        <v>182</v>
      </c>
      <c r="C18" s="213" t="s">
        <v>1672</v>
      </c>
      <c r="D18" s="212" t="s">
        <v>183</v>
      </c>
      <c r="E18" s="215" t="s">
        <v>72</v>
      </c>
      <c r="F18" s="210" t="s">
        <v>1673</v>
      </c>
      <c r="G18" s="209" t="s">
        <v>487</v>
      </c>
      <c r="H18" s="209" t="s">
        <v>1674</v>
      </c>
      <c r="I18" s="208" t="s">
        <v>1442</v>
      </c>
    </row>
    <row r="19" spans="1:9" ht="322.14999999999998" customHeight="1">
      <c r="A19" s="207">
        <f t="shared" si="0"/>
        <v>16</v>
      </c>
      <c r="B19" s="206" t="s">
        <v>184</v>
      </c>
      <c r="C19" s="205" t="s">
        <v>186</v>
      </c>
      <c r="D19" s="204" t="s">
        <v>185</v>
      </c>
      <c r="E19" s="203" t="s">
        <v>61</v>
      </c>
      <c r="F19" s="202" t="s">
        <v>1675</v>
      </c>
      <c r="G19" s="201" t="s">
        <v>489</v>
      </c>
      <c r="H19" s="201" t="s">
        <v>1676</v>
      </c>
      <c r="I19" s="200"/>
    </row>
    <row r="20" spans="1:9" ht="320.10000000000002">
      <c r="A20" s="207">
        <f t="shared" si="0"/>
        <v>17</v>
      </c>
      <c r="B20" s="214" t="s">
        <v>287</v>
      </c>
      <c r="C20" s="213" t="s">
        <v>289</v>
      </c>
      <c r="D20" s="212" t="s">
        <v>288</v>
      </c>
      <c r="E20" s="203" t="s">
        <v>61</v>
      </c>
      <c r="F20" s="210" t="s">
        <v>1677</v>
      </c>
      <c r="G20" s="209" t="s">
        <v>491</v>
      </c>
      <c r="H20" s="209" t="s">
        <v>1678</v>
      </c>
      <c r="I20" s="208"/>
    </row>
    <row r="21" spans="1:9" ht="303.95">
      <c r="A21" s="207">
        <f t="shared" si="0"/>
        <v>18</v>
      </c>
      <c r="B21" s="206" t="s">
        <v>118</v>
      </c>
      <c r="C21" s="205" t="s">
        <v>122</v>
      </c>
      <c r="D21" s="204" t="s">
        <v>121</v>
      </c>
      <c r="E21" s="203" t="s">
        <v>61</v>
      </c>
      <c r="F21" s="202" t="s">
        <v>1679</v>
      </c>
      <c r="G21" s="202" t="s">
        <v>1680</v>
      </c>
      <c r="H21" s="201" t="s">
        <v>1681</v>
      </c>
      <c r="I21" s="200"/>
    </row>
    <row r="22" spans="1:9" ht="269.45" customHeight="1">
      <c r="A22" s="207">
        <f t="shared" si="0"/>
        <v>19</v>
      </c>
      <c r="B22" s="214" t="s">
        <v>138</v>
      </c>
      <c r="C22" s="213" t="s">
        <v>140</v>
      </c>
      <c r="D22" s="212" t="s">
        <v>139</v>
      </c>
      <c r="E22" s="203" t="s">
        <v>61</v>
      </c>
      <c r="F22" s="210" t="s">
        <v>1682</v>
      </c>
      <c r="G22" s="209" t="s">
        <v>495</v>
      </c>
      <c r="H22" s="209" t="s">
        <v>1683</v>
      </c>
      <c r="I22" s="208"/>
    </row>
    <row r="23" spans="1:9" ht="207.95">
      <c r="A23" s="207">
        <f t="shared" si="0"/>
        <v>20</v>
      </c>
      <c r="B23" s="206" t="s">
        <v>141</v>
      </c>
      <c r="C23" s="205" t="s">
        <v>143</v>
      </c>
      <c r="D23" s="204" t="s">
        <v>142</v>
      </c>
      <c r="E23" s="211" t="s">
        <v>72</v>
      </c>
      <c r="F23" s="202" t="s">
        <v>1684</v>
      </c>
      <c r="G23" s="201" t="s">
        <v>497</v>
      </c>
      <c r="H23" s="201" t="s">
        <v>1685</v>
      </c>
      <c r="I23" s="200"/>
    </row>
    <row r="24" spans="1:9" ht="110.45" customHeight="1">
      <c r="A24" s="207">
        <f t="shared" si="0"/>
        <v>21</v>
      </c>
      <c r="B24" s="214" t="s">
        <v>144</v>
      </c>
      <c r="C24" s="213" t="s">
        <v>146</v>
      </c>
      <c r="D24" s="212" t="s">
        <v>145</v>
      </c>
      <c r="E24" s="211" t="s">
        <v>72</v>
      </c>
      <c r="F24" s="210" t="s">
        <v>1686</v>
      </c>
      <c r="G24" s="209" t="s">
        <v>499</v>
      </c>
      <c r="H24" s="209" t="s">
        <v>1687</v>
      </c>
      <c r="I24" s="208"/>
    </row>
    <row r="25" spans="1:9" ht="128.1">
      <c r="A25" s="207">
        <f t="shared" si="0"/>
        <v>22</v>
      </c>
      <c r="B25" s="206" t="s">
        <v>356</v>
      </c>
      <c r="C25" s="205" t="s">
        <v>358</v>
      </c>
      <c r="D25" s="204" t="s">
        <v>357</v>
      </c>
      <c r="E25" s="203" t="s">
        <v>61</v>
      </c>
      <c r="F25" s="202" t="s">
        <v>1688</v>
      </c>
      <c r="G25" s="201" t="s">
        <v>501</v>
      </c>
      <c r="H25" s="201" t="s">
        <v>1689</v>
      </c>
      <c r="I25" s="200"/>
    </row>
  </sheetData>
  <autoFilter ref="A3:I25" xr:uid="{00000000-0009-0000-0000-000000000000}"/>
  <mergeCells count="1">
    <mergeCell ref="A1:I1"/>
  </mergeCells>
  <conditionalFormatting sqref="E4:F25">
    <cfRule type="cellIs" dxfId="3" priority="3" operator="equal">
      <formula>"Yes"</formula>
    </cfRule>
    <cfRule type="cellIs" dxfId="2" priority="4" operator="equal">
      <formula>"No"</formula>
    </cfRule>
  </conditionalFormatting>
  <conditionalFormatting sqref="G21">
    <cfRule type="cellIs" dxfId="1" priority="1" operator="equal">
      <formula>"Yes"</formula>
    </cfRule>
    <cfRule type="cellIs" dxfId="0" priority="2" operator="equal">
      <formula>"No"</formula>
    </cfRule>
  </conditionalFormatting>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963"/>
  <sheetViews>
    <sheetView zoomScaleNormal="100" workbookViewId="0">
      <pane xSplit="8" ySplit="1" topLeftCell="M8" activePane="bottomRight" state="frozen"/>
      <selection pane="bottomRight" activeCell="H152" sqref="H152:H156"/>
      <selection pane="bottomLeft" activeCell="A5" sqref="A5"/>
      <selection pane="topRight" activeCell="G1" sqref="G1"/>
    </sheetView>
  </sheetViews>
  <sheetFormatPr defaultColWidth="12.7109375" defaultRowHeight="15.75" customHeight="1"/>
  <cols>
    <col min="1" max="1" width="6.140625" style="37" customWidth="1"/>
    <col min="2" max="2" width="16.42578125" style="8" customWidth="1"/>
    <col min="3" max="3" width="11.7109375" style="7" customWidth="1"/>
    <col min="4" max="4" width="12.85546875" style="8" customWidth="1"/>
    <col min="5" max="5" width="14.85546875" style="8" customWidth="1"/>
    <col min="6" max="6" width="26.7109375" style="8" customWidth="1"/>
    <col min="7" max="7" width="23.85546875" style="8" customWidth="1"/>
    <col min="8" max="8" width="39.28515625" style="7" customWidth="1"/>
    <col min="9" max="9" width="22.85546875" style="7" bestFit="1" customWidth="1"/>
    <col min="10" max="10" width="14.5703125" style="152" customWidth="1"/>
    <col min="11" max="11" width="14.7109375" style="7" bestFit="1" customWidth="1"/>
    <col min="12" max="12" width="202.42578125" style="2" customWidth="1"/>
    <col min="13" max="13" width="36.5703125" style="7" customWidth="1"/>
    <col min="14" max="14" width="23.42578125" style="7" customWidth="1"/>
    <col min="15" max="15" width="20" style="7" customWidth="1"/>
    <col min="16" max="16384" width="12.7109375" style="7"/>
  </cols>
  <sheetData>
    <row r="1" spans="1:15" s="2" customFormat="1" ht="15.75" customHeight="1">
      <c r="A1" s="156" t="s">
        <v>23</v>
      </c>
      <c r="B1" s="157" t="s">
        <v>1690</v>
      </c>
      <c r="C1" s="158" t="s">
        <v>25</v>
      </c>
      <c r="D1" s="157" t="s">
        <v>1691</v>
      </c>
      <c r="E1" s="157" t="s">
        <v>421</v>
      </c>
      <c r="F1" s="157" t="s">
        <v>506</v>
      </c>
      <c r="G1" s="157" t="s">
        <v>507</v>
      </c>
      <c r="H1" s="158" t="s">
        <v>1692</v>
      </c>
      <c r="I1" s="159" t="s">
        <v>41</v>
      </c>
      <c r="J1" s="160" t="s">
        <v>44</v>
      </c>
      <c r="K1" s="158" t="s">
        <v>514</v>
      </c>
      <c r="L1" s="154" t="s">
        <v>1693</v>
      </c>
      <c r="M1" s="154" t="s">
        <v>1694</v>
      </c>
      <c r="N1" s="155" t="s">
        <v>1695</v>
      </c>
      <c r="O1" s="155" t="s">
        <v>1696</v>
      </c>
    </row>
    <row r="2" spans="1:15" s="2" customFormat="1" ht="15.75" customHeight="1">
      <c r="A2" s="34">
        <v>1</v>
      </c>
      <c r="B2" s="9" t="s">
        <v>219</v>
      </c>
      <c r="C2" s="10" t="s">
        <v>538</v>
      </c>
      <c r="D2" s="9" t="s">
        <v>209</v>
      </c>
      <c r="E2" s="9" t="e">
        <f>VLOOKUP(D2,'95 Chỉ tiêu'!$B$4:$F$177,2,0)</f>
        <v>#N/A</v>
      </c>
      <c r="F2" s="9" t="s">
        <v>111</v>
      </c>
      <c r="G2" s="9" t="s">
        <v>210</v>
      </c>
      <c r="H2" s="11" t="s">
        <v>542</v>
      </c>
      <c r="I2" s="153"/>
      <c r="J2" s="9" t="s">
        <v>1697</v>
      </c>
      <c r="K2" s="11" t="s">
        <v>1698</v>
      </c>
      <c r="L2" s="12"/>
      <c r="M2" s="13" t="s">
        <v>1699</v>
      </c>
      <c r="N2" s="12" t="s">
        <v>1700</v>
      </c>
      <c r="O2" s="12" t="s">
        <v>1701</v>
      </c>
    </row>
    <row r="3" spans="1:15" s="2" customFormat="1" ht="15.75" customHeight="1">
      <c r="A3" s="35">
        <v>1.1000000000000001</v>
      </c>
      <c r="B3" s="9"/>
      <c r="C3" s="15"/>
      <c r="D3" s="9"/>
      <c r="E3" s="9"/>
      <c r="F3" s="9"/>
      <c r="G3" s="9"/>
      <c r="H3" s="11" t="s">
        <v>557</v>
      </c>
      <c r="I3" s="11"/>
      <c r="J3" s="9"/>
      <c r="K3" s="11" t="s">
        <v>1698</v>
      </c>
      <c r="L3" s="12" t="s">
        <v>1702</v>
      </c>
      <c r="M3" s="15"/>
      <c r="N3" s="12" t="s">
        <v>782</v>
      </c>
      <c r="O3" s="12" t="s">
        <v>1701</v>
      </c>
    </row>
    <row r="4" spans="1:15" s="2" customFormat="1" ht="15.75" customHeight="1">
      <c r="A4" s="35">
        <v>1.2</v>
      </c>
      <c r="B4" s="9"/>
      <c r="C4" s="15"/>
      <c r="D4" s="9"/>
      <c r="E4" s="9"/>
      <c r="F4" s="9"/>
      <c r="G4" s="9"/>
      <c r="H4" s="11" t="s">
        <v>566</v>
      </c>
      <c r="I4" s="11"/>
      <c r="J4" s="9"/>
      <c r="K4" s="11" t="s">
        <v>1698</v>
      </c>
      <c r="L4" s="12" t="s">
        <v>1703</v>
      </c>
      <c r="M4" s="15"/>
      <c r="N4" s="12" t="s">
        <v>782</v>
      </c>
      <c r="O4" s="12" t="s">
        <v>1701</v>
      </c>
    </row>
    <row r="5" spans="1:15" s="2" customFormat="1" ht="15.75" customHeight="1">
      <c r="A5" s="35">
        <v>1.3</v>
      </c>
      <c r="B5" s="9"/>
      <c r="C5" s="15"/>
      <c r="D5" s="9"/>
      <c r="E5" s="9"/>
      <c r="F5" s="9"/>
      <c r="G5" s="9"/>
      <c r="H5" s="11" t="s">
        <v>585</v>
      </c>
      <c r="I5" s="11"/>
      <c r="J5" s="9"/>
      <c r="K5" s="11" t="s">
        <v>795</v>
      </c>
      <c r="L5" s="12" t="s">
        <v>1704</v>
      </c>
      <c r="M5" s="15"/>
      <c r="N5" s="12" t="s">
        <v>782</v>
      </c>
      <c r="O5" s="12" t="s">
        <v>1701</v>
      </c>
    </row>
    <row r="6" spans="1:15" s="2" customFormat="1" ht="15.75" customHeight="1">
      <c r="A6" s="35">
        <v>1.4</v>
      </c>
      <c r="B6" s="9"/>
      <c r="C6" s="15"/>
      <c r="D6" s="9"/>
      <c r="E6" s="9"/>
      <c r="F6" s="9"/>
      <c r="G6" s="9"/>
      <c r="H6" s="11" t="s">
        <v>575</v>
      </c>
      <c r="I6" s="11"/>
      <c r="J6" s="9"/>
      <c r="K6" s="11" t="s">
        <v>795</v>
      </c>
      <c r="L6" s="12" t="s">
        <v>577</v>
      </c>
      <c r="M6" s="15"/>
      <c r="N6" s="12" t="s">
        <v>782</v>
      </c>
      <c r="O6" s="12" t="s">
        <v>1701</v>
      </c>
    </row>
    <row r="7" spans="1:15" s="2" customFormat="1" ht="15.75" customHeight="1">
      <c r="A7" s="35">
        <v>1.5</v>
      </c>
      <c r="B7" s="9"/>
      <c r="C7" s="15"/>
      <c r="D7" s="9"/>
      <c r="E7" s="9"/>
      <c r="F7" s="9"/>
      <c r="G7" s="9"/>
      <c r="H7" s="11" t="s">
        <v>1705</v>
      </c>
      <c r="I7" s="11"/>
      <c r="J7" s="9"/>
      <c r="K7" s="11" t="s">
        <v>1698</v>
      </c>
      <c r="L7" s="12"/>
      <c r="M7" s="15"/>
      <c r="N7" s="12" t="s">
        <v>1706</v>
      </c>
      <c r="O7" s="12" t="s">
        <v>1701</v>
      </c>
    </row>
    <row r="8" spans="1:15" s="2" customFormat="1" ht="15.75" customHeight="1">
      <c r="A8" s="35">
        <v>1.6</v>
      </c>
      <c r="B8" s="9"/>
      <c r="C8" s="15"/>
      <c r="D8" s="9"/>
      <c r="E8" s="9"/>
      <c r="F8" s="9"/>
      <c r="G8" s="9"/>
      <c r="H8" s="11" t="s">
        <v>603</v>
      </c>
      <c r="I8" s="11"/>
      <c r="J8" s="9"/>
      <c r="K8" s="11" t="s">
        <v>1698</v>
      </c>
      <c r="L8" s="12"/>
      <c r="M8" s="15"/>
      <c r="N8" s="12" t="s">
        <v>1706</v>
      </c>
      <c r="O8" s="12" t="s">
        <v>1701</v>
      </c>
    </row>
    <row r="9" spans="1:15" s="2" customFormat="1" ht="15.75" customHeight="1">
      <c r="A9" s="35">
        <v>1.7</v>
      </c>
      <c r="B9" s="9"/>
      <c r="C9" s="15"/>
      <c r="D9" s="9"/>
      <c r="E9" s="9"/>
      <c r="F9" s="9"/>
      <c r="G9" s="9"/>
      <c r="H9" s="11" t="s">
        <v>612</v>
      </c>
      <c r="I9" s="11"/>
      <c r="J9" s="9"/>
      <c r="K9" s="11" t="s">
        <v>1698</v>
      </c>
      <c r="L9" s="12"/>
      <c r="M9" s="15"/>
      <c r="N9" s="12" t="s">
        <v>1707</v>
      </c>
      <c r="O9" s="12"/>
    </row>
    <row r="10" spans="1:15" s="2" customFormat="1" ht="15.75" customHeight="1">
      <c r="A10" s="35">
        <v>1.8</v>
      </c>
      <c r="B10" s="9"/>
      <c r="C10" s="15"/>
      <c r="D10" s="9"/>
      <c r="E10" s="9"/>
      <c r="F10" s="9"/>
      <c r="G10" s="9"/>
      <c r="H10" s="11" t="s">
        <v>616</v>
      </c>
      <c r="I10" s="11"/>
      <c r="J10" s="9"/>
      <c r="K10" s="11" t="s">
        <v>1698</v>
      </c>
      <c r="L10" s="12"/>
      <c r="M10" s="15"/>
      <c r="N10" s="12" t="s">
        <v>782</v>
      </c>
      <c r="O10" s="12"/>
    </row>
    <row r="11" spans="1:15" s="2" customFormat="1" ht="15.75" customHeight="1">
      <c r="A11" s="34">
        <v>2</v>
      </c>
      <c r="B11" s="9" t="s">
        <v>219</v>
      </c>
      <c r="C11" s="10" t="s">
        <v>538</v>
      </c>
      <c r="D11" s="9" t="s">
        <v>222</v>
      </c>
      <c r="E11" s="9" t="e">
        <f>VLOOKUP(D11,'95 Chỉ tiêu'!$B$4:$F$177,2,0)</f>
        <v>#N/A</v>
      </c>
      <c r="F11" s="9" t="s">
        <v>111</v>
      </c>
      <c r="G11" s="9" t="s">
        <v>618</v>
      </c>
      <c r="H11" s="11" t="s">
        <v>621</v>
      </c>
      <c r="I11" s="11"/>
      <c r="J11" s="9"/>
      <c r="K11" s="11" t="s">
        <v>1698</v>
      </c>
      <c r="L11" s="12" t="s">
        <v>1708</v>
      </c>
      <c r="M11" s="13" t="s">
        <v>1699</v>
      </c>
      <c r="N11" s="12" t="s">
        <v>1709</v>
      </c>
      <c r="O11" s="12"/>
    </row>
    <row r="12" spans="1:15" s="2" customFormat="1" ht="15.75" customHeight="1">
      <c r="A12" s="35">
        <v>2.1</v>
      </c>
      <c r="B12" s="9"/>
      <c r="C12" s="15"/>
      <c r="D12" s="9"/>
      <c r="E12" s="9"/>
      <c r="F12" s="9"/>
      <c r="G12" s="9"/>
      <c r="H12" s="11" t="s">
        <v>627</v>
      </c>
      <c r="I12" s="11"/>
      <c r="J12" s="9"/>
      <c r="K12" s="11" t="s">
        <v>1710</v>
      </c>
      <c r="L12" s="12"/>
      <c r="M12" s="15"/>
      <c r="N12" s="12" t="s">
        <v>1709</v>
      </c>
      <c r="O12" s="12"/>
    </row>
    <row r="13" spans="1:15" s="2" customFormat="1" ht="15.75" customHeight="1">
      <c r="A13" s="35">
        <v>2.2000000000000002</v>
      </c>
      <c r="B13" s="9"/>
      <c r="C13" s="15"/>
      <c r="D13" s="9"/>
      <c r="E13" s="9"/>
      <c r="F13" s="9"/>
      <c r="G13" s="9"/>
      <c r="H13" s="11" t="s">
        <v>634</v>
      </c>
      <c r="I13" s="11"/>
      <c r="J13" s="9"/>
      <c r="K13" s="11" t="s">
        <v>1711</v>
      </c>
      <c r="L13" s="12" t="s">
        <v>1712</v>
      </c>
      <c r="M13" s="15"/>
      <c r="N13" s="12" t="s">
        <v>1709</v>
      </c>
      <c r="O13" s="12"/>
    </row>
    <row r="14" spans="1:15" s="2" customFormat="1" ht="15.75" customHeight="1">
      <c r="A14" s="35">
        <v>2.2999999999999998</v>
      </c>
      <c r="B14" s="9"/>
      <c r="C14" s="15"/>
      <c r="D14" s="9"/>
      <c r="E14" s="9"/>
      <c r="F14" s="9"/>
      <c r="G14" s="9"/>
      <c r="H14" s="11" t="s">
        <v>642</v>
      </c>
      <c r="I14" s="11"/>
      <c r="J14" s="9"/>
      <c r="K14" s="11" t="s">
        <v>1698</v>
      </c>
      <c r="L14" s="12"/>
      <c r="M14" s="15"/>
      <c r="N14" s="12" t="s">
        <v>1709</v>
      </c>
      <c r="O14" s="12"/>
    </row>
    <row r="15" spans="1:15" s="2" customFormat="1" ht="15.75" customHeight="1">
      <c r="A15" s="35">
        <v>2.4</v>
      </c>
      <c r="B15" s="9"/>
      <c r="C15" s="15"/>
      <c r="D15" s="9"/>
      <c r="E15" s="9"/>
      <c r="F15" s="9"/>
      <c r="G15" s="9"/>
      <c r="H15" s="11" t="s">
        <v>648</v>
      </c>
      <c r="I15" s="11"/>
      <c r="J15" s="9"/>
      <c r="K15" s="11" t="s">
        <v>1710</v>
      </c>
      <c r="L15" s="12"/>
      <c r="M15" s="15"/>
      <c r="N15" s="12" t="s">
        <v>1709</v>
      </c>
      <c r="O15" s="12"/>
    </row>
    <row r="16" spans="1:15" s="2" customFormat="1" ht="15.75" customHeight="1">
      <c r="A16" s="35">
        <v>2.5</v>
      </c>
      <c r="B16" s="9"/>
      <c r="C16" s="15"/>
      <c r="D16" s="9"/>
      <c r="E16" s="9"/>
      <c r="F16" s="9"/>
      <c r="G16" s="9"/>
      <c r="H16" s="11" t="s">
        <v>653</v>
      </c>
      <c r="I16" s="11"/>
      <c r="J16" s="9"/>
      <c r="K16" s="11" t="s">
        <v>1698</v>
      </c>
      <c r="L16" s="12"/>
      <c r="M16" s="15"/>
      <c r="N16" s="12" t="s">
        <v>1709</v>
      </c>
      <c r="O16" s="12"/>
    </row>
    <row r="17" spans="1:15" s="2" customFormat="1" ht="15.75" customHeight="1">
      <c r="A17" s="34">
        <v>3</v>
      </c>
      <c r="B17" s="9" t="s">
        <v>219</v>
      </c>
      <c r="C17" s="10" t="s">
        <v>538</v>
      </c>
      <c r="D17" s="9" t="s">
        <v>248</v>
      </c>
      <c r="E17" s="9" t="e">
        <f>VLOOKUP(D17,'95 Chỉ tiêu'!$B$4:$F$177,2,0)</f>
        <v>#N/A</v>
      </c>
      <c r="F17" s="9" t="s">
        <v>111</v>
      </c>
      <c r="G17" s="9" t="s">
        <v>249</v>
      </c>
      <c r="H17" s="11" t="s">
        <v>659</v>
      </c>
      <c r="I17" s="11"/>
      <c r="J17" s="9"/>
      <c r="K17" s="11" t="s">
        <v>781</v>
      </c>
      <c r="L17" s="12" t="s">
        <v>1713</v>
      </c>
      <c r="M17" s="13" t="s">
        <v>1714</v>
      </c>
      <c r="N17" s="12" t="s">
        <v>1700</v>
      </c>
      <c r="O17" s="12"/>
    </row>
    <row r="18" spans="1:15" s="2" customFormat="1" ht="15.75" customHeight="1">
      <c r="A18" s="35">
        <v>3.1</v>
      </c>
      <c r="B18" s="14"/>
      <c r="C18" s="15"/>
      <c r="D18" s="14"/>
      <c r="E18" s="9"/>
      <c r="F18" s="9"/>
      <c r="G18" s="14"/>
      <c r="H18" s="11" t="s">
        <v>666</v>
      </c>
      <c r="I18" s="11"/>
      <c r="J18" s="9"/>
      <c r="K18" s="11" t="s">
        <v>1711</v>
      </c>
      <c r="L18" s="12" t="s">
        <v>1715</v>
      </c>
      <c r="M18" s="15"/>
      <c r="N18" s="12" t="s">
        <v>1707</v>
      </c>
      <c r="O18" s="12"/>
    </row>
    <row r="19" spans="1:15" s="2" customFormat="1" ht="15.75" customHeight="1">
      <c r="A19" s="35">
        <v>3.2</v>
      </c>
      <c r="B19" s="14"/>
      <c r="C19" s="15"/>
      <c r="D19" s="14"/>
      <c r="E19" s="9"/>
      <c r="F19" s="9"/>
      <c r="G19" s="14"/>
      <c r="H19" s="11" t="s">
        <v>672</v>
      </c>
      <c r="I19" s="11"/>
      <c r="J19" s="9"/>
      <c r="K19" s="11" t="s">
        <v>1711</v>
      </c>
      <c r="L19" s="12" t="s">
        <v>1716</v>
      </c>
      <c r="M19" s="15"/>
      <c r="N19" s="12" t="s">
        <v>1707</v>
      </c>
      <c r="O19" s="12"/>
    </row>
    <row r="20" spans="1:15" s="2" customFormat="1" ht="15.75" customHeight="1">
      <c r="A20" s="35">
        <v>3.3</v>
      </c>
      <c r="B20" s="14"/>
      <c r="C20" s="15"/>
      <c r="D20" s="14"/>
      <c r="E20" s="9"/>
      <c r="F20" s="9"/>
      <c r="G20" s="14"/>
      <c r="H20" s="11" t="s">
        <v>678</v>
      </c>
      <c r="I20" s="11"/>
      <c r="J20" s="9"/>
      <c r="K20" s="11" t="s">
        <v>795</v>
      </c>
      <c r="L20" s="12"/>
      <c r="M20" s="15"/>
      <c r="N20" s="12" t="s">
        <v>1717</v>
      </c>
      <c r="O20" s="12" t="s">
        <v>1701</v>
      </c>
    </row>
    <row r="21" spans="1:15" s="2" customFormat="1" ht="15.75" customHeight="1">
      <c r="A21" s="35">
        <v>3.4</v>
      </c>
      <c r="B21" s="14"/>
      <c r="C21" s="15"/>
      <c r="D21" s="14"/>
      <c r="E21" s="9"/>
      <c r="F21" s="9"/>
      <c r="G21" s="14"/>
      <c r="H21" s="11" t="s">
        <v>685</v>
      </c>
      <c r="I21" s="11"/>
      <c r="J21" s="9"/>
      <c r="K21" s="11"/>
      <c r="L21" s="12"/>
      <c r="M21" s="15"/>
      <c r="N21" s="12" t="s">
        <v>1700</v>
      </c>
      <c r="O21" s="12" t="s">
        <v>1701</v>
      </c>
    </row>
    <row r="22" spans="1:15" s="2" customFormat="1" ht="15.75" customHeight="1">
      <c r="A22" s="34">
        <v>4</v>
      </c>
      <c r="B22" s="9" t="s">
        <v>219</v>
      </c>
      <c r="C22" s="10" t="s">
        <v>538</v>
      </c>
      <c r="D22" s="9" t="s">
        <v>259</v>
      </c>
      <c r="E22" s="9" t="e">
        <f>VLOOKUP(D22,'95 Chỉ tiêu'!$B$4:$F$177,2,0)</f>
        <v>#N/A</v>
      </c>
      <c r="F22" s="9" t="s">
        <v>111</v>
      </c>
      <c r="G22" s="9" t="s">
        <v>260</v>
      </c>
      <c r="H22" s="11" t="s">
        <v>690</v>
      </c>
      <c r="I22" s="11"/>
      <c r="J22" s="9"/>
      <c r="K22" s="11" t="s">
        <v>1718</v>
      </c>
      <c r="L22" s="12" t="s">
        <v>1719</v>
      </c>
      <c r="M22" s="13" t="s">
        <v>1714</v>
      </c>
      <c r="N22" s="12" t="s">
        <v>1720</v>
      </c>
      <c r="O22" s="12" t="s">
        <v>1701</v>
      </c>
    </row>
    <row r="23" spans="1:15" s="2" customFormat="1" ht="15.75" customHeight="1">
      <c r="A23" s="35">
        <v>4.0999999999999996</v>
      </c>
      <c r="B23" s="14"/>
      <c r="C23" s="15"/>
      <c r="D23" s="14"/>
      <c r="E23" s="9"/>
      <c r="F23" s="9"/>
      <c r="G23" s="14"/>
      <c r="H23" s="11" t="s">
        <v>659</v>
      </c>
      <c r="I23" s="11"/>
      <c r="J23" s="9"/>
      <c r="K23" s="11"/>
      <c r="L23" s="12" t="s">
        <v>1721</v>
      </c>
      <c r="M23" s="15"/>
      <c r="N23" s="12" t="s">
        <v>1700</v>
      </c>
      <c r="O23" s="12" t="s">
        <v>1701</v>
      </c>
    </row>
    <row r="24" spans="1:15" s="2" customFormat="1" ht="15.75" customHeight="1">
      <c r="A24" s="35">
        <v>4.2</v>
      </c>
      <c r="B24" s="14"/>
      <c r="C24" s="15"/>
      <c r="D24" s="14"/>
      <c r="E24" s="9"/>
      <c r="F24" s="9"/>
      <c r="G24" s="14"/>
      <c r="H24" s="11" t="s">
        <v>699</v>
      </c>
      <c r="I24" s="11"/>
      <c r="J24" s="9"/>
      <c r="K24" s="11"/>
      <c r="L24" s="12"/>
      <c r="M24" s="15"/>
      <c r="N24" s="12" t="s">
        <v>1722</v>
      </c>
      <c r="O24" s="12" t="s">
        <v>1701</v>
      </c>
    </row>
    <row r="25" spans="1:15" s="2" customFormat="1" ht="15.75" customHeight="1">
      <c r="A25" s="35">
        <v>4.3</v>
      </c>
      <c r="B25" s="14"/>
      <c r="C25" s="15"/>
      <c r="D25" s="14"/>
      <c r="E25" s="9"/>
      <c r="F25" s="9"/>
      <c r="G25" s="14"/>
      <c r="H25" s="11" t="s">
        <v>706</v>
      </c>
      <c r="I25" s="11"/>
      <c r="J25" s="9"/>
      <c r="K25" s="11"/>
      <c r="L25" s="12"/>
      <c r="M25" s="15"/>
      <c r="N25" s="12" t="s">
        <v>1723</v>
      </c>
      <c r="O25" s="12" t="s">
        <v>1701</v>
      </c>
    </row>
    <row r="26" spans="1:15" s="2" customFormat="1" ht="15.75" customHeight="1">
      <c r="A26" s="35">
        <v>4.4000000000000004</v>
      </c>
      <c r="B26" s="14"/>
      <c r="C26" s="15"/>
      <c r="D26" s="14"/>
      <c r="E26" s="9"/>
      <c r="F26" s="9"/>
      <c r="G26" s="14"/>
      <c r="H26" s="11" t="s">
        <v>712</v>
      </c>
      <c r="I26" s="11"/>
      <c r="J26" s="9"/>
      <c r="K26" s="11"/>
      <c r="L26" s="12"/>
      <c r="M26" s="15"/>
      <c r="N26" s="12" t="s">
        <v>1724</v>
      </c>
      <c r="O26" s="12" t="s">
        <v>1701</v>
      </c>
    </row>
    <row r="27" spans="1:15" s="2" customFormat="1" ht="15.75" customHeight="1">
      <c r="A27" s="34">
        <v>5</v>
      </c>
      <c r="B27" s="9" t="s">
        <v>219</v>
      </c>
      <c r="C27" s="10" t="s">
        <v>538</v>
      </c>
      <c r="D27" s="9" t="s">
        <v>265</v>
      </c>
      <c r="E27" s="9" t="e">
        <f>VLOOKUP(D27,'95 Chỉ tiêu'!$B$4:$F$177,2,0)</f>
        <v>#N/A</v>
      </c>
      <c r="F27" s="9" t="s">
        <v>111</v>
      </c>
      <c r="G27" s="9" t="s">
        <v>266</v>
      </c>
      <c r="H27" s="11" t="s">
        <v>717</v>
      </c>
      <c r="I27" s="11"/>
      <c r="J27" s="9"/>
      <c r="K27" s="11" t="s">
        <v>1711</v>
      </c>
      <c r="L27" s="12" t="s">
        <v>1725</v>
      </c>
      <c r="M27" s="13" t="s">
        <v>1714</v>
      </c>
      <c r="N27" s="12" t="s">
        <v>1709</v>
      </c>
      <c r="O27" s="12"/>
    </row>
    <row r="28" spans="1:15" s="2" customFormat="1" ht="15.75" customHeight="1">
      <c r="A28" s="35">
        <v>5.0999999999999996</v>
      </c>
      <c r="B28" s="14"/>
      <c r="C28" s="15"/>
      <c r="D28" s="14"/>
      <c r="E28" s="9"/>
      <c r="F28" s="9"/>
      <c r="G28" s="14"/>
      <c r="H28" s="11" t="s">
        <v>727</v>
      </c>
      <c r="I28" s="11"/>
      <c r="J28" s="9"/>
      <c r="K28" s="11"/>
      <c r="L28" s="12" t="s">
        <v>1726</v>
      </c>
      <c r="M28" s="15"/>
      <c r="N28" s="12" t="s">
        <v>1709</v>
      </c>
      <c r="O28" s="12"/>
    </row>
    <row r="29" spans="1:15" s="2" customFormat="1" ht="15.75" customHeight="1">
      <c r="A29" s="35">
        <v>5.2</v>
      </c>
      <c r="B29" s="14"/>
      <c r="C29" s="15"/>
      <c r="D29" s="14"/>
      <c r="E29" s="9"/>
      <c r="F29" s="9"/>
      <c r="G29" s="14"/>
      <c r="H29" s="11" t="s">
        <v>732</v>
      </c>
      <c r="I29" s="11"/>
      <c r="J29" s="9"/>
      <c r="K29" s="11"/>
      <c r="L29" s="12" t="s">
        <v>1727</v>
      </c>
      <c r="M29" s="15"/>
      <c r="N29" s="12" t="s">
        <v>1709</v>
      </c>
      <c r="O29" s="12"/>
    </row>
    <row r="30" spans="1:15" s="2" customFormat="1" ht="15.75" customHeight="1">
      <c r="A30" s="35">
        <v>5.3</v>
      </c>
      <c r="B30" s="14"/>
      <c r="C30" s="15"/>
      <c r="D30" s="14"/>
      <c r="E30" s="9"/>
      <c r="F30" s="9"/>
      <c r="G30" s="14"/>
      <c r="H30" s="16" t="s">
        <v>737</v>
      </c>
      <c r="I30" s="16"/>
      <c r="J30" s="9"/>
      <c r="K30" s="11"/>
      <c r="L30" s="12" t="s">
        <v>1728</v>
      </c>
      <c r="M30" s="15"/>
      <c r="N30" s="12" t="s">
        <v>1709</v>
      </c>
      <c r="O30" s="12"/>
    </row>
    <row r="31" spans="1:15" s="2" customFormat="1" ht="15.75" customHeight="1">
      <c r="A31" s="35">
        <v>5.4</v>
      </c>
      <c r="B31" s="14"/>
      <c r="C31" s="15"/>
      <c r="D31" s="14"/>
      <c r="E31" s="9"/>
      <c r="F31" s="9"/>
      <c r="G31" s="14"/>
      <c r="H31" s="16" t="s">
        <v>742</v>
      </c>
      <c r="I31" s="16"/>
      <c r="J31" s="9"/>
      <c r="K31" s="11"/>
      <c r="L31" s="12"/>
      <c r="M31" s="15"/>
      <c r="N31" s="12" t="s">
        <v>1709</v>
      </c>
      <c r="O31" s="12"/>
    </row>
    <row r="32" spans="1:15" s="2" customFormat="1" ht="15.75" customHeight="1">
      <c r="A32" s="35">
        <v>5.5</v>
      </c>
      <c r="B32" s="14"/>
      <c r="C32" s="15"/>
      <c r="D32" s="14"/>
      <c r="E32" s="9"/>
      <c r="F32" s="9"/>
      <c r="G32" s="14"/>
      <c r="H32" s="16" t="s">
        <v>746</v>
      </c>
      <c r="I32" s="16"/>
      <c r="J32" s="9"/>
      <c r="K32" s="11"/>
      <c r="L32" s="12"/>
      <c r="M32" s="15"/>
      <c r="N32" s="12" t="s">
        <v>1709</v>
      </c>
      <c r="O32" s="12"/>
    </row>
    <row r="33" spans="1:15" s="53" customFormat="1" ht="15.75" customHeight="1">
      <c r="A33" s="46">
        <v>6</v>
      </c>
      <c r="B33" s="47" t="s">
        <v>219</v>
      </c>
      <c r="C33" s="48" t="s">
        <v>538</v>
      </c>
      <c r="D33" s="47" t="s">
        <v>273</v>
      </c>
      <c r="E33" s="47" t="e">
        <f>VLOOKUP(D33,'95 Chỉ tiêu'!$B$4:$F$177,2,0)</f>
        <v>#N/A</v>
      </c>
      <c r="F33" s="47" t="s">
        <v>111</v>
      </c>
      <c r="G33" s="47" t="s">
        <v>748</v>
      </c>
      <c r="H33" s="49" t="s">
        <v>749</v>
      </c>
      <c r="I33" s="49"/>
      <c r="J33" s="47"/>
      <c r="K33" s="50"/>
      <c r="L33" s="51" t="s">
        <v>1729</v>
      </c>
      <c r="M33" s="52" t="s">
        <v>1714</v>
      </c>
      <c r="N33" s="51"/>
      <c r="O33" s="51"/>
    </row>
    <row r="34" spans="1:15" s="53" customFormat="1" ht="15.75" customHeight="1">
      <c r="A34" s="54">
        <v>6.1</v>
      </c>
      <c r="B34" s="55"/>
      <c r="C34" s="56"/>
      <c r="D34" s="55"/>
      <c r="E34" s="47"/>
      <c r="F34" s="47"/>
      <c r="G34" s="55" t="s">
        <v>1730</v>
      </c>
      <c r="H34" s="49" t="s">
        <v>752</v>
      </c>
      <c r="I34" s="49"/>
      <c r="J34" s="47"/>
      <c r="K34" s="50"/>
      <c r="L34" s="51" t="s">
        <v>1729</v>
      </c>
      <c r="M34" s="56"/>
      <c r="N34" s="51"/>
      <c r="O34" s="51"/>
    </row>
    <row r="35" spans="1:15" s="53" customFormat="1" ht="15.75" customHeight="1">
      <c r="A35" s="54">
        <v>6.2</v>
      </c>
      <c r="B35" s="55"/>
      <c r="C35" s="56"/>
      <c r="D35" s="55"/>
      <c r="E35" s="47"/>
      <c r="F35" s="47"/>
      <c r="G35" s="55"/>
      <c r="H35" s="49" t="s">
        <v>753</v>
      </c>
      <c r="I35" s="49"/>
      <c r="J35" s="47"/>
      <c r="K35" s="50" t="s">
        <v>1711</v>
      </c>
      <c r="L35" s="51" t="s">
        <v>1731</v>
      </c>
      <c r="M35" s="56"/>
      <c r="N35" s="51"/>
      <c r="O35" s="51"/>
    </row>
    <row r="36" spans="1:15" s="53" customFormat="1" ht="15.6">
      <c r="A36" s="54">
        <v>6.3</v>
      </c>
      <c r="B36" s="55"/>
      <c r="C36" s="56"/>
      <c r="D36" s="55"/>
      <c r="E36" s="47"/>
      <c r="F36" s="47"/>
      <c r="G36" s="55"/>
      <c r="H36" s="49" t="s">
        <v>754</v>
      </c>
      <c r="I36" s="49"/>
      <c r="J36" s="47"/>
      <c r="K36" s="50"/>
      <c r="L36" s="51" t="s">
        <v>1729</v>
      </c>
      <c r="M36" s="56"/>
      <c r="N36" s="51"/>
      <c r="O36" s="51"/>
    </row>
    <row r="37" spans="1:15" s="53" customFormat="1" ht="15.6">
      <c r="A37" s="54">
        <v>6.4</v>
      </c>
      <c r="B37" s="55"/>
      <c r="C37" s="56"/>
      <c r="D37" s="55"/>
      <c r="E37" s="47"/>
      <c r="F37" s="47"/>
      <c r="G37" s="55"/>
      <c r="H37" s="49" t="s">
        <v>756</v>
      </c>
      <c r="I37" s="49"/>
      <c r="J37" s="47"/>
      <c r="K37" s="50"/>
      <c r="L37" s="51" t="s">
        <v>1729</v>
      </c>
      <c r="M37" s="56"/>
      <c r="N37" s="51"/>
      <c r="O37" s="51"/>
    </row>
    <row r="38" spans="1:15" s="53" customFormat="1" ht="15.6">
      <c r="A38" s="54">
        <v>6.5</v>
      </c>
      <c r="B38" s="55"/>
      <c r="C38" s="56"/>
      <c r="D38" s="55"/>
      <c r="E38" s="47"/>
      <c r="F38" s="47"/>
      <c r="G38" s="55"/>
      <c r="H38" s="49" t="s">
        <v>757</v>
      </c>
      <c r="I38" s="49"/>
      <c r="J38" s="47"/>
      <c r="K38" s="50"/>
      <c r="L38" s="51" t="s">
        <v>1729</v>
      </c>
      <c r="M38" s="56"/>
      <c r="N38" s="51"/>
      <c r="O38" s="51"/>
    </row>
    <row r="39" spans="1:15" s="42" customFormat="1" ht="15.6">
      <c r="A39" s="43">
        <v>6.6</v>
      </c>
      <c r="B39" s="44"/>
      <c r="C39" s="45"/>
      <c r="D39" s="44"/>
      <c r="E39" s="38"/>
      <c r="F39" s="38"/>
      <c r="G39" s="44"/>
      <c r="H39" s="39" t="s">
        <v>758</v>
      </c>
      <c r="I39" s="39"/>
      <c r="J39" s="38"/>
      <c r="K39" s="40"/>
      <c r="L39" s="41" t="s">
        <v>1729</v>
      </c>
      <c r="M39" s="45"/>
      <c r="N39" s="41"/>
      <c r="O39" s="41"/>
    </row>
    <row r="40" spans="1:15" s="2" customFormat="1" ht="15.6">
      <c r="A40" s="34">
        <v>7</v>
      </c>
      <c r="B40" s="9" t="s">
        <v>759</v>
      </c>
      <c r="C40" s="10" t="s">
        <v>405</v>
      </c>
      <c r="D40" s="11" t="s">
        <v>399</v>
      </c>
      <c r="E40" s="9"/>
      <c r="F40" s="9"/>
      <c r="G40" s="11" t="s">
        <v>408</v>
      </c>
      <c r="H40" s="11" t="s">
        <v>762</v>
      </c>
      <c r="I40" s="11"/>
      <c r="J40" s="9"/>
      <c r="K40" s="11" t="s">
        <v>1732</v>
      </c>
      <c r="L40" s="12" t="s">
        <v>1733</v>
      </c>
      <c r="M40" s="13" t="s">
        <v>1734</v>
      </c>
      <c r="N40" s="12" t="s">
        <v>1700</v>
      </c>
      <c r="O40" s="12" t="s">
        <v>1701</v>
      </c>
    </row>
    <row r="41" spans="1:15" s="2" customFormat="1" ht="15.6">
      <c r="A41" s="35">
        <v>7.1</v>
      </c>
      <c r="B41" s="14"/>
      <c r="C41" s="15"/>
      <c r="D41" s="14"/>
      <c r="E41" s="9"/>
      <c r="F41" s="9"/>
      <c r="G41" s="14"/>
      <c r="H41" s="11" t="s">
        <v>772</v>
      </c>
      <c r="I41" s="11"/>
      <c r="J41" s="9"/>
      <c r="K41" s="11" t="s">
        <v>1735</v>
      </c>
      <c r="L41" s="12" t="s">
        <v>1736</v>
      </c>
      <c r="M41" s="15"/>
      <c r="N41" s="12" t="s">
        <v>1700</v>
      </c>
      <c r="O41" s="12" t="s">
        <v>1701</v>
      </c>
    </row>
    <row r="42" spans="1:15" s="2" customFormat="1" ht="15.6">
      <c r="A42" s="35">
        <v>7.1</v>
      </c>
      <c r="B42" s="14"/>
      <c r="C42" s="15"/>
      <c r="D42" s="14"/>
      <c r="E42" s="9"/>
      <c r="F42" s="9"/>
      <c r="G42" s="14"/>
      <c r="H42" s="11" t="s">
        <v>828</v>
      </c>
      <c r="I42" s="11"/>
      <c r="J42" s="9"/>
      <c r="K42" s="11" t="s">
        <v>1735</v>
      </c>
      <c r="L42" s="12" t="s">
        <v>1737</v>
      </c>
      <c r="M42" s="15"/>
      <c r="N42" s="12" t="s">
        <v>1700</v>
      </c>
      <c r="O42" s="12"/>
    </row>
    <row r="43" spans="1:15" s="2" customFormat="1" ht="15.6">
      <c r="A43" s="35">
        <v>7.11</v>
      </c>
      <c r="B43" s="14"/>
      <c r="C43" s="15"/>
      <c r="D43" s="14"/>
      <c r="E43" s="9"/>
      <c r="F43" s="9"/>
      <c r="G43" s="14"/>
      <c r="H43" s="11" t="s">
        <v>834</v>
      </c>
      <c r="I43" s="11"/>
      <c r="J43" s="9"/>
      <c r="K43" s="11" t="s">
        <v>1735</v>
      </c>
      <c r="L43" s="12" t="s">
        <v>1736</v>
      </c>
      <c r="M43" s="15"/>
      <c r="N43" s="12" t="s">
        <v>782</v>
      </c>
      <c r="O43" s="12"/>
    </row>
    <row r="44" spans="1:15" s="2" customFormat="1" ht="15.6">
      <c r="A44" s="35">
        <v>7.12</v>
      </c>
      <c r="B44" s="14"/>
      <c r="C44" s="15"/>
      <c r="D44" s="14"/>
      <c r="E44" s="9"/>
      <c r="F44" s="9"/>
      <c r="G44" s="14"/>
      <c r="H44" s="11" t="s">
        <v>839</v>
      </c>
      <c r="I44" s="11"/>
      <c r="J44" s="9"/>
      <c r="K44" s="11" t="s">
        <v>781</v>
      </c>
      <c r="L44" s="12"/>
      <c r="M44" s="15"/>
      <c r="N44" s="12" t="s">
        <v>782</v>
      </c>
      <c r="O44" s="12"/>
    </row>
    <row r="45" spans="1:15" s="2" customFormat="1" ht="15.6">
      <c r="A45" s="35">
        <v>7.13</v>
      </c>
      <c r="B45" s="14"/>
      <c r="C45" s="15"/>
      <c r="D45" s="14"/>
      <c r="E45" s="9"/>
      <c r="F45" s="9"/>
      <c r="G45" s="14"/>
      <c r="H45" s="11" t="s">
        <v>844</v>
      </c>
      <c r="I45" s="11"/>
      <c r="J45" s="9"/>
      <c r="K45" s="11" t="s">
        <v>781</v>
      </c>
      <c r="L45" s="12"/>
      <c r="M45" s="15"/>
      <c r="N45" s="12" t="s">
        <v>782</v>
      </c>
      <c r="O45" s="12"/>
    </row>
    <row r="46" spans="1:15" s="2" customFormat="1" ht="15.6">
      <c r="A46" s="35">
        <v>7.14</v>
      </c>
      <c r="B46" s="14"/>
      <c r="C46" s="15"/>
      <c r="D46" s="14"/>
      <c r="E46" s="9"/>
      <c r="F46" s="9"/>
      <c r="G46" s="14"/>
      <c r="H46" s="11" t="s">
        <v>852</v>
      </c>
      <c r="I46" s="11"/>
      <c r="J46" s="9"/>
      <c r="K46" s="11" t="s">
        <v>781</v>
      </c>
      <c r="L46" s="12" t="s">
        <v>1738</v>
      </c>
      <c r="M46" s="15"/>
      <c r="N46" s="12" t="s">
        <v>782</v>
      </c>
      <c r="O46" s="12"/>
    </row>
    <row r="47" spans="1:15" s="2" customFormat="1" ht="15.6">
      <c r="A47" s="35">
        <v>7.15</v>
      </c>
      <c r="B47" s="14"/>
      <c r="C47" s="15"/>
      <c r="D47" s="14"/>
      <c r="E47" s="9"/>
      <c r="F47" s="9"/>
      <c r="G47" s="14"/>
      <c r="H47" s="11" t="s">
        <v>855</v>
      </c>
      <c r="I47" s="11"/>
      <c r="J47" s="9"/>
      <c r="K47" s="11"/>
      <c r="L47" s="12"/>
      <c r="M47" s="15"/>
      <c r="N47" s="12" t="s">
        <v>782</v>
      </c>
      <c r="O47" s="12"/>
    </row>
    <row r="48" spans="1:15" s="2" customFormat="1" ht="15.6">
      <c r="A48" s="35">
        <v>7.16</v>
      </c>
      <c r="B48" s="14"/>
      <c r="C48" s="15"/>
      <c r="D48" s="14"/>
      <c r="E48" s="9"/>
      <c r="F48" s="9"/>
      <c r="G48" s="14"/>
      <c r="H48" s="11" t="s">
        <v>849</v>
      </c>
      <c r="I48" s="11"/>
      <c r="J48" s="9"/>
      <c r="K48" s="11" t="s">
        <v>795</v>
      </c>
      <c r="L48" s="12" t="s">
        <v>1739</v>
      </c>
      <c r="M48" s="15"/>
      <c r="N48" s="12" t="s">
        <v>782</v>
      </c>
      <c r="O48" s="12"/>
    </row>
    <row r="49" spans="1:15" s="2" customFormat="1" ht="15.6">
      <c r="A49" s="35">
        <v>7.17</v>
      </c>
      <c r="B49" s="14"/>
      <c r="C49" s="15"/>
      <c r="D49" s="14"/>
      <c r="E49" s="9"/>
      <c r="F49" s="9"/>
      <c r="G49" s="14"/>
      <c r="H49" s="11" t="s">
        <v>858</v>
      </c>
      <c r="I49" s="11"/>
      <c r="J49" s="9"/>
      <c r="K49" s="11"/>
      <c r="L49" s="12"/>
      <c r="M49" s="15"/>
      <c r="N49" s="12" t="s">
        <v>782</v>
      </c>
      <c r="O49" s="12"/>
    </row>
    <row r="50" spans="1:15" s="2" customFormat="1" ht="15.6">
      <c r="A50" s="35">
        <v>7.2</v>
      </c>
      <c r="B50" s="14"/>
      <c r="C50" s="15"/>
      <c r="D50" s="14"/>
      <c r="E50" s="9"/>
      <c r="F50" s="9"/>
      <c r="G50" s="14"/>
      <c r="H50" s="11" t="s">
        <v>778</v>
      </c>
      <c r="I50" s="11"/>
      <c r="J50" s="9"/>
      <c r="K50" s="11" t="s">
        <v>781</v>
      </c>
      <c r="L50" s="12"/>
      <c r="M50" s="15"/>
      <c r="N50" s="12" t="s">
        <v>782</v>
      </c>
      <c r="O50" s="12"/>
    </row>
    <row r="51" spans="1:15" s="2" customFormat="1" ht="15.6">
      <c r="A51" s="35">
        <v>7.3</v>
      </c>
      <c r="B51" s="14"/>
      <c r="C51" s="15"/>
      <c r="D51" s="14"/>
      <c r="E51" s="9"/>
      <c r="F51" s="9"/>
      <c r="G51" s="14"/>
      <c r="H51" s="11" t="s">
        <v>786</v>
      </c>
      <c r="I51" s="11"/>
      <c r="J51" s="9"/>
      <c r="K51" s="11" t="s">
        <v>781</v>
      </c>
      <c r="L51" s="12"/>
      <c r="M51" s="15"/>
      <c r="N51" s="12" t="s">
        <v>782</v>
      </c>
      <c r="O51" s="12"/>
    </row>
    <row r="52" spans="1:15" s="2" customFormat="1" ht="15.6">
      <c r="A52" s="35">
        <v>7.4</v>
      </c>
      <c r="B52" s="14"/>
      <c r="C52" s="15"/>
      <c r="D52" s="14"/>
      <c r="E52" s="9"/>
      <c r="F52" s="9"/>
      <c r="G52" s="14"/>
      <c r="H52" s="11" t="s">
        <v>792</v>
      </c>
      <c r="I52" s="11"/>
      <c r="J52" s="9"/>
      <c r="K52" s="11" t="s">
        <v>795</v>
      </c>
      <c r="L52" s="12" t="s">
        <v>1739</v>
      </c>
      <c r="M52" s="15"/>
      <c r="N52" s="12" t="s">
        <v>782</v>
      </c>
      <c r="O52" s="12"/>
    </row>
    <row r="53" spans="1:15" s="2" customFormat="1" ht="15.6">
      <c r="A53" s="35">
        <v>7.5</v>
      </c>
      <c r="B53" s="14"/>
      <c r="C53" s="15"/>
      <c r="D53" s="14"/>
      <c r="E53" s="9"/>
      <c r="F53" s="9"/>
      <c r="G53" s="14"/>
      <c r="H53" s="11" t="s">
        <v>804</v>
      </c>
      <c r="I53" s="11"/>
      <c r="J53" s="9"/>
      <c r="K53" s="11"/>
      <c r="L53" s="12"/>
      <c r="M53" s="15"/>
      <c r="N53" s="12" t="s">
        <v>782</v>
      </c>
      <c r="O53" s="12"/>
    </row>
    <row r="54" spans="1:15" s="2" customFormat="1" ht="15.6">
      <c r="A54" s="35">
        <v>7.6</v>
      </c>
      <c r="B54" s="14"/>
      <c r="C54" s="15"/>
      <c r="D54" s="14"/>
      <c r="E54" s="9"/>
      <c r="F54" s="9"/>
      <c r="G54" s="14"/>
      <c r="H54" s="11" t="s">
        <v>798</v>
      </c>
      <c r="I54" s="11"/>
      <c r="J54" s="9"/>
      <c r="K54" s="11" t="s">
        <v>781</v>
      </c>
      <c r="L54" s="12" t="s">
        <v>1738</v>
      </c>
      <c r="M54" s="15"/>
      <c r="N54" s="12" t="s">
        <v>782</v>
      </c>
      <c r="O54" s="12"/>
    </row>
    <row r="55" spans="1:15" s="2" customFormat="1" ht="15.6">
      <c r="A55" s="35">
        <v>7.7</v>
      </c>
      <c r="B55" s="14"/>
      <c r="C55" s="15"/>
      <c r="D55" s="14"/>
      <c r="E55" s="9"/>
      <c r="F55" s="9"/>
      <c r="G55" s="14"/>
      <c r="H55" s="11" t="s">
        <v>811</v>
      </c>
      <c r="I55" s="11"/>
      <c r="J55" s="9"/>
      <c r="K55" s="11" t="s">
        <v>781</v>
      </c>
      <c r="L55" s="12"/>
      <c r="M55" s="15"/>
      <c r="N55" s="12" t="s">
        <v>782</v>
      </c>
      <c r="O55" s="12"/>
    </row>
    <row r="56" spans="1:15" s="2" customFormat="1" ht="15.6">
      <c r="A56" s="35">
        <v>7.8</v>
      </c>
      <c r="B56" s="14"/>
      <c r="C56" s="15"/>
      <c r="D56" s="14"/>
      <c r="E56" s="9"/>
      <c r="F56" s="9"/>
      <c r="G56" s="14"/>
      <c r="H56" s="11" t="s">
        <v>816</v>
      </c>
      <c r="I56" s="11"/>
      <c r="J56" s="9"/>
      <c r="K56" s="11"/>
      <c r="L56" s="12"/>
      <c r="M56" s="15"/>
      <c r="N56" s="12" t="s">
        <v>782</v>
      </c>
      <c r="O56" s="12"/>
    </row>
    <row r="57" spans="1:15" s="2" customFormat="1" ht="15.6">
      <c r="A57" s="35">
        <v>7.9</v>
      </c>
      <c r="B57" s="14"/>
      <c r="C57" s="15"/>
      <c r="D57" s="14"/>
      <c r="E57" s="9"/>
      <c r="F57" s="9"/>
      <c r="G57" s="14"/>
      <c r="H57" s="11" t="s">
        <v>823</v>
      </c>
      <c r="I57" s="11"/>
      <c r="J57" s="9"/>
      <c r="K57" s="11"/>
      <c r="L57" s="12" t="s">
        <v>1740</v>
      </c>
      <c r="M57" s="15"/>
      <c r="N57" s="12" t="s">
        <v>782</v>
      </c>
      <c r="O57" s="12"/>
    </row>
    <row r="58" spans="1:15" s="2" customFormat="1" ht="15.6">
      <c r="A58" s="34">
        <v>8</v>
      </c>
      <c r="B58" s="9" t="s">
        <v>759</v>
      </c>
      <c r="C58" s="10" t="s">
        <v>538</v>
      </c>
      <c r="D58" s="11" t="s">
        <v>399</v>
      </c>
      <c r="E58" s="9"/>
      <c r="F58" s="9"/>
      <c r="G58" s="11" t="s">
        <v>1741</v>
      </c>
      <c r="H58" s="11" t="s">
        <v>862</v>
      </c>
      <c r="I58" s="11"/>
      <c r="J58" s="9"/>
      <c r="K58" s="11" t="s">
        <v>766</v>
      </c>
      <c r="L58" s="12" t="s">
        <v>1742</v>
      </c>
      <c r="M58" s="13" t="s">
        <v>1743</v>
      </c>
      <c r="N58" s="12" t="s">
        <v>1700</v>
      </c>
      <c r="O58" s="12" t="s">
        <v>1701</v>
      </c>
    </row>
    <row r="59" spans="1:15" s="2" customFormat="1" ht="15.6">
      <c r="A59" s="35">
        <v>8.1</v>
      </c>
      <c r="B59" s="14"/>
      <c r="C59" s="15"/>
      <c r="D59" s="14"/>
      <c r="E59" s="9"/>
      <c r="F59" s="9"/>
      <c r="G59" s="14"/>
      <c r="H59" s="11" t="s">
        <v>867</v>
      </c>
      <c r="I59" s="11"/>
      <c r="J59" s="9"/>
      <c r="K59" s="11" t="s">
        <v>766</v>
      </c>
      <c r="L59" s="12" t="s">
        <v>1744</v>
      </c>
      <c r="M59" s="15"/>
      <c r="N59" s="12" t="s">
        <v>1700</v>
      </c>
      <c r="O59" s="12" t="s">
        <v>1701</v>
      </c>
    </row>
    <row r="60" spans="1:15" s="2" customFormat="1" ht="15.6">
      <c r="A60" s="35">
        <v>8.1999999999999993</v>
      </c>
      <c r="B60" s="14"/>
      <c r="C60" s="15"/>
      <c r="D60" s="14"/>
      <c r="E60" s="9"/>
      <c r="F60" s="9"/>
      <c r="G60" s="14"/>
      <c r="H60" s="11" t="s">
        <v>907</v>
      </c>
      <c r="I60" s="11"/>
      <c r="J60" s="9"/>
      <c r="K60" s="11"/>
      <c r="L60" s="12"/>
      <c r="M60" s="15"/>
      <c r="N60" s="12" t="s">
        <v>1745</v>
      </c>
      <c r="O60" s="12"/>
    </row>
    <row r="61" spans="1:15" s="2" customFormat="1" ht="15.6">
      <c r="A61" s="35">
        <v>8.3000000000000007</v>
      </c>
      <c r="B61" s="14"/>
      <c r="C61" s="15"/>
      <c r="D61" s="14"/>
      <c r="E61" s="9"/>
      <c r="F61" s="9"/>
      <c r="G61" s="14"/>
      <c r="H61" s="11" t="s">
        <v>912</v>
      </c>
      <c r="I61" s="11"/>
      <c r="J61" s="9"/>
      <c r="K61" s="11" t="s">
        <v>807</v>
      </c>
      <c r="L61" s="12" t="s">
        <v>1746</v>
      </c>
      <c r="M61" s="15"/>
      <c r="N61" s="12"/>
      <c r="O61" s="12"/>
    </row>
    <row r="62" spans="1:15" s="2" customFormat="1" ht="15.6">
      <c r="A62" s="35">
        <v>8.4</v>
      </c>
      <c r="B62" s="14"/>
      <c r="C62" s="15"/>
      <c r="D62" s="14"/>
      <c r="E62" s="9"/>
      <c r="F62" s="9"/>
      <c r="G62" s="14"/>
      <c r="H62" s="11" t="s">
        <v>887</v>
      </c>
      <c r="I62" s="11"/>
      <c r="J62" s="9"/>
      <c r="K62" s="11" t="s">
        <v>1711</v>
      </c>
      <c r="L62" s="12"/>
      <c r="M62" s="15"/>
      <c r="N62" s="12" t="s">
        <v>1700</v>
      </c>
      <c r="O62" s="12" t="s">
        <v>1701</v>
      </c>
    </row>
    <row r="63" spans="1:15" s="2" customFormat="1" ht="15.6">
      <c r="A63" s="35">
        <v>8.5</v>
      </c>
      <c r="B63" s="14"/>
      <c r="C63" s="15"/>
      <c r="D63" s="14"/>
      <c r="E63" s="9"/>
      <c r="F63" s="9"/>
      <c r="G63" s="14"/>
      <c r="H63" s="11" t="s">
        <v>891</v>
      </c>
      <c r="I63" s="11"/>
      <c r="J63" s="9"/>
      <c r="K63" s="11" t="s">
        <v>1711</v>
      </c>
      <c r="L63" s="12"/>
      <c r="M63" s="15"/>
      <c r="N63" s="12" t="s">
        <v>1700</v>
      </c>
      <c r="O63" s="12" t="s">
        <v>1701</v>
      </c>
    </row>
    <row r="64" spans="1:15" s="2" customFormat="1" ht="15.6">
      <c r="A64" s="35">
        <v>8.6</v>
      </c>
      <c r="B64" s="14"/>
      <c r="C64" s="15"/>
      <c r="D64" s="14"/>
      <c r="E64" s="9"/>
      <c r="F64" s="9"/>
      <c r="G64" s="14"/>
      <c r="H64" s="11" t="s">
        <v>923</v>
      </c>
      <c r="I64" s="11"/>
      <c r="J64" s="9"/>
      <c r="K64" s="11" t="s">
        <v>766</v>
      </c>
      <c r="L64" s="12" t="s">
        <v>1747</v>
      </c>
      <c r="M64" s="15"/>
      <c r="N64" s="12" t="s">
        <v>1700</v>
      </c>
      <c r="O64" s="12" t="s">
        <v>1701</v>
      </c>
    </row>
    <row r="65" spans="1:15" s="2" customFormat="1" ht="15.6">
      <c r="A65" s="35">
        <v>8.6999999999999993</v>
      </c>
      <c r="B65" s="14"/>
      <c r="C65" s="15"/>
      <c r="D65" s="14"/>
      <c r="E65" s="9"/>
      <c r="F65" s="9"/>
      <c r="G65" s="14"/>
      <c r="H65" s="11" t="s">
        <v>929</v>
      </c>
      <c r="I65" s="11"/>
      <c r="J65" s="9"/>
      <c r="K65" s="11" t="s">
        <v>766</v>
      </c>
      <c r="L65" s="12" t="s">
        <v>931</v>
      </c>
      <c r="M65" s="15"/>
      <c r="N65" s="12" t="s">
        <v>1700</v>
      </c>
      <c r="O65" s="12" t="s">
        <v>1701</v>
      </c>
    </row>
    <row r="66" spans="1:15" s="2" customFormat="1" ht="15.6">
      <c r="A66" s="35">
        <v>8.8000000000000007</v>
      </c>
      <c r="B66" s="14"/>
      <c r="C66" s="15"/>
      <c r="D66" s="14"/>
      <c r="E66" s="9"/>
      <c r="F66" s="9"/>
      <c r="G66" s="14"/>
      <c r="H66" s="11" t="s">
        <v>934</v>
      </c>
      <c r="I66" s="11"/>
      <c r="J66" s="9"/>
      <c r="K66" s="11" t="s">
        <v>1711</v>
      </c>
      <c r="L66" s="12" t="s">
        <v>1748</v>
      </c>
      <c r="M66" s="15"/>
      <c r="N66" s="12" t="s">
        <v>1700</v>
      </c>
      <c r="O66" s="12" t="s">
        <v>1701</v>
      </c>
    </row>
    <row r="67" spans="1:15" s="2" customFormat="1" ht="15.6">
      <c r="A67" s="35">
        <v>8.9</v>
      </c>
      <c r="B67" s="14"/>
      <c r="C67" s="15"/>
      <c r="D67" s="14"/>
      <c r="E67" s="9"/>
      <c r="F67" s="9"/>
      <c r="G67" s="14"/>
      <c r="H67" s="11" t="s">
        <v>938</v>
      </c>
      <c r="I67" s="11"/>
      <c r="J67" s="9"/>
      <c r="K67" s="11" t="s">
        <v>1711</v>
      </c>
      <c r="L67" s="12" t="s">
        <v>940</v>
      </c>
      <c r="M67" s="15"/>
      <c r="N67" s="12"/>
      <c r="O67" s="12"/>
    </row>
    <row r="68" spans="1:15" s="2" customFormat="1" ht="15.6">
      <c r="A68" s="34">
        <v>9</v>
      </c>
      <c r="B68" s="9" t="s">
        <v>434</v>
      </c>
      <c r="C68" s="11" t="s">
        <v>957</v>
      </c>
      <c r="D68" s="11" t="s">
        <v>77</v>
      </c>
      <c r="E68" s="9" t="e">
        <f>VLOOKUP(D68,'95 Chỉ tiêu'!$B$4:$F$177,2,0)</f>
        <v>#N/A</v>
      </c>
      <c r="F68" s="9" t="s">
        <v>78</v>
      </c>
      <c r="G68" s="11" t="s">
        <v>959</v>
      </c>
      <c r="H68" s="11" t="s">
        <v>962</v>
      </c>
      <c r="I68" s="11"/>
      <c r="J68" s="9"/>
      <c r="K68" s="11" t="s">
        <v>1749</v>
      </c>
      <c r="L68" s="12"/>
      <c r="M68" s="17"/>
      <c r="N68" s="12" t="s">
        <v>1709</v>
      </c>
      <c r="O68" s="12" t="s">
        <v>1750</v>
      </c>
    </row>
    <row r="69" spans="1:15" s="2" customFormat="1" ht="15.6">
      <c r="A69" s="34">
        <v>10</v>
      </c>
      <c r="B69" s="14"/>
      <c r="C69" s="10" t="s">
        <v>957</v>
      </c>
      <c r="D69" s="11" t="s">
        <v>104</v>
      </c>
      <c r="E69" s="9" t="e">
        <f>VLOOKUP(D69,'95 Chỉ tiêu'!$B$4:$F$177,2,0)</f>
        <v>#N/A</v>
      </c>
      <c r="F69" s="9" t="s">
        <v>99</v>
      </c>
      <c r="G69" s="11" t="s">
        <v>969</v>
      </c>
      <c r="H69" s="11" t="s">
        <v>972</v>
      </c>
      <c r="I69" s="11"/>
      <c r="J69" s="9"/>
      <c r="K69" s="11"/>
      <c r="L69" s="12"/>
      <c r="M69" s="13"/>
      <c r="N69" s="12" t="s">
        <v>1709</v>
      </c>
      <c r="O69" s="12" t="s">
        <v>1750</v>
      </c>
    </row>
    <row r="70" spans="1:15" s="2" customFormat="1" ht="15.6">
      <c r="A70" s="35">
        <v>10.1</v>
      </c>
      <c r="B70" s="14"/>
      <c r="C70" s="15"/>
      <c r="D70" s="14"/>
      <c r="E70" s="9"/>
      <c r="F70" s="9"/>
      <c r="G70" s="14"/>
      <c r="H70" s="11" t="s">
        <v>979</v>
      </c>
      <c r="I70" s="11"/>
      <c r="J70" s="9"/>
      <c r="K70" s="11"/>
      <c r="L70" s="12"/>
      <c r="M70" s="15"/>
      <c r="N70" s="12" t="s">
        <v>1709</v>
      </c>
      <c r="O70" s="12" t="s">
        <v>1750</v>
      </c>
    </row>
    <row r="71" spans="1:15" s="2" customFormat="1" ht="15.6">
      <c r="A71" s="35">
        <v>10.199999999999999</v>
      </c>
      <c r="B71" s="14"/>
      <c r="C71" s="15"/>
      <c r="D71" s="14"/>
      <c r="E71" s="9"/>
      <c r="F71" s="9"/>
      <c r="G71" s="14"/>
      <c r="H71" s="11" t="s">
        <v>984</v>
      </c>
      <c r="I71" s="11"/>
      <c r="J71" s="9"/>
      <c r="K71" s="11"/>
      <c r="L71" s="12"/>
      <c r="M71" s="15"/>
      <c r="N71" s="12" t="s">
        <v>1709</v>
      </c>
      <c r="O71" s="12" t="s">
        <v>1750</v>
      </c>
    </row>
    <row r="72" spans="1:15" s="2" customFormat="1" ht="15.6">
      <c r="A72" s="35">
        <v>10.3</v>
      </c>
      <c r="B72" s="14"/>
      <c r="C72" s="15"/>
      <c r="D72" s="14"/>
      <c r="E72" s="9"/>
      <c r="F72" s="9"/>
      <c r="G72" s="14"/>
      <c r="H72" s="11" t="s">
        <v>988</v>
      </c>
      <c r="I72" s="11"/>
      <c r="J72" s="9"/>
      <c r="K72" s="11"/>
      <c r="L72" s="12"/>
      <c r="M72" s="15"/>
      <c r="N72" s="12" t="s">
        <v>1709</v>
      </c>
      <c r="O72" s="12" t="s">
        <v>1750</v>
      </c>
    </row>
    <row r="73" spans="1:15" s="2" customFormat="1" ht="15.6">
      <c r="A73" s="34">
        <v>11</v>
      </c>
      <c r="B73" s="9" t="s">
        <v>434</v>
      </c>
      <c r="C73" s="10" t="s">
        <v>957</v>
      </c>
      <c r="D73" s="11" t="s">
        <v>123</v>
      </c>
      <c r="E73" s="9" t="e">
        <f>VLOOKUP(D73,'95 Chỉ tiêu'!$B$4:$F$177,2,0)</f>
        <v>#N/A</v>
      </c>
      <c r="F73" s="9" t="s">
        <v>78</v>
      </c>
      <c r="G73" s="11" t="s">
        <v>992</v>
      </c>
      <c r="H73" s="11" t="s">
        <v>995</v>
      </c>
      <c r="I73" s="11"/>
      <c r="J73" s="9"/>
      <c r="K73" s="11"/>
      <c r="L73" s="12"/>
      <c r="M73" s="13"/>
      <c r="N73" s="12" t="s">
        <v>1709</v>
      </c>
      <c r="O73" s="12" t="s">
        <v>1750</v>
      </c>
    </row>
    <row r="74" spans="1:15" s="2" customFormat="1" ht="15.6">
      <c r="A74" s="35">
        <v>11.1</v>
      </c>
      <c r="B74" s="14"/>
      <c r="C74" s="15"/>
      <c r="D74" s="14"/>
      <c r="E74" s="9"/>
      <c r="F74" s="9"/>
      <c r="G74" s="14"/>
      <c r="H74" s="11" t="s">
        <v>1001</v>
      </c>
      <c r="I74" s="11"/>
      <c r="J74" s="9"/>
      <c r="K74" s="11"/>
      <c r="L74" s="12"/>
      <c r="M74" s="15"/>
      <c r="N74" s="12" t="s">
        <v>1709</v>
      </c>
      <c r="O74" s="12" t="s">
        <v>1750</v>
      </c>
    </row>
    <row r="75" spans="1:15" s="2" customFormat="1" ht="15.6">
      <c r="A75" s="35">
        <v>11.2</v>
      </c>
      <c r="B75" s="14"/>
      <c r="C75" s="15"/>
      <c r="D75" s="14"/>
      <c r="E75" s="9"/>
      <c r="F75" s="9"/>
      <c r="G75" s="14"/>
      <c r="H75" s="11" t="s">
        <v>1005</v>
      </c>
      <c r="I75" s="11"/>
      <c r="J75" s="9"/>
      <c r="K75" s="11"/>
      <c r="L75" s="12"/>
      <c r="M75" s="15"/>
      <c r="N75" s="12" t="s">
        <v>1709</v>
      </c>
      <c r="O75" s="12" t="s">
        <v>1750</v>
      </c>
    </row>
    <row r="76" spans="1:15" s="2" customFormat="1" ht="15.6">
      <c r="A76" s="35">
        <v>11.3</v>
      </c>
      <c r="B76" s="14"/>
      <c r="C76" s="15"/>
      <c r="D76" s="14"/>
      <c r="E76" s="9"/>
      <c r="F76" s="9"/>
      <c r="G76" s="14"/>
      <c r="H76" s="11" t="s">
        <v>1009</v>
      </c>
      <c r="I76" s="11"/>
      <c r="J76" s="9"/>
      <c r="K76" s="11"/>
      <c r="L76" s="12"/>
      <c r="M76" s="15"/>
      <c r="N76" s="12" t="s">
        <v>1709</v>
      </c>
      <c r="O76" s="12" t="s">
        <v>1750</v>
      </c>
    </row>
    <row r="77" spans="1:15" s="2" customFormat="1" ht="15.6">
      <c r="A77" s="35">
        <v>11.4</v>
      </c>
      <c r="B77" s="14"/>
      <c r="C77" s="15"/>
      <c r="D77" s="14"/>
      <c r="E77" s="9"/>
      <c r="F77" s="9"/>
      <c r="G77" s="14"/>
      <c r="H77" s="11" t="s">
        <v>1013</v>
      </c>
      <c r="I77" s="11"/>
      <c r="J77" s="9"/>
      <c r="K77" s="11"/>
      <c r="L77" s="12"/>
      <c r="M77" s="15"/>
      <c r="N77" s="12" t="s">
        <v>1709</v>
      </c>
      <c r="O77" s="12" t="s">
        <v>1750</v>
      </c>
    </row>
    <row r="78" spans="1:15" s="2" customFormat="1" ht="15.6">
      <c r="A78" s="34">
        <v>12</v>
      </c>
      <c r="B78" s="9" t="s">
        <v>434</v>
      </c>
      <c r="C78" s="10" t="s">
        <v>957</v>
      </c>
      <c r="D78" s="11" t="s">
        <v>290</v>
      </c>
      <c r="E78" s="9" t="e">
        <f>VLOOKUP(D78,'95 Chỉ tiêu'!$B$4:$F$177,2,0)</f>
        <v>#N/A</v>
      </c>
      <c r="F78" s="9" t="s">
        <v>78</v>
      </c>
      <c r="G78" s="11" t="s">
        <v>292</v>
      </c>
      <c r="H78" s="11" t="s">
        <v>1018</v>
      </c>
      <c r="I78" s="11"/>
      <c r="J78" s="9"/>
      <c r="K78" s="11" t="s">
        <v>1751</v>
      </c>
      <c r="L78" s="12" t="s">
        <v>1752</v>
      </c>
      <c r="M78" s="13" t="s">
        <v>1699</v>
      </c>
      <c r="N78" s="12" t="s">
        <v>1753</v>
      </c>
      <c r="O78" s="12" t="s">
        <v>1701</v>
      </c>
    </row>
    <row r="79" spans="1:15" s="2" customFormat="1" ht="15.6">
      <c r="A79" s="35">
        <v>12.1</v>
      </c>
      <c r="B79" s="14"/>
      <c r="C79" s="15"/>
      <c r="D79" s="14"/>
      <c r="E79" s="9"/>
      <c r="F79" s="9"/>
      <c r="G79" s="14"/>
      <c r="H79" s="11" t="s">
        <v>1028</v>
      </c>
      <c r="I79" s="11"/>
      <c r="J79" s="9"/>
      <c r="K79" s="11" t="s">
        <v>1751</v>
      </c>
      <c r="L79" s="12"/>
      <c r="M79" s="15"/>
      <c r="N79" s="12" t="s">
        <v>1753</v>
      </c>
      <c r="O79" s="12" t="s">
        <v>1701</v>
      </c>
    </row>
    <row r="80" spans="1:15" s="2" customFormat="1" ht="15.6">
      <c r="A80" s="35">
        <v>12.1</v>
      </c>
      <c r="B80" s="14"/>
      <c r="C80" s="15"/>
      <c r="D80" s="14"/>
      <c r="E80" s="9"/>
      <c r="F80" s="9"/>
      <c r="G80" s="14"/>
      <c r="H80" s="11" t="s">
        <v>1065</v>
      </c>
      <c r="I80" s="11"/>
      <c r="J80" s="9"/>
      <c r="K80" s="11" t="s">
        <v>1751</v>
      </c>
      <c r="L80" s="12"/>
      <c r="M80" s="15"/>
      <c r="N80" s="12" t="s">
        <v>1753</v>
      </c>
      <c r="O80" s="12" t="s">
        <v>1701</v>
      </c>
    </row>
    <row r="81" spans="1:15" s="2" customFormat="1" ht="15.6">
      <c r="A81" s="35">
        <v>12.11</v>
      </c>
      <c r="B81" s="14"/>
      <c r="C81" s="15"/>
      <c r="D81" s="14"/>
      <c r="E81" s="9"/>
      <c r="F81" s="9"/>
      <c r="G81" s="14"/>
      <c r="H81" s="11" t="s">
        <v>1069</v>
      </c>
      <c r="I81" s="11"/>
      <c r="J81" s="9"/>
      <c r="K81" s="11" t="s">
        <v>1751</v>
      </c>
      <c r="L81" s="12"/>
      <c r="M81" s="15"/>
      <c r="N81" s="12" t="s">
        <v>1753</v>
      </c>
      <c r="O81" s="12" t="s">
        <v>1701</v>
      </c>
    </row>
    <row r="82" spans="1:15" s="2" customFormat="1" ht="15.6">
      <c r="A82" s="35">
        <v>12.12</v>
      </c>
      <c r="B82" s="14"/>
      <c r="C82" s="15"/>
      <c r="D82" s="14"/>
      <c r="E82" s="9"/>
      <c r="F82" s="9"/>
      <c r="G82" s="14"/>
      <c r="H82" s="11" t="s">
        <v>1073</v>
      </c>
      <c r="I82" s="11"/>
      <c r="J82" s="9"/>
      <c r="K82" s="11" t="s">
        <v>1751</v>
      </c>
      <c r="L82" s="12"/>
      <c r="M82" s="15"/>
      <c r="N82" s="12" t="s">
        <v>1753</v>
      </c>
      <c r="O82" s="12" t="s">
        <v>1701</v>
      </c>
    </row>
    <row r="83" spans="1:15" s="2" customFormat="1" ht="15.6">
      <c r="A83" s="35">
        <v>12.13</v>
      </c>
      <c r="B83" s="14"/>
      <c r="C83" s="15"/>
      <c r="D83" s="14"/>
      <c r="E83" s="9"/>
      <c r="F83" s="9"/>
      <c r="G83" s="14"/>
      <c r="H83" s="11" t="s">
        <v>1077</v>
      </c>
      <c r="I83" s="11"/>
      <c r="J83" s="9"/>
      <c r="K83" s="11" t="s">
        <v>1751</v>
      </c>
      <c r="L83" s="12"/>
      <c r="M83" s="15"/>
      <c r="N83" s="12" t="s">
        <v>1753</v>
      </c>
      <c r="O83" s="12" t="s">
        <v>1701</v>
      </c>
    </row>
    <row r="84" spans="1:15" s="2" customFormat="1" ht="15.6">
      <c r="A84" s="35">
        <v>12.14</v>
      </c>
      <c r="B84" s="14"/>
      <c r="C84" s="15"/>
      <c r="D84" s="14"/>
      <c r="E84" s="9"/>
      <c r="F84" s="9"/>
      <c r="G84" s="14"/>
      <c r="H84" s="11" t="s">
        <v>1081</v>
      </c>
      <c r="I84" s="11"/>
      <c r="J84" s="9"/>
      <c r="K84" s="11" t="s">
        <v>1751</v>
      </c>
      <c r="L84" s="12"/>
      <c r="M84" s="15"/>
      <c r="N84" s="12" t="s">
        <v>1753</v>
      </c>
      <c r="O84" s="12" t="s">
        <v>1701</v>
      </c>
    </row>
    <row r="85" spans="1:15" s="2" customFormat="1" ht="15.6">
      <c r="A85" s="35">
        <v>12.15</v>
      </c>
      <c r="B85" s="14"/>
      <c r="C85" s="15"/>
      <c r="D85" s="14"/>
      <c r="E85" s="9"/>
      <c r="F85" s="9"/>
      <c r="G85" s="14"/>
      <c r="H85" s="11" t="s">
        <v>1085</v>
      </c>
      <c r="I85" s="11"/>
      <c r="J85" s="9"/>
      <c r="K85" s="11" t="s">
        <v>1751</v>
      </c>
      <c r="L85" s="12"/>
      <c r="M85" s="15"/>
      <c r="N85" s="12" t="s">
        <v>1753</v>
      </c>
      <c r="O85" s="12" t="s">
        <v>1701</v>
      </c>
    </row>
    <row r="86" spans="1:15" s="2" customFormat="1" ht="15.6">
      <c r="A86" s="35">
        <v>12.16</v>
      </c>
      <c r="B86" s="14"/>
      <c r="C86" s="15"/>
      <c r="D86" s="14"/>
      <c r="E86" s="9"/>
      <c r="F86" s="9"/>
      <c r="G86" s="14"/>
      <c r="H86" s="11" t="s">
        <v>1089</v>
      </c>
      <c r="I86" s="11"/>
      <c r="J86" s="9"/>
      <c r="K86" s="11" t="s">
        <v>1751</v>
      </c>
      <c r="L86" s="12"/>
      <c r="M86" s="15"/>
      <c r="N86" s="12" t="s">
        <v>1753</v>
      </c>
      <c r="O86" s="12" t="s">
        <v>1701</v>
      </c>
    </row>
    <row r="87" spans="1:15" s="2" customFormat="1" ht="15.6">
      <c r="A87" s="35">
        <v>12.17</v>
      </c>
      <c r="B87" s="14"/>
      <c r="C87" s="15"/>
      <c r="D87" s="14"/>
      <c r="E87" s="9"/>
      <c r="F87" s="9"/>
      <c r="G87" s="14"/>
      <c r="H87" s="11" t="s">
        <v>1093</v>
      </c>
      <c r="I87" s="11"/>
      <c r="J87" s="9"/>
      <c r="K87" s="11" t="s">
        <v>1751</v>
      </c>
      <c r="L87" s="12"/>
      <c r="M87" s="15"/>
      <c r="N87" s="12" t="s">
        <v>1753</v>
      </c>
      <c r="O87" s="12" t="s">
        <v>1701</v>
      </c>
    </row>
    <row r="88" spans="1:15" s="2" customFormat="1" ht="15.6">
      <c r="A88" s="35">
        <v>12.2</v>
      </c>
      <c r="B88" s="14"/>
      <c r="C88" s="15"/>
      <c r="D88" s="14"/>
      <c r="E88" s="9"/>
      <c r="F88" s="9"/>
      <c r="G88" s="14"/>
      <c r="H88" s="11" t="s">
        <v>1032</v>
      </c>
      <c r="I88" s="11"/>
      <c r="J88" s="9"/>
      <c r="K88" s="11" t="s">
        <v>1751</v>
      </c>
      <c r="L88" s="12"/>
      <c r="M88" s="15"/>
      <c r="N88" s="12" t="s">
        <v>1753</v>
      </c>
      <c r="O88" s="12" t="s">
        <v>1701</v>
      </c>
    </row>
    <row r="89" spans="1:15" s="2" customFormat="1" ht="15.6">
      <c r="A89" s="35">
        <v>12.3</v>
      </c>
      <c r="B89" s="14"/>
      <c r="C89" s="15"/>
      <c r="D89" s="14"/>
      <c r="E89" s="9"/>
      <c r="F89" s="9"/>
      <c r="G89" s="14"/>
      <c r="H89" s="11" t="s">
        <v>1036</v>
      </c>
      <c r="I89" s="11"/>
      <c r="J89" s="9"/>
      <c r="K89" s="11" t="s">
        <v>1751</v>
      </c>
      <c r="L89" s="12"/>
      <c r="M89" s="15"/>
      <c r="N89" s="12" t="s">
        <v>1753</v>
      </c>
      <c r="O89" s="12" t="s">
        <v>1701</v>
      </c>
    </row>
    <row r="90" spans="1:15" s="2" customFormat="1" ht="15.6">
      <c r="A90" s="35">
        <v>12.4</v>
      </c>
      <c r="B90" s="14"/>
      <c r="C90" s="15"/>
      <c r="D90" s="14"/>
      <c r="E90" s="9"/>
      <c r="F90" s="9"/>
      <c r="G90" s="14"/>
      <c r="H90" s="11" t="s">
        <v>1040</v>
      </c>
      <c r="I90" s="11"/>
      <c r="J90" s="9"/>
      <c r="K90" s="11" t="s">
        <v>1751</v>
      </c>
      <c r="L90" s="12"/>
      <c r="M90" s="15"/>
      <c r="N90" s="12" t="s">
        <v>1753</v>
      </c>
      <c r="O90" s="12" t="s">
        <v>1701</v>
      </c>
    </row>
    <row r="91" spans="1:15" s="2" customFormat="1" ht="15.6">
      <c r="A91" s="35">
        <v>12.5</v>
      </c>
      <c r="B91" s="14"/>
      <c r="C91" s="15"/>
      <c r="D91" s="14"/>
      <c r="E91" s="9"/>
      <c r="F91" s="9"/>
      <c r="G91" s="14"/>
      <c r="H91" s="11" t="s">
        <v>1044</v>
      </c>
      <c r="I91" s="11"/>
      <c r="J91" s="9"/>
      <c r="K91" s="11" t="s">
        <v>1751</v>
      </c>
      <c r="L91" s="12"/>
      <c r="M91" s="15"/>
      <c r="N91" s="12" t="s">
        <v>1753</v>
      </c>
      <c r="O91" s="12" t="s">
        <v>1701</v>
      </c>
    </row>
    <row r="92" spans="1:15" s="2" customFormat="1" ht="15.6">
      <c r="A92" s="35">
        <v>12.6</v>
      </c>
      <c r="B92" s="14"/>
      <c r="C92" s="15"/>
      <c r="D92" s="14"/>
      <c r="E92" s="9"/>
      <c r="F92" s="9"/>
      <c r="G92" s="14"/>
      <c r="H92" s="11" t="s">
        <v>1048</v>
      </c>
      <c r="I92" s="11"/>
      <c r="J92" s="9"/>
      <c r="K92" s="11" t="s">
        <v>1751</v>
      </c>
      <c r="L92" s="12"/>
      <c r="M92" s="15"/>
      <c r="N92" s="12" t="s">
        <v>1753</v>
      </c>
      <c r="O92" s="12" t="s">
        <v>1701</v>
      </c>
    </row>
    <row r="93" spans="1:15" s="2" customFormat="1" ht="15.6">
      <c r="A93" s="35">
        <v>12.7</v>
      </c>
      <c r="B93" s="14"/>
      <c r="C93" s="15"/>
      <c r="D93" s="14"/>
      <c r="E93" s="9"/>
      <c r="F93" s="9"/>
      <c r="G93" s="14"/>
      <c r="H93" s="11" t="s">
        <v>1052</v>
      </c>
      <c r="I93" s="11"/>
      <c r="J93" s="9"/>
      <c r="K93" s="11" t="s">
        <v>1751</v>
      </c>
      <c r="L93" s="12"/>
      <c r="M93" s="15"/>
      <c r="N93" s="12" t="s">
        <v>1753</v>
      </c>
      <c r="O93" s="12" t="s">
        <v>1701</v>
      </c>
    </row>
    <row r="94" spans="1:15" s="2" customFormat="1" ht="15.6">
      <c r="A94" s="35">
        <v>12.8</v>
      </c>
      <c r="B94" s="14"/>
      <c r="C94" s="15"/>
      <c r="D94" s="14"/>
      <c r="E94" s="9"/>
      <c r="F94" s="9"/>
      <c r="G94" s="14"/>
      <c r="H94" s="11" t="s">
        <v>1057</v>
      </c>
      <c r="I94" s="11"/>
      <c r="J94" s="9"/>
      <c r="K94" s="11" t="s">
        <v>1751</v>
      </c>
      <c r="L94" s="12"/>
      <c r="M94" s="15"/>
      <c r="N94" s="12" t="s">
        <v>1753</v>
      </c>
      <c r="O94" s="12" t="s">
        <v>1701</v>
      </c>
    </row>
    <row r="95" spans="1:15" s="2" customFormat="1" ht="15.6">
      <c r="A95" s="35">
        <v>12.9</v>
      </c>
      <c r="B95" s="14"/>
      <c r="C95" s="15"/>
      <c r="D95" s="14"/>
      <c r="E95" s="9"/>
      <c r="F95" s="9"/>
      <c r="G95" s="14"/>
      <c r="H95" s="11" t="s">
        <v>1061</v>
      </c>
      <c r="I95" s="11"/>
      <c r="J95" s="9"/>
      <c r="K95" s="11" t="s">
        <v>1751</v>
      </c>
      <c r="L95" s="12"/>
      <c r="M95" s="15"/>
      <c r="N95" s="12" t="s">
        <v>1753</v>
      </c>
      <c r="O95" s="12" t="s">
        <v>1701</v>
      </c>
    </row>
    <row r="96" spans="1:15" s="2" customFormat="1" ht="15.6">
      <c r="A96" s="34">
        <v>13</v>
      </c>
      <c r="B96" s="9" t="s">
        <v>434</v>
      </c>
      <c r="C96" s="10" t="s">
        <v>957</v>
      </c>
      <c r="D96" s="11" t="s">
        <v>316</v>
      </c>
      <c r="E96" s="9" t="e">
        <f>VLOOKUP(D96,'95 Chỉ tiêu'!$B$4:$F$177,2,0)</f>
        <v>#N/A</v>
      </c>
      <c r="F96" s="9" t="s">
        <v>78</v>
      </c>
      <c r="G96" s="11" t="s">
        <v>1102</v>
      </c>
      <c r="H96" s="11" t="s">
        <v>1105</v>
      </c>
      <c r="I96" s="11"/>
      <c r="J96" s="9"/>
      <c r="K96" s="11" t="s">
        <v>1754</v>
      </c>
      <c r="L96" s="12"/>
      <c r="M96" s="13" t="s">
        <v>1755</v>
      </c>
      <c r="N96" s="12" t="s">
        <v>1709</v>
      </c>
      <c r="O96" s="12"/>
    </row>
    <row r="97" spans="1:15" s="2" customFormat="1" ht="15.6">
      <c r="A97" s="35">
        <v>13.1</v>
      </c>
      <c r="B97" s="14"/>
      <c r="C97" s="15"/>
      <c r="D97" s="14"/>
      <c r="E97" s="9"/>
      <c r="F97" s="9"/>
      <c r="G97" s="14"/>
      <c r="H97" s="11" t="s">
        <v>1114</v>
      </c>
      <c r="I97" s="11"/>
      <c r="J97" s="9"/>
      <c r="K97" s="11" t="s">
        <v>1751</v>
      </c>
      <c r="L97" s="12"/>
      <c r="M97" s="15"/>
      <c r="N97" s="12" t="s">
        <v>1709</v>
      </c>
      <c r="O97" s="12"/>
    </row>
    <row r="98" spans="1:15" s="2" customFormat="1" ht="15.6">
      <c r="A98" s="35">
        <v>13.2</v>
      </c>
      <c r="B98" s="14"/>
      <c r="C98" s="15"/>
      <c r="D98" s="14"/>
      <c r="E98" s="9"/>
      <c r="F98" s="9"/>
      <c r="G98" s="14"/>
      <c r="H98" s="11" t="s">
        <v>1118</v>
      </c>
      <c r="I98" s="11"/>
      <c r="J98" s="9"/>
      <c r="K98" s="11" t="s">
        <v>1751</v>
      </c>
      <c r="L98" s="12"/>
      <c r="M98" s="15"/>
      <c r="N98" s="12" t="s">
        <v>1709</v>
      </c>
      <c r="O98" s="12"/>
    </row>
    <row r="99" spans="1:15" s="2" customFormat="1" ht="15.6">
      <c r="A99" s="35">
        <v>13.3</v>
      </c>
      <c r="B99" s="14"/>
      <c r="C99" s="15"/>
      <c r="D99" s="14"/>
      <c r="E99" s="9"/>
      <c r="F99" s="9"/>
      <c r="G99" s="14"/>
      <c r="H99" s="11" t="s">
        <v>1122</v>
      </c>
      <c r="I99" s="11"/>
      <c r="J99" s="9"/>
      <c r="K99" s="11" t="s">
        <v>1751</v>
      </c>
      <c r="L99" s="12"/>
      <c r="M99" s="15"/>
      <c r="N99" s="12" t="s">
        <v>1709</v>
      </c>
      <c r="O99" s="12"/>
    </row>
    <row r="100" spans="1:15" s="2" customFormat="1" ht="15.6">
      <c r="A100" s="35">
        <v>13.4</v>
      </c>
      <c r="B100" s="14"/>
      <c r="C100" s="15"/>
      <c r="D100" s="14"/>
      <c r="E100" s="9"/>
      <c r="F100" s="9"/>
      <c r="G100" s="14"/>
      <c r="H100" s="11" t="s">
        <v>1126</v>
      </c>
      <c r="I100" s="11"/>
      <c r="J100" s="9"/>
      <c r="K100" s="11"/>
      <c r="L100" s="12"/>
      <c r="M100" s="15"/>
      <c r="N100" s="12" t="s">
        <v>1709</v>
      </c>
      <c r="O100" s="12"/>
    </row>
    <row r="101" spans="1:15" s="2" customFormat="1" ht="15.6">
      <c r="A101" s="35">
        <v>13.5</v>
      </c>
      <c r="B101" s="14"/>
      <c r="C101" s="15"/>
      <c r="D101" s="14"/>
      <c r="E101" s="9"/>
      <c r="F101" s="9"/>
      <c r="G101" s="14"/>
      <c r="H101" s="11" t="s">
        <v>1130</v>
      </c>
      <c r="I101" s="11"/>
      <c r="J101" s="9"/>
      <c r="K101" s="11"/>
      <c r="L101" s="12"/>
      <c r="M101" s="15"/>
      <c r="N101" s="12" t="s">
        <v>1709</v>
      </c>
      <c r="O101" s="12"/>
    </row>
    <row r="102" spans="1:15" s="2" customFormat="1" ht="15.6">
      <c r="A102" s="34">
        <v>14</v>
      </c>
      <c r="B102" s="9" t="s">
        <v>434</v>
      </c>
      <c r="C102" s="10" t="s">
        <v>957</v>
      </c>
      <c r="D102" s="11" t="s">
        <v>327</v>
      </c>
      <c r="E102" s="9" t="e">
        <f>VLOOKUP(D102,'95 Chỉ tiêu'!$B$4:$F$177,2,0)</f>
        <v>#N/A</v>
      </c>
      <c r="F102" s="9" t="s">
        <v>78</v>
      </c>
      <c r="G102" s="11" t="s">
        <v>329</v>
      </c>
      <c r="H102" s="11" t="s">
        <v>1135</v>
      </c>
      <c r="I102" s="11"/>
      <c r="J102" s="9"/>
      <c r="K102" s="11" t="s">
        <v>795</v>
      </c>
      <c r="L102" s="12" t="s">
        <v>1756</v>
      </c>
      <c r="M102" s="13" t="s">
        <v>1757</v>
      </c>
      <c r="N102" s="12" t="s">
        <v>1709</v>
      </c>
      <c r="O102" s="12"/>
    </row>
    <row r="103" spans="1:15" s="2" customFormat="1" ht="15.6">
      <c r="A103" s="35">
        <v>14.1</v>
      </c>
      <c r="B103" s="14"/>
      <c r="C103" s="15"/>
      <c r="D103" s="14"/>
      <c r="E103" s="9"/>
      <c r="F103" s="9"/>
      <c r="G103" s="14"/>
      <c r="H103" s="11" t="s">
        <v>1141</v>
      </c>
      <c r="I103" s="11"/>
      <c r="J103" s="9"/>
      <c r="K103" s="11" t="s">
        <v>795</v>
      </c>
      <c r="L103" s="12"/>
      <c r="M103" s="15"/>
      <c r="N103" s="12" t="s">
        <v>1709</v>
      </c>
      <c r="O103" s="12"/>
    </row>
    <row r="104" spans="1:15" s="2" customFormat="1" ht="15.6">
      <c r="A104" s="35">
        <v>14.2</v>
      </c>
      <c r="B104" s="14"/>
      <c r="C104" s="15"/>
      <c r="D104" s="14"/>
      <c r="E104" s="9"/>
      <c r="F104" s="9"/>
      <c r="G104" s="14"/>
      <c r="H104" s="11" t="s">
        <v>1145</v>
      </c>
      <c r="I104" s="11"/>
      <c r="J104" s="9"/>
      <c r="K104" s="11" t="s">
        <v>1751</v>
      </c>
      <c r="L104" s="12"/>
      <c r="M104" s="15"/>
      <c r="N104" s="12" t="s">
        <v>1709</v>
      </c>
      <c r="O104" s="12"/>
    </row>
    <row r="105" spans="1:15" s="2" customFormat="1" ht="15.6">
      <c r="A105" s="35">
        <v>14.3</v>
      </c>
      <c r="B105" s="14"/>
      <c r="C105" s="15"/>
      <c r="D105" s="14"/>
      <c r="E105" s="9"/>
      <c r="F105" s="9"/>
      <c r="G105" s="14"/>
      <c r="H105" s="11" t="s">
        <v>1149</v>
      </c>
      <c r="I105" s="11"/>
      <c r="J105" s="9"/>
      <c r="K105" s="11" t="s">
        <v>1751</v>
      </c>
      <c r="L105" s="12"/>
      <c r="M105" s="15"/>
      <c r="N105" s="12" t="s">
        <v>1709</v>
      </c>
      <c r="O105" s="12"/>
    </row>
    <row r="106" spans="1:15" s="2" customFormat="1" ht="15.6">
      <c r="A106" s="34">
        <v>15</v>
      </c>
      <c r="B106" s="9" t="s">
        <v>434</v>
      </c>
      <c r="C106" s="10" t="s">
        <v>957</v>
      </c>
      <c r="D106" s="11" t="s">
        <v>192</v>
      </c>
      <c r="E106" s="9" t="e">
        <f>VLOOKUP(D106,'95 Chỉ tiêu'!$B$4:$F$177,2,0)</f>
        <v>#N/A</v>
      </c>
      <c r="F106" s="9" t="s">
        <v>78</v>
      </c>
      <c r="G106" s="11" t="s">
        <v>194</v>
      </c>
      <c r="H106" s="11" t="s">
        <v>1155</v>
      </c>
      <c r="I106" s="11"/>
      <c r="J106" s="9"/>
      <c r="K106" s="11" t="s">
        <v>1751</v>
      </c>
      <c r="L106" s="12" t="s">
        <v>1758</v>
      </c>
      <c r="M106" s="13" t="s">
        <v>1759</v>
      </c>
      <c r="N106" s="12" t="s">
        <v>1753</v>
      </c>
      <c r="O106" s="12" t="s">
        <v>1701</v>
      </c>
    </row>
    <row r="107" spans="1:15" s="2" customFormat="1" ht="15.6">
      <c r="A107" s="35">
        <v>15.1</v>
      </c>
      <c r="B107" s="9"/>
      <c r="C107" s="15"/>
      <c r="D107" s="14"/>
      <c r="E107" s="9"/>
      <c r="F107" s="9"/>
      <c r="G107" s="14"/>
      <c r="H107" s="11" t="s">
        <v>1158</v>
      </c>
      <c r="I107" s="11"/>
      <c r="J107" s="9"/>
      <c r="K107" s="11" t="s">
        <v>795</v>
      </c>
      <c r="L107" s="12" t="s">
        <v>1760</v>
      </c>
      <c r="M107" s="15"/>
      <c r="N107" s="12" t="s">
        <v>1753</v>
      </c>
      <c r="O107" s="12" t="s">
        <v>1701</v>
      </c>
    </row>
    <row r="108" spans="1:15" s="2" customFormat="1" ht="15.6">
      <c r="A108" s="35">
        <v>15.1</v>
      </c>
      <c r="B108" s="9"/>
      <c r="C108" s="15"/>
      <c r="D108" s="14"/>
      <c r="E108" s="9"/>
      <c r="F108" s="9"/>
      <c r="G108" s="14"/>
      <c r="H108" s="11" t="s">
        <v>1194</v>
      </c>
      <c r="I108" s="11"/>
      <c r="J108" s="9"/>
      <c r="K108" s="11" t="s">
        <v>1751</v>
      </c>
      <c r="L108" s="12"/>
      <c r="M108" s="15"/>
      <c r="N108" s="12" t="s">
        <v>1753</v>
      </c>
      <c r="O108" s="12" t="s">
        <v>1701</v>
      </c>
    </row>
    <row r="109" spans="1:15" s="2" customFormat="1" ht="15.6">
      <c r="A109" s="35">
        <v>15.2</v>
      </c>
      <c r="B109" s="14"/>
      <c r="C109" s="15"/>
      <c r="D109" s="14"/>
      <c r="E109" s="9"/>
      <c r="F109" s="9"/>
      <c r="G109" s="14"/>
      <c r="H109" s="11" t="s">
        <v>1162</v>
      </c>
      <c r="I109" s="11"/>
      <c r="J109" s="9"/>
      <c r="K109" s="11" t="s">
        <v>795</v>
      </c>
      <c r="L109" s="12" t="s">
        <v>1761</v>
      </c>
      <c r="M109" s="15"/>
      <c r="N109" s="12" t="s">
        <v>1753</v>
      </c>
      <c r="O109" s="12" t="s">
        <v>1701</v>
      </c>
    </row>
    <row r="110" spans="1:15" s="2" customFormat="1" ht="15.6">
      <c r="A110" s="35">
        <v>15.3</v>
      </c>
      <c r="B110" s="14"/>
      <c r="C110" s="15"/>
      <c r="D110" s="14"/>
      <c r="E110" s="9"/>
      <c r="F110" s="9"/>
      <c r="G110" s="14"/>
      <c r="H110" s="11" t="s">
        <v>1166</v>
      </c>
      <c r="I110" s="11"/>
      <c r="J110" s="9"/>
      <c r="K110" s="11" t="s">
        <v>1751</v>
      </c>
      <c r="L110" s="12" t="s">
        <v>1762</v>
      </c>
      <c r="M110" s="15"/>
      <c r="N110" s="12" t="s">
        <v>1753</v>
      </c>
      <c r="O110" s="12" t="s">
        <v>1701</v>
      </c>
    </row>
    <row r="111" spans="1:15" s="2" customFormat="1" ht="15.6">
      <c r="A111" s="35">
        <v>15.4</v>
      </c>
      <c r="B111" s="14"/>
      <c r="C111" s="15"/>
      <c r="D111" s="14"/>
      <c r="E111" s="9"/>
      <c r="F111" s="9"/>
      <c r="G111" s="14"/>
      <c r="H111" s="11" t="s">
        <v>1170</v>
      </c>
      <c r="I111" s="11"/>
      <c r="J111" s="9"/>
      <c r="K111" s="11" t="s">
        <v>1751</v>
      </c>
      <c r="L111" s="12"/>
      <c r="M111" s="15"/>
      <c r="N111" s="12" t="s">
        <v>1753</v>
      </c>
      <c r="O111" s="12" t="s">
        <v>1701</v>
      </c>
    </row>
    <row r="112" spans="1:15" s="2" customFormat="1" ht="15.6">
      <c r="A112" s="35">
        <v>15.5</v>
      </c>
      <c r="B112" s="14"/>
      <c r="C112" s="15"/>
      <c r="D112" s="14"/>
      <c r="E112" s="9"/>
      <c r="F112" s="9"/>
      <c r="G112" s="14"/>
      <c r="H112" s="11" t="s">
        <v>1174</v>
      </c>
      <c r="I112" s="11"/>
      <c r="J112" s="9"/>
      <c r="K112" s="11" t="s">
        <v>1751</v>
      </c>
      <c r="L112" s="12"/>
      <c r="M112" s="15"/>
      <c r="N112" s="12" t="s">
        <v>1753</v>
      </c>
      <c r="O112" s="12" t="s">
        <v>1701</v>
      </c>
    </row>
    <row r="113" spans="1:15" s="2" customFormat="1" ht="15.6">
      <c r="A113" s="35">
        <v>15.6</v>
      </c>
      <c r="B113" s="14"/>
      <c r="C113" s="15"/>
      <c r="D113" s="14"/>
      <c r="E113" s="9"/>
      <c r="F113" s="9"/>
      <c r="G113" s="14"/>
      <c r="H113" s="11" t="s">
        <v>1178</v>
      </c>
      <c r="I113" s="11"/>
      <c r="J113" s="9"/>
      <c r="K113" s="11" t="s">
        <v>1751</v>
      </c>
      <c r="L113" s="12"/>
      <c r="M113" s="15"/>
      <c r="N113" s="12" t="s">
        <v>1753</v>
      </c>
      <c r="O113" s="12" t="s">
        <v>1701</v>
      </c>
    </row>
    <row r="114" spans="1:15" s="2" customFormat="1" ht="15.6">
      <c r="A114" s="35">
        <v>15.7</v>
      </c>
      <c r="B114" s="14"/>
      <c r="C114" s="15"/>
      <c r="D114" s="14"/>
      <c r="E114" s="9"/>
      <c r="F114" s="9"/>
      <c r="G114" s="14"/>
      <c r="H114" s="11" t="s">
        <v>1182</v>
      </c>
      <c r="I114" s="11"/>
      <c r="J114" s="9"/>
      <c r="K114" s="11" t="s">
        <v>1751</v>
      </c>
      <c r="L114" s="12"/>
      <c r="M114" s="15"/>
      <c r="N114" s="12" t="s">
        <v>1753</v>
      </c>
      <c r="O114" s="12" t="s">
        <v>1701</v>
      </c>
    </row>
    <row r="115" spans="1:15" s="2" customFormat="1" ht="15.6">
      <c r="A115" s="35">
        <v>15.8</v>
      </c>
      <c r="B115" s="14"/>
      <c r="C115" s="15"/>
      <c r="D115" s="14"/>
      <c r="E115" s="9"/>
      <c r="F115" s="9"/>
      <c r="G115" s="14"/>
      <c r="H115" s="11" t="s">
        <v>1186</v>
      </c>
      <c r="I115" s="11"/>
      <c r="J115" s="9"/>
      <c r="K115" s="11" t="s">
        <v>1751</v>
      </c>
      <c r="L115" s="12"/>
      <c r="M115" s="15"/>
      <c r="N115" s="12" t="s">
        <v>1753</v>
      </c>
      <c r="O115" s="12" t="s">
        <v>1701</v>
      </c>
    </row>
    <row r="116" spans="1:15" s="2" customFormat="1" ht="15.6">
      <c r="A116" s="35">
        <v>15.9</v>
      </c>
      <c r="B116" s="14"/>
      <c r="C116" s="15"/>
      <c r="D116" s="14"/>
      <c r="E116" s="9"/>
      <c r="F116" s="9"/>
      <c r="G116" s="14"/>
      <c r="H116" s="11" t="s">
        <v>1190</v>
      </c>
      <c r="I116" s="11"/>
      <c r="J116" s="9"/>
      <c r="K116" s="11" t="s">
        <v>1751</v>
      </c>
      <c r="L116" s="12"/>
      <c r="M116" s="15"/>
      <c r="N116" s="12" t="s">
        <v>1753</v>
      </c>
      <c r="O116" s="12" t="s">
        <v>1701</v>
      </c>
    </row>
    <row r="117" spans="1:15" s="2" customFormat="1" ht="15.6">
      <c r="A117" s="34">
        <v>16</v>
      </c>
      <c r="B117" s="9" t="s">
        <v>434</v>
      </c>
      <c r="C117" s="10" t="s">
        <v>1198</v>
      </c>
      <c r="D117" s="11" t="s">
        <v>321</v>
      </c>
      <c r="E117" s="9" t="e">
        <f>VLOOKUP(D117,'95 Chỉ tiêu'!$B$4:$F$177,2,0)</f>
        <v>#N/A</v>
      </c>
      <c r="F117" s="9" t="s">
        <v>99</v>
      </c>
      <c r="G117" s="11" t="s">
        <v>1096</v>
      </c>
      <c r="H117" s="11" t="s">
        <v>1201</v>
      </c>
      <c r="I117" s="11"/>
      <c r="J117" s="9"/>
      <c r="K117" s="11" t="s">
        <v>1763</v>
      </c>
      <c r="L117" s="12"/>
      <c r="M117" s="13" t="s">
        <v>1764</v>
      </c>
      <c r="N117" s="12" t="s">
        <v>1753</v>
      </c>
      <c r="O117" s="12" t="s">
        <v>1701</v>
      </c>
    </row>
    <row r="118" spans="1:15" s="2" customFormat="1" ht="15.6">
      <c r="A118" s="35">
        <v>16.100000000000001</v>
      </c>
      <c r="B118" s="14"/>
      <c r="C118" s="15"/>
      <c r="D118" s="14"/>
      <c r="E118" s="9"/>
      <c r="F118" s="9"/>
      <c r="G118" s="14"/>
      <c r="H118" s="11" t="s">
        <v>1207</v>
      </c>
      <c r="I118" s="11"/>
      <c r="J118" s="9"/>
      <c r="K118" s="11"/>
      <c r="L118" s="12"/>
      <c r="M118" s="15"/>
      <c r="N118" s="12" t="s">
        <v>1753</v>
      </c>
      <c r="O118" s="12" t="s">
        <v>1701</v>
      </c>
    </row>
    <row r="119" spans="1:15" s="2" customFormat="1" ht="15.6">
      <c r="A119" s="35">
        <v>16.2</v>
      </c>
      <c r="B119" s="14"/>
      <c r="C119" s="15"/>
      <c r="D119" s="14"/>
      <c r="E119" s="9"/>
      <c r="F119" s="9"/>
      <c r="G119" s="14"/>
      <c r="H119" s="11" t="s">
        <v>1211</v>
      </c>
      <c r="I119" s="11"/>
      <c r="J119" s="9"/>
      <c r="K119" s="11"/>
      <c r="L119" s="12"/>
      <c r="M119" s="15"/>
      <c r="N119" s="12" t="s">
        <v>1753</v>
      </c>
      <c r="O119" s="12" t="s">
        <v>1701</v>
      </c>
    </row>
    <row r="120" spans="1:15" s="2" customFormat="1" ht="15.6">
      <c r="A120" s="35">
        <v>16.3</v>
      </c>
      <c r="B120" s="14"/>
      <c r="C120" s="15"/>
      <c r="D120" s="14"/>
      <c r="E120" s="9"/>
      <c r="F120" s="9"/>
      <c r="G120" s="14"/>
      <c r="H120" s="11" t="s">
        <v>1215</v>
      </c>
      <c r="I120" s="11"/>
      <c r="J120" s="9"/>
      <c r="K120" s="11"/>
      <c r="L120" s="12"/>
      <c r="M120" s="15"/>
      <c r="N120" s="12" t="s">
        <v>1753</v>
      </c>
      <c r="O120" s="12" t="s">
        <v>1701</v>
      </c>
    </row>
    <row r="121" spans="1:15" s="2" customFormat="1" ht="15.6">
      <c r="A121" s="35">
        <v>16.399999999999999</v>
      </c>
      <c r="B121" s="14"/>
      <c r="C121" s="15"/>
      <c r="D121" s="14"/>
      <c r="E121" s="9"/>
      <c r="F121" s="9"/>
      <c r="G121" s="14"/>
      <c r="H121" s="11" t="s">
        <v>1219</v>
      </c>
      <c r="I121" s="11"/>
      <c r="J121" s="9"/>
      <c r="K121" s="11"/>
      <c r="L121" s="12"/>
      <c r="M121" s="15"/>
      <c r="N121" s="12" t="s">
        <v>1753</v>
      </c>
      <c r="O121" s="12" t="s">
        <v>1701</v>
      </c>
    </row>
    <row r="122" spans="1:15" s="2" customFormat="1" ht="15.6">
      <c r="A122" s="35">
        <v>16.5</v>
      </c>
      <c r="B122" s="14"/>
      <c r="C122" s="15"/>
      <c r="D122" s="14"/>
      <c r="E122" s="9"/>
      <c r="F122" s="9"/>
      <c r="G122" s="14"/>
      <c r="H122" s="11" t="s">
        <v>1223</v>
      </c>
      <c r="I122" s="11"/>
      <c r="J122" s="9"/>
      <c r="K122" s="11"/>
      <c r="L122" s="12"/>
      <c r="M122" s="15"/>
      <c r="N122" s="12" t="s">
        <v>1753</v>
      </c>
      <c r="O122" s="12" t="s">
        <v>1701</v>
      </c>
    </row>
    <row r="123" spans="1:15" s="2" customFormat="1" ht="15.6">
      <c r="A123" s="34">
        <v>17</v>
      </c>
      <c r="B123" s="9" t="s">
        <v>434</v>
      </c>
      <c r="C123" s="10" t="s">
        <v>957</v>
      </c>
      <c r="D123" s="11" t="s">
        <v>129</v>
      </c>
      <c r="E123" s="9" t="e">
        <f>VLOOKUP(D123,'95 Chỉ tiêu'!$B$4:$F$177,2,0)</f>
        <v>#N/A</v>
      </c>
      <c r="F123" s="9" t="s">
        <v>78</v>
      </c>
      <c r="G123" s="11" t="s">
        <v>131</v>
      </c>
      <c r="H123" s="11" t="s">
        <v>1765</v>
      </c>
      <c r="I123" s="11"/>
      <c r="J123" s="9"/>
      <c r="K123" s="11" t="s">
        <v>795</v>
      </c>
      <c r="L123" s="12"/>
      <c r="M123" s="13" t="s">
        <v>1755</v>
      </c>
      <c r="N123" s="12" t="s">
        <v>1709</v>
      </c>
      <c r="O123" s="12"/>
    </row>
    <row r="124" spans="1:15" s="2" customFormat="1" ht="15.6">
      <c r="A124" s="35">
        <v>17.100000000000001</v>
      </c>
      <c r="B124" s="14"/>
      <c r="C124" s="15"/>
      <c r="D124" s="14"/>
      <c r="E124" s="9"/>
      <c r="F124" s="9"/>
      <c r="G124" s="14"/>
      <c r="H124" s="11" t="s">
        <v>1766</v>
      </c>
      <c r="I124" s="11"/>
      <c r="J124" s="9"/>
      <c r="K124" s="11"/>
      <c r="L124" s="12"/>
      <c r="M124" s="15"/>
      <c r="N124" s="12" t="s">
        <v>1709</v>
      </c>
      <c r="O124" s="12"/>
    </row>
    <row r="125" spans="1:15" s="2" customFormat="1" ht="15.6">
      <c r="A125" s="34">
        <v>18</v>
      </c>
      <c r="B125" s="9" t="s">
        <v>1242</v>
      </c>
      <c r="C125" s="10" t="s">
        <v>233</v>
      </c>
      <c r="D125" s="11" t="s">
        <v>234</v>
      </c>
      <c r="E125" s="9" t="e">
        <f>VLOOKUP(D125,'95 Chỉ tiêu'!$B$4:$F$177,2,0)</f>
        <v>#N/A</v>
      </c>
      <c r="F125" s="9" t="s">
        <v>111</v>
      </c>
      <c r="G125" s="11" t="s">
        <v>1243</v>
      </c>
      <c r="H125" s="11" t="s">
        <v>1246</v>
      </c>
      <c r="I125" s="11"/>
      <c r="J125" s="9"/>
      <c r="K125" s="11" t="s">
        <v>1767</v>
      </c>
      <c r="L125" s="12" t="s">
        <v>1768</v>
      </c>
      <c r="M125" s="13" t="s">
        <v>1769</v>
      </c>
      <c r="N125" s="12" t="s">
        <v>1770</v>
      </c>
      <c r="O125" s="12" t="s">
        <v>1701</v>
      </c>
    </row>
    <row r="126" spans="1:15" s="2" customFormat="1" ht="15.6">
      <c r="A126" s="35">
        <v>18.100000000000001</v>
      </c>
      <c r="B126" s="14"/>
      <c r="C126" s="15"/>
      <c r="D126" s="14"/>
      <c r="E126" s="9"/>
      <c r="F126" s="9"/>
      <c r="G126" s="14"/>
      <c r="H126" s="11" t="s">
        <v>1253</v>
      </c>
      <c r="I126" s="11"/>
      <c r="J126" s="9"/>
      <c r="K126" s="11"/>
      <c r="L126" s="12" t="s">
        <v>1771</v>
      </c>
      <c r="M126" s="15"/>
      <c r="N126" s="12" t="s">
        <v>1700</v>
      </c>
      <c r="O126" s="12" t="s">
        <v>1701</v>
      </c>
    </row>
    <row r="127" spans="1:15" s="2" customFormat="1" ht="15.6">
      <c r="A127" s="35">
        <v>18.2</v>
      </c>
      <c r="B127" s="14"/>
      <c r="C127" s="15"/>
      <c r="D127" s="14"/>
      <c r="E127" s="9"/>
      <c r="F127" s="9"/>
      <c r="G127" s="14"/>
      <c r="H127" s="11" t="s">
        <v>1258</v>
      </c>
      <c r="I127" s="11"/>
      <c r="J127" s="9"/>
      <c r="K127" s="11"/>
      <c r="L127" s="12" t="s">
        <v>1772</v>
      </c>
      <c r="M127" s="15"/>
      <c r="N127" s="12" t="s">
        <v>1773</v>
      </c>
      <c r="O127" s="12" t="s">
        <v>1701</v>
      </c>
    </row>
    <row r="128" spans="1:15" s="2" customFormat="1" ht="15.6">
      <c r="A128" s="35">
        <v>18.3</v>
      </c>
      <c r="B128" s="14"/>
      <c r="C128" s="15"/>
      <c r="D128" s="14"/>
      <c r="E128" s="9"/>
      <c r="F128" s="9"/>
      <c r="G128" s="14"/>
      <c r="H128" s="11" t="s">
        <v>1774</v>
      </c>
      <c r="I128" s="11"/>
      <c r="J128" s="9"/>
      <c r="K128" s="11"/>
      <c r="L128" s="12"/>
      <c r="M128" s="15"/>
      <c r="N128" s="12" t="s">
        <v>1770</v>
      </c>
      <c r="O128" s="12" t="s">
        <v>1701</v>
      </c>
    </row>
    <row r="129" spans="1:15" s="2" customFormat="1" ht="15.6">
      <c r="A129" s="35">
        <v>18.399999999999999</v>
      </c>
      <c r="B129" s="14"/>
      <c r="C129" s="15"/>
      <c r="D129" s="14"/>
      <c r="E129" s="9"/>
      <c r="F129" s="9"/>
      <c r="G129" s="14"/>
      <c r="H129" s="11" t="s">
        <v>1267</v>
      </c>
      <c r="I129" s="11"/>
      <c r="J129" s="9"/>
      <c r="K129" s="11"/>
      <c r="L129" s="12"/>
      <c r="M129" s="15"/>
      <c r="N129" s="12" t="s">
        <v>1770</v>
      </c>
      <c r="O129" s="12" t="s">
        <v>1701</v>
      </c>
    </row>
    <row r="130" spans="1:15" s="2" customFormat="1" ht="15.6">
      <c r="A130" s="35">
        <v>18.5</v>
      </c>
      <c r="B130" s="14"/>
      <c r="C130" s="15"/>
      <c r="D130" s="14"/>
      <c r="E130" s="9"/>
      <c r="F130" s="9"/>
      <c r="G130" s="14"/>
      <c r="H130" s="11" t="s">
        <v>1271</v>
      </c>
      <c r="I130" s="11"/>
      <c r="J130" s="9"/>
      <c r="K130" s="11"/>
      <c r="L130" s="12"/>
      <c r="M130" s="15"/>
      <c r="N130" s="12" t="s">
        <v>1775</v>
      </c>
      <c r="O130" s="12" t="s">
        <v>1701</v>
      </c>
    </row>
    <row r="131" spans="1:15" s="2" customFormat="1" ht="15.6">
      <c r="A131" s="35">
        <v>18.600000000000001</v>
      </c>
      <c r="B131" s="14"/>
      <c r="C131" s="15"/>
      <c r="D131" s="14"/>
      <c r="E131" s="9"/>
      <c r="F131" s="9"/>
      <c r="G131" s="14"/>
      <c r="H131" s="11" t="s">
        <v>1275</v>
      </c>
      <c r="I131" s="11"/>
      <c r="J131" s="9"/>
      <c r="K131" s="11"/>
      <c r="L131" s="12"/>
      <c r="M131" s="15"/>
      <c r="N131" s="12" t="s">
        <v>1775</v>
      </c>
      <c r="O131" s="12" t="s">
        <v>1701</v>
      </c>
    </row>
    <row r="132" spans="1:15" s="2" customFormat="1" ht="15.6">
      <c r="A132" s="34">
        <v>19</v>
      </c>
      <c r="B132" s="9" t="s">
        <v>1242</v>
      </c>
      <c r="C132" s="10" t="s">
        <v>233</v>
      </c>
      <c r="D132" s="11" t="s">
        <v>243</v>
      </c>
      <c r="E132" s="9" t="e">
        <f>VLOOKUP(D132,'95 Chỉ tiêu'!$B$4:$F$177,2,0)</f>
        <v>#N/A</v>
      </c>
      <c r="F132" s="9" t="s">
        <v>111</v>
      </c>
      <c r="G132" s="11" t="s">
        <v>244</v>
      </c>
      <c r="H132" s="11" t="s">
        <v>1776</v>
      </c>
      <c r="I132" s="11"/>
      <c r="J132" s="9"/>
      <c r="K132" s="11" t="s">
        <v>1767</v>
      </c>
      <c r="L132" s="12" t="s">
        <v>1776</v>
      </c>
      <c r="M132" s="13" t="s">
        <v>1755</v>
      </c>
      <c r="N132" s="12"/>
      <c r="O132" s="12" t="s">
        <v>1701</v>
      </c>
    </row>
    <row r="133" spans="1:15" s="2" customFormat="1" ht="15.6">
      <c r="A133" s="34">
        <v>20</v>
      </c>
      <c r="B133" s="9" t="s">
        <v>1242</v>
      </c>
      <c r="C133" s="10" t="s">
        <v>51</v>
      </c>
      <c r="D133" s="11" t="s">
        <v>53</v>
      </c>
      <c r="E133" s="9" t="e">
        <f>VLOOKUP(D133,'95 Chỉ tiêu'!$B$4:$F$177,2,0)</f>
        <v>#N/A</v>
      </c>
      <c r="F133" s="9" t="s">
        <v>55</v>
      </c>
      <c r="G133" s="11" t="s">
        <v>1299</v>
      </c>
      <c r="H133" s="11" t="s">
        <v>1302</v>
      </c>
      <c r="I133" s="11"/>
      <c r="J133" s="9"/>
      <c r="K133" s="11" t="s">
        <v>1777</v>
      </c>
      <c r="L133" s="12" t="s">
        <v>1778</v>
      </c>
      <c r="M133" s="13" t="s">
        <v>1779</v>
      </c>
      <c r="N133" s="12" t="s">
        <v>1780</v>
      </c>
      <c r="O133" s="12" t="s">
        <v>1701</v>
      </c>
    </row>
    <row r="134" spans="1:15" s="2" customFormat="1" ht="15.6">
      <c r="A134" s="35">
        <v>20.100000000000001</v>
      </c>
      <c r="B134" s="14"/>
      <c r="C134" s="15"/>
      <c r="D134" s="14"/>
      <c r="E134" s="9"/>
      <c r="F134" s="9"/>
      <c r="G134" s="14"/>
      <c r="H134" s="11" t="s">
        <v>1311</v>
      </c>
      <c r="I134" s="11"/>
      <c r="J134" s="9"/>
      <c r="K134" s="11" t="s">
        <v>1777</v>
      </c>
      <c r="L134" s="12"/>
      <c r="M134" s="15"/>
      <c r="N134" s="12" t="s">
        <v>1780</v>
      </c>
      <c r="O134" s="12" t="s">
        <v>1701</v>
      </c>
    </row>
    <row r="135" spans="1:15" s="2" customFormat="1" ht="15.6">
      <c r="A135" s="35">
        <v>20.2</v>
      </c>
      <c r="B135" s="14"/>
      <c r="C135" s="15"/>
      <c r="D135" s="14"/>
      <c r="E135" s="9"/>
      <c r="F135" s="9"/>
      <c r="G135" s="14"/>
      <c r="H135" s="11" t="s">
        <v>1315</v>
      </c>
      <c r="I135" s="11"/>
      <c r="J135" s="9"/>
      <c r="K135" s="11" t="s">
        <v>1777</v>
      </c>
      <c r="L135" s="12"/>
      <c r="M135" s="15"/>
      <c r="N135" s="12" t="s">
        <v>1780</v>
      </c>
      <c r="O135" s="12" t="s">
        <v>1701</v>
      </c>
    </row>
    <row r="136" spans="1:15" s="2" customFormat="1" ht="15.6">
      <c r="A136" s="35">
        <v>20.3</v>
      </c>
      <c r="B136" s="14"/>
      <c r="C136" s="15"/>
      <c r="D136" s="14"/>
      <c r="E136" s="9"/>
      <c r="F136" s="9"/>
      <c r="G136" s="14"/>
      <c r="H136" s="11" t="s">
        <v>1319</v>
      </c>
      <c r="I136" s="11"/>
      <c r="J136" s="9"/>
      <c r="K136" s="11"/>
      <c r="L136" s="12"/>
      <c r="M136" s="15"/>
      <c r="N136" s="12" t="s">
        <v>1780</v>
      </c>
      <c r="O136" s="12" t="s">
        <v>1701</v>
      </c>
    </row>
    <row r="137" spans="1:15" s="2" customFormat="1" ht="15.6">
      <c r="A137" s="35">
        <v>20.399999999999999</v>
      </c>
      <c r="B137" s="14"/>
      <c r="C137" s="15"/>
      <c r="D137" s="14"/>
      <c r="E137" s="9"/>
      <c r="F137" s="9"/>
      <c r="G137" s="14"/>
      <c r="H137" s="11" t="s">
        <v>1324</v>
      </c>
      <c r="I137" s="11"/>
      <c r="J137" s="9"/>
      <c r="K137" s="11" t="s">
        <v>795</v>
      </c>
      <c r="L137" s="12" t="s">
        <v>1326</v>
      </c>
      <c r="M137" s="15"/>
      <c r="N137" s="12" t="s">
        <v>1780</v>
      </c>
      <c r="O137" s="12" t="s">
        <v>1701</v>
      </c>
    </row>
    <row r="138" spans="1:15" s="2" customFormat="1" ht="15.6">
      <c r="A138" s="35">
        <v>20.5</v>
      </c>
      <c r="B138" s="14"/>
      <c r="C138" s="15"/>
      <c r="D138" s="14"/>
      <c r="E138" s="9"/>
      <c r="F138" s="9"/>
      <c r="G138" s="14"/>
      <c r="H138" s="11" t="s">
        <v>1330</v>
      </c>
      <c r="I138" s="11"/>
      <c r="J138" s="9"/>
      <c r="K138" s="11"/>
      <c r="L138" s="12"/>
      <c r="M138" s="15"/>
      <c r="N138" s="12" t="s">
        <v>1780</v>
      </c>
      <c r="O138" s="12" t="s">
        <v>1701</v>
      </c>
    </row>
    <row r="139" spans="1:15" s="2" customFormat="1" ht="15.6">
      <c r="A139" s="35">
        <v>20.6</v>
      </c>
      <c r="B139" s="14"/>
      <c r="C139" s="15"/>
      <c r="D139" s="14"/>
      <c r="E139" s="9"/>
      <c r="F139" s="9"/>
      <c r="G139" s="14"/>
      <c r="H139" s="11" t="s">
        <v>1781</v>
      </c>
      <c r="I139" s="11"/>
      <c r="J139" s="9"/>
      <c r="K139" s="11"/>
      <c r="L139" s="12"/>
      <c r="M139" s="15"/>
      <c r="N139" s="12" t="s">
        <v>1780</v>
      </c>
      <c r="O139" s="12" t="s">
        <v>1701</v>
      </c>
    </row>
    <row r="140" spans="1:15" s="2" customFormat="1" ht="15.6">
      <c r="A140" s="34">
        <v>21</v>
      </c>
      <c r="B140" s="9" t="s">
        <v>1782</v>
      </c>
      <c r="C140" s="10" t="s">
        <v>1601</v>
      </c>
      <c r="D140" s="11" t="s">
        <v>134</v>
      </c>
      <c r="E140" s="9" t="e">
        <f>VLOOKUP(D140,'95 Chỉ tiêu'!$B$4:$F$177,2,0)</f>
        <v>#N/A</v>
      </c>
      <c r="F140" s="9" t="s">
        <v>135</v>
      </c>
      <c r="G140" s="11" t="s">
        <v>1602</v>
      </c>
      <c r="H140" s="11" t="s">
        <v>1605</v>
      </c>
      <c r="I140" s="11"/>
      <c r="J140" s="9"/>
      <c r="K140" s="11"/>
      <c r="L140" s="12"/>
      <c r="M140" s="13"/>
      <c r="N140" s="12" t="s">
        <v>137</v>
      </c>
      <c r="O140" s="12" t="s">
        <v>1750</v>
      </c>
    </row>
    <row r="141" spans="1:15" s="2" customFormat="1" ht="15.6">
      <c r="A141" s="34">
        <v>21.1</v>
      </c>
      <c r="B141" s="14"/>
      <c r="C141" s="10"/>
      <c r="D141" s="11"/>
      <c r="E141" s="9"/>
      <c r="F141" s="9"/>
      <c r="G141" s="11"/>
      <c r="H141" s="11" t="s">
        <v>1783</v>
      </c>
      <c r="I141" s="11"/>
      <c r="J141" s="9"/>
      <c r="K141" s="11"/>
      <c r="L141" s="12"/>
      <c r="M141" s="13"/>
      <c r="N141" s="12" t="s">
        <v>137</v>
      </c>
      <c r="O141" s="12" t="s">
        <v>1750</v>
      </c>
    </row>
    <row r="142" spans="1:15" s="2" customFormat="1" ht="15.6">
      <c r="A142" s="35">
        <v>21.2</v>
      </c>
      <c r="B142" s="14"/>
      <c r="C142" s="15"/>
      <c r="D142" s="14"/>
      <c r="E142" s="9"/>
      <c r="F142" s="9"/>
      <c r="G142" s="14"/>
      <c r="H142" s="11" t="s">
        <v>1784</v>
      </c>
      <c r="I142" s="11"/>
      <c r="J142" s="9"/>
      <c r="K142" s="11"/>
      <c r="L142" s="12"/>
      <c r="M142" s="15"/>
      <c r="N142" s="12" t="s">
        <v>137</v>
      </c>
      <c r="O142" s="12" t="s">
        <v>1750</v>
      </c>
    </row>
    <row r="143" spans="1:15" s="2" customFormat="1" ht="15.6">
      <c r="A143" s="35">
        <v>21.3</v>
      </c>
      <c r="B143" s="14"/>
      <c r="C143" s="15"/>
      <c r="D143" s="14"/>
      <c r="E143" s="9"/>
      <c r="F143" s="9"/>
      <c r="G143" s="14"/>
      <c r="H143" s="11" t="s">
        <v>1785</v>
      </c>
      <c r="I143" s="11"/>
      <c r="J143" s="9"/>
      <c r="K143" s="11"/>
      <c r="L143" s="12"/>
      <c r="M143" s="15"/>
      <c r="N143" s="12" t="s">
        <v>137</v>
      </c>
      <c r="O143" s="12" t="s">
        <v>1750</v>
      </c>
    </row>
    <row r="144" spans="1:15" s="2" customFormat="1" ht="15.6">
      <c r="A144" s="35">
        <v>21.4</v>
      </c>
      <c r="B144" s="14"/>
      <c r="C144" s="15"/>
      <c r="D144" s="14"/>
      <c r="E144" s="9"/>
      <c r="F144" s="9"/>
      <c r="G144" s="14"/>
      <c r="H144" s="11" t="s">
        <v>1786</v>
      </c>
      <c r="I144" s="11"/>
      <c r="J144" s="9"/>
      <c r="K144" s="11"/>
      <c r="L144" s="12"/>
      <c r="M144" s="15"/>
      <c r="N144" s="12" t="s">
        <v>137</v>
      </c>
      <c r="O144" s="12" t="s">
        <v>1750</v>
      </c>
    </row>
    <row r="145" spans="1:15" s="2" customFormat="1" ht="15.6">
      <c r="A145" s="34">
        <v>22</v>
      </c>
      <c r="B145" s="9" t="s">
        <v>1242</v>
      </c>
      <c r="C145" s="10" t="s">
        <v>335</v>
      </c>
      <c r="D145" s="11" t="s">
        <v>333</v>
      </c>
      <c r="E145" s="9" t="e">
        <f>VLOOKUP(D145,'95 Chỉ tiêu'!$B$4:$F$177,2,0)</f>
        <v>#N/A</v>
      </c>
      <c r="F145" s="9" t="s">
        <v>78</v>
      </c>
      <c r="G145" s="11" t="s">
        <v>334</v>
      </c>
      <c r="H145" s="11" t="s">
        <v>1338</v>
      </c>
      <c r="I145" s="11"/>
      <c r="J145" s="9"/>
      <c r="K145" s="11" t="s">
        <v>1754</v>
      </c>
      <c r="L145" s="12"/>
      <c r="M145" s="13" t="s">
        <v>1714</v>
      </c>
      <c r="N145" s="12" t="s">
        <v>1709</v>
      </c>
      <c r="O145" s="12" t="s">
        <v>1787</v>
      </c>
    </row>
    <row r="146" spans="1:15" s="2" customFormat="1" ht="15.6">
      <c r="A146" s="35">
        <v>22.1</v>
      </c>
      <c r="B146" s="14"/>
      <c r="C146" s="15"/>
      <c r="D146" s="14"/>
      <c r="E146" s="9"/>
      <c r="F146" s="9"/>
      <c r="G146" s="14"/>
      <c r="H146" s="11" t="s">
        <v>1348</v>
      </c>
      <c r="I146" s="11"/>
      <c r="J146" s="9"/>
      <c r="K146" s="11"/>
      <c r="L146" s="12" t="s">
        <v>1350</v>
      </c>
      <c r="M146" s="15"/>
      <c r="N146" s="12" t="s">
        <v>1709</v>
      </c>
      <c r="O146" s="12" t="s">
        <v>1787</v>
      </c>
    </row>
    <row r="147" spans="1:15" s="2" customFormat="1" ht="15.6">
      <c r="A147" s="35">
        <v>22.2</v>
      </c>
      <c r="B147" s="14"/>
      <c r="C147" s="15"/>
      <c r="D147" s="14"/>
      <c r="E147" s="9"/>
      <c r="F147" s="9"/>
      <c r="G147" s="14"/>
      <c r="H147" s="11" t="s">
        <v>1343</v>
      </c>
      <c r="I147" s="11"/>
      <c r="J147" s="9"/>
      <c r="K147" s="11"/>
      <c r="L147" s="12" t="s">
        <v>1345</v>
      </c>
      <c r="M147" s="15"/>
      <c r="N147" s="12" t="s">
        <v>1709</v>
      </c>
      <c r="O147" s="12" t="s">
        <v>1787</v>
      </c>
    </row>
    <row r="148" spans="1:15" s="2" customFormat="1" ht="15.6">
      <c r="A148" s="35">
        <v>22.3</v>
      </c>
      <c r="B148" s="14"/>
      <c r="C148" s="15"/>
      <c r="D148" s="14"/>
      <c r="E148" s="9"/>
      <c r="F148" s="9"/>
      <c r="G148" s="14"/>
      <c r="H148" s="11" t="s">
        <v>1353</v>
      </c>
      <c r="I148" s="11"/>
      <c r="J148" s="9"/>
      <c r="K148" s="11"/>
      <c r="L148" s="12" t="s">
        <v>1788</v>
      </c>
      <c r="M148" s="15"/>
      <c r="N148" s="12" t="s">
        <v>1709</v>
      </c>
      <c r="O148" s="12" t="s">
        <v>1787</v>
      </c>
    </row>
    <row r="149" spans="1:15" s="2" customFormat="1" ht="15.6">
      <c r="A149" s="35">
        <v>22.4</v>
      </c>
      <c r="B149" s="14"/>
      <c r="C149" s="15"/>
      <c r="D149" s="14"/>
      <c r="E149" s="9"/>
      <c r="F149" s="9"/>
      <c r="G149" s="14"/>
      <c r="H149" s="11" t="s">
        <v>1358</v>
      </c>
      <c r="I149" s="11"/>
      <c r="J149" s="9"/>
      <c r="K149" s="11"/>
      <c r="L149" s="12"/>
      <c r="M149" s="15"/>
      <c r="N149" s="12" t="s">
        <v>1709</v>
      </c>
      <c r="O149" s="12" t="s">
        <v>1787</v>
      </c>
    </row>
    <row r="150" spans="1:15" s="2" customFormat="1" ht="15.6">
      <c r="A150" s="35">
        <v>22.5</v>
      </c>
      <c r="B150" s="14"/>
      <c r="C150" s="15"/>
      <c r="D150" s="14"/>
      <c r="E150" s="9"/>
      <c r="F150" s="9"/>
      <c r="G150" s="14"/>
      <c r="H150" s="11" t="s">
        <v>1366</v>
      </c>
      <c r="I150" s="11"/>
      <c r="J150" s="9"/>
      <c r="K150" s="11"/>
      <c r="L150" s="12"/>
      <c r="M150" s="15"/>
      <c r="N150" s="12" t="s">
        <v>1709</v>
      </c>
      <c r="O150" s="12" t="s">
        <v>1787</v>
      </c>
    </row>
    <row r="151" spans="1:15" s="2" customFormat="1" ht="15.6">
      <c r="A151" s="35">
        <v>22.6</v>
      </c>
      <c r="B151" s="14"/>
      <c r="C151" s="15"/>
      <c r="D151" s="14"/>
      <c r="E151" s="9"/>
      <c r="F151" s="9"/>
      <c r="G151" s="14"/>
      <c r="H151" s="11" t="s">
        <v>1362</v>
      </c>
      <c r="I151" s="11"/>
      <c r="J151" s="9"/>
      <c r="K151" s="11"/>
      <c r="L151" s="12"/>
      <c r="M151" s="15"/>
      <c r="N151" s="12" t="s">
        <v>1709</v>
      </c>
      <c r="O151" s="12" t="s">
        <v>1787</v>
      </c>
    </row>
    <row r="152" spans="1:15" s="2" customFormat="1" ht="15.6">
      <c r="A152" s="34">
        <v>23</v>
      </c>
      <c r="B152" s="9" t="s">
        <v>1242</v>
      </c>
      <c r="C152" s="10" t="s">
        <v>1789</v>
      </c>
      <c r="D152" s="11" t="s">
        <v>359</v>
      </c>
      <c r="E152" s="9" t="e">
        <f>VLOOKUP(D152,'95 Chỉ tiêu'!$B$4:$F$177,2,0)</f>
        <v>#N/A</v>
      </c>
      <c r="F152" s="9" t="s">
        <v>55</v>
      </c>
      <c r="G152" s="11" t="s">
        <v>1369</v>
      </c>
      <c r="H152" s="11" t="s">
        <v>1372</v>
      </c>
      <c r="I152" s="11"/>
      <c r="J152" s="9"/>
      <c r="K152" s="11" t="s">
        <v>795</v>
      </c>
      <c r="L152" s="18" t="s">
        <v>1790</v>
      </c>
      <c r="M152" s="13" t="s">
        <v>1791</v>
      </c>
      <c r="N152" s="12" t="s">
        <v>1709</v>
      </c>
      <c r="O152" s="12" t="s">
        <v>1787</v>
      </c>
    </row>
    <row r="153" spans="1:15" s="2" customFormat="1" ht="15.6">
      <c r="A153" s="35">
        <v>23.1</v>
      </c>
      <c r="B153" s="14"/>
      <c r="C153" s="15"/>
      <c r="D153" s="14"/>
      <c r="E153" s="9"/>
      <c r="F153" s="9"/>
      <c r="G153" s="14"/>
      <c r="H153" s="11" t="s">
        <v>1792</v>
      </c>
      <c r="I153" s="11"/>
      <c r="J153" s="9"/>
      <c r="K153" s="11"/>
      <c r="L153" s="12"/>
      <c r="M153" s="15"/>
      <c r="N153" s="12" t="s">
        <v>1709</v>
      </c>
      <c r="O153" s="12" t="s">
        <v>1787</v>
      </c>
    </row>
    <row r="154" spans="1:15" s="2" customFormat="1" ht="15.6">
      <c r="A154" s="35">
        <v>23.2</v>
      </c>
      <c r="B154" s="14"/>
      <c r="C154" s="15"/>
      <c r="D154" s="14"/>
      <c r="E154" s="9"/>
      <c r="F154" s="9"/>
      <c r="G154" s="14"/>
      <c r="H154" s="11" t="s">
        <v>1379</v>
      </c>
      <c r="I154" s="11"/>
      <c r="J154" s="9"/>
      <c r="K154" s="11"/>
      <c r="L154" s="12"/>
      <c r="M154" s="15"/>
      <c r="N154" s="12" t="s">
        <v>1709</v>
      </c>
      <c r="O154" s="12" t="s">
        <v>1787</v>
      </c>
    </row>
    <row r="155" spans="1:15" s="2" customFormat="1" ht="15.6">
      <c r="A155" s="35">
        <v>23.3</v>
      </c>
      <c r="B155" s="9"/>
      <c r="C155" s="15"/>
      <c r="D155" s="14"/>
      <c r="E155" s="9"/>
      <c r="F155" s="9"/>
      <c r="G155" s="14"/>
      <c r="H155" s="11" t="s">
        <v>1793</v>
      </c>
      <c r="I155" s="11"/>
      <c r="J155" s="9"/>
      <c r="K155" s="11"/>
      <c r="L155" s="12"/>
      <c r="M155" s="15"/>
      <c r="N155" s="12" t="s">
        <v>1709</v>
      </c>
      <c r="O155" s="12" t="s">
        <v>1787</v>
      </c>
    </row>
    <row r="156" spans="1:15" s="2" customFormat="1" ht="15.6">
      <c r="A156" s="34">
        <v>24</v>
      </c>
      <c r="B156" s="9" t="s">
        <v>1242</v>
      </c>
      <c r="C156" s="11" t="s">
        <v>1794</v>
      </c>
      <c r="D156" s="11" t="s">
        <v>366</v>
      </c>
      <c r="E156" s="9" t="e">
        <f>VLOOKUP(D156,'95 Chỉ tiêu'!$B$4:$F$177,2,0)</f>
        <v>#N/A</v>
      </c>
      <c r="F156" s="9" t="s">
        <v>55</v>
      </c>
      <c r="G156" s="11" t="s">
        <v>368</v>
      </c>
      <c r="H156" s="11"/>
      <c r="I156" s="11"/>
      <c r="J156" s="9"/>
      <c r="K156" s="11" t="s">
        <v>1754</v>
      </c>
      <c r="L156" s="12"/>
      <c r="M156" s="17"/>
      <c r="N156" s="12" t="s">
        <v>1709</v>
      </c>
      <c r="O156" s="12" t="s">
        <v>1787</v>
      </c>
    </row>
    <row r="157" spans="1:15" s="2" customFormat="1" ht="15.6">
      <c r="A157" s="34">
        <v>25</v>
      </c>
      <c r="B157" s="9" t="s">
        <v>1242</v>
      </c>
      <c r="C157" s="11" t="s">
        <v>1794</v>
      </c>
      <c r="D157" s="11" t="s">
        <v>376</v>
      </c>
      <c r="E157" s="9" t="e">
        <f>VLOOKUP(D157,'95 Chỉ tiêu'!$B$4:$F$177,2,0)</f>
        <v>#N/A</v>
      </c>
      <c r="F157" s="9" t="s">
        <v>55</v>
      </c>
      <c r="G157" s="11" t="s">
        <v>378</v>
      </c>
      <c r="H157" s="11"/>
      <c r="I157" s="11"/>
      <c r="J157" s="9"/>
      <c r="K157" s="11" t="s">
        <v>1754</v>
      </c>
      <c r="L157" s="12"/>
      <c r="M157" s="17"/>
      <c r="N157" s="12" t="s">
        <v>1709</v>
      </c>
      <c r="O157" s="12" t="s">
        <v>1787</v>
      </c>
    </row>
    <row r="158" spans="1:15" s="2" customFormat="1" ht="15.6">
      <c r="A158" s="34">
        <v>26</v>
      </c>
      <c r="B158" s="9" t="s">
        <v>86</v>
      </c>
      <c r="C158" s="10" t="s">
        <v>87</v>
      </c>
      <c r="D158" s="11" t="s">
        <v>88</v>
      </c>
      <c r="E158" s="9" t="e">
        <f>VLOOKUP(D158,'95 Chỉ tiêu'!$B$4:$F$177,2,0)</f>
        <v>#N/A</v>
      </c>
      <c r="F158" s="9" t="s">
        <v>90</v>
      </c>
      <c r="G158" s="11" t="s">
        <v>91</v>
      </c>
      <c r="H158" s="11" t="s">
        <v>1427</v>
      </c>
      <c r="I158" s="11"/>
      <c r="J158" s="9"/>
      <c r="K158" s="11"/>
      <c r="L158" s="12"/>
      <c r="M158" s="13" t="s">
        <v>1795</v>
      </c>
      <c r="N158" s="12" t="s">
        <v>1709</v>
      </c>
      <c r="O158" s="12" t="s">
        <v>1787</v>
      </c>
    </row>
    <row r="159" spans="1:15" s="2" customFormat="1" ht="15.6">
      <c r="A159" s="35">
        <v>26.1</v>
      </c>
      <c r="B159" s="14"/>
      <c r="C159" s="15"/>
      <c r="D159" s="14"/>
      <c r="E159" s="9"/>
      <c r="F159" s="9"/>
      <c r="G159" s="14"/>
      <c r="H159" s="11" t="s">
        <v>1435</v>
      </c>
      <c r="I159" s="11"/>
      <c r="J159" s="9"/>
      <c r="K159" s="11"/>
      <c r="L159" s="12"/>
      <c r="M159" s="15"/>
      <c r="N159" s="12" t="s">
        <v>1709</v>
      </c>
      <c r="O159" s="12" t="s">
        <v>1787</v>
      </c>
    </row>
    <row r="160" spans="1:15" s="2" customFormat="1" ht="15.6">
      <c r="A160" s="35">
        <v>26.2</v>
      </c>
      <c r="B160" s="14"/>
      <c r="C160" s="15"/>
      <c r="D160" s="14"/>
      <c r="E160" s="9"/>
      <c r="F160" s="9"/>
      <c r="G160" s="14"/>
      <c r="H160" s="11" t="s">
        <v>1440</v>
      </c>
      <c r="I160" s="11"/>
      <c r="J160" s="9"/>
      <c r="K160" s="11"/>
      <c r="L160" s="12"/>
      <c r="M160" s="15"/>
      <c r="N160" s="12" t="s">
        <v>1709</v>
      </c>
      <c r="O160" s="12" t="s">
        <v>1787</v>
      </c>
    </row>
    <row r="161" spans="1:15" s="2" customFormat="1" ht="15.6">
      <c r="A161" s="35">
        <v>26.3</v>
      </c>
      <c r="B161" s="14"/>
      <c r="C161" s="15"/>
      <c r="D161" s="14"/>
      <c r="E161" s="9"/>
      <c r="F161" s="9"/>
      <c r="G161" s="14"/>
      <c r="H161" s="11" t="s">
        <v>1445</v>
      </c>
      <c r="I161" s="11"/>
      <c r="J161" s="9"/>
      <c r="K161" s="11"/>
      <c r="L161" s="12"/>
      <c r="M161" s="15"/>
      <c r="N161" s="12" t="s">
        <v>1709</v>
      </c>
      <c r="O161" s="12" t="s">
        <v>1787</v>
      </c>
    </row>
    <row r="162" spans="1:15" s="2" customFormat="1" ht="15.6">
      <c r="A162" s="34">
        <v>27</v>
      </c>
      <c r="B162" s="9" t="s">
        <v>86</v>
      </c>
      <c r="C162" s="10" t="s">
        <v>87</v>
      </c>
      <c r="D162" s="11" t="s">
        <v>399</v>
      </c>
      <c r="E162" s="9"/>
      <c r="F162" s="9"/>
      <c r="G162" s="11" t="s">
        <v>1454</v>
      </c>
      <c r="H162" s="11" t="s">
        <v>542</v>
      </c>
      <c r="I162" s="11"/>
      <c r="J162" s="9"/>
      <c r="K162" s="11"/>
      <c r="L162" s="12" t="s">
        <v>1796</v>
      </c>
      <c r="M162" s="13" t="s">
        <v>1797</v>
      </c>
      <c r="N162" s="12" t="s">
        <v>1700</v>
      </c>
      <c r="O162" s="12" t="s">
        <v>1701</v>
      </c>
    </row>
    <row r="163" spans="1:15" s="2" customFormat="1" ht="15.6">
      <c r="A163" s="35">
        <v>27.1</v>
      </c>
      <c r="B163" s="14"/>
      <c r="C163" s="15"/>
      <c r="D163" s="14"/>
      <c r="E163" s="9"/>
      <c r="F163" s="9"/>
      <c r="G163" s="14"/>
      <c r="H163" s="11" t="s">
        <v>557</v>
      </c>
      <c r="I163" s="11"/>
      <c r="J163" s="9"/>
      <c r="K163" s="11"/>
      <c r="L163" s="12" t="s">
        <v>1702</v>
      </c>
      <c r="M163" s="15"/>
      <c r="N163" s="12" t="s">
        <v>1798</v>
      </c>
      <c r="O163" s="12" t="s">
        <v>1701</v>
      </c>
    </row>
    <row r="164" spans="1:15" s="2" customFormat="1" ht="15.6">
      <c r="A164" s="35">
        <v>27.1</v>
      </c>
      <c r="B164" s="14"/>
      <c r="C164" s="15"/>
      <c r="D164" s="14"/>
      <c r="E164" s="9"/>
      <c r="F164" s="9"/>
      <c r="G164" s="14"/>
      <c r="H164" s="11" t="s">
        <v>1500</v>
      </c>
      <c r="I164" s="11"/>
      <c r="J164" s="9"/>
      <c r="K164" s="11"/>
      <c r="L164" s="12"/>
      <c r="M164" s="15"/>
      <c r="N164" s="12" t="s">
        <v>1700</v>
      </c>
      <c r="O164" s="12" t="s">
        <v>1701</v>
      </c>
    </row>
    <row r="165" spans="1:15" s="2" customFormat="1" ht="15.6">
      <c r="A165" s="35">
        <v>27.11</v>
      </c>
      <c r="B165" s="14"/>
      <c r="C165" s="15"/>
      <c r="D165" s="14"/>
      <c r="E165" s="9"/>
      <c r="F165" s="9"/>
      <c r="G165" s="14"/>
      <c r="H165" s="11" t="s">
        <v>1504</v>
      </c>
      <c r="I165" s="11"/>
      <c r="J165" s="9"/>
      <c r="K165" s="11"/>
      <c r="L165" s="12"/>
      <c r="M165" s="15"/>
      <c r="N165" s="12" t="s">
        <v>1700</v>
      </c>
      <c r="O165" s="12" t="s">
        <v>1701</v>
      </c>
    </row>
    <row r="166" spans="1:15" s="2" customFormat="1" ht="15.6">
      <c r="A166" s="35">
        <v>27.2</v>
      </c>
      <c r="B166" s="14"/>
      <c r="C166" s="15"/>
      <c r="D166" s="14"/>
      <c r="E166" s="9"/>
      <c r="F166" s="9"/>
      <c r="G166" s="14"/>
      <c r="H166" s="11" t="s">
        <v>566</v>
      </c>
      <c r="I166" s="11"/>
      <c r="J166" s="9"/>
      <c r="K166" s="11"/>
      <c r="L166" s="12" t="s">
        <v>1703</v>
      </c>
      <c r="M166" s="15"/>
      <c r="N166" s="12" t="s">
        <v>1798</v>
      </c>
      <c r="O166" s="12" t="s">
        <v>1701</v>
      </c>
    </row>
    <row r="167" spans="1:15" s="2" customFormat="1" ht="15.6">
      <c r="A167" s="35">
        <v>27.3</v>
      </c>
      <c r="B167" s="14"/>
      <c r="C167" s="15"/>
      <c r="D167" s="14"/>
      <c r="E167" s="9"/>
      <c r="F167" s="9"/>
      <c r="G167" s="14"/>
      <c r="H167" s="11" t="s">
        <v>1464</v>
      </c>
      <c r="I167" s="11"/>
      <c r="J167" s="9"/>
      <c r="K167" s="11"/>
      <c r="L167" s="12" t="s">
        <v>1799</v>
      </c>
      <c r="M167" s="15"/>
      <c r="N167" s="12" t="s">
        <v>1700</v>
      </c>
      <c r="O167" s="12" t="s">
        <v>1701</v>
      </c>
    </row>
    <row r="168" spans="1:15" s="2" customFormat="1" ht="15.6">
      <c r="A168" s="35">
        <v>27.4</v>
      </c>
      <c r="B168" s="9"/>
      <c r="C168" s="10"/>
      <c r="D168" s="14"/>
      <c r="E168" s="9"/>
      <c r="F168" s="9"/>
      <c r="G168" s="9"/>
      <c r="H168" s="11" t="s">
        <v>659</v>
      </c>
      <c r="I168" s="11"/>
      <c r="J168" s="9"/>
      <c r="K168" s="11"/>
      <c r="L168" s="12" t="s">
        <v>1800</v>
      </c>
      <c r="M168" s="15"/>
      <c r="N168" s="12" t="s">
        <v>1700</v>
      </c>
      <c r="O168" s="12" t="s">
        <v>1701</v>
      </c>
    </row>
    <row r="169" spans="1:15" s="2" customFormat="1" ht="15.6">
      <c r="A169" s="35">
        <v>27.5</v>
      </c>
      <c r="B169" s="14"/>
      <c r="C169" s="15"/>
      <c r="D169" s="14"/>
      <c r="E169" s="9"/>
      <c r="F169" s="9"/>
      <c r="G169" s="14"/>
      <c r="H169" s="11" t="s">
        <v>1475</v>
      </c>
      <c r="I169" s="11"/>
      <c r="J169" s="9"/>
      <c r="K169" s="11"/>
      <c r="L169" s="12" t="s">
        <v>1801</v>
      </c>
      <c r="M169" s="15"/>
      <c r="N169" s="12" t="s">
        <v>1700</v>
      </c>
      <c r="O169" s="12" t="s">
        <v>1701</v>
      </c>
    </row>
    <row r="170" spans="1:15" s="2" customFormat="1" ht="15.6">
      <c r="A170" s="35">
        <v>27.6</v>
      </c>
      <c r="B170" s="14"/>
      <c r="C170" s="15"/>
      <c r="D170" s="14"/>
      <c r="E170" s="9"/>
      <c r="F170" s="9"/>
      <c r="G170" s="14"/>
      <c r="H170" s="11" t="s">
        <v>1480</v>
      </c>
      <c r="I170" s="11"/>
      <c r="J170" s="9"/>
      <c r="K170" s="11"/>
      <c r="L170" s="12" t="s">
        <v>1802</v>
      </c>
      <c r="M170" s="15"/>
      <c r="N170" s="12" t="s">
        <v>1700</v>
      </c>
      <c r="O170" s="12" t="s">
        <v>1701</v>
      </c>
    </row>
    <row r="171" spans="1:15" s="2" customFormat="1" ht="15.6">
      <c r="A171" s="35">
        <v>27.7</v>
      </c>
      <c r="B171" s="14"/>
      <c r="C171" s="15"/>
      <c r="D171" s="14"/>
      <c r="E171" s="9"/>
      <c r="F171" s="9"/>
      <c r="G171" s="14"/>
      <c r="H171" s="11" t="s">
        <v>1485</v>
      </c>
      <c r="I171" s="11"/>
      <c r="J171" s="9"/>
      <c r="K171" s="11"/>
      <c r="L171" s="12" t="s">
        <v>1803</v>
      </c>
      <c r="M171" s="15"/>
      <c r="N171" s="12" t="s">
        <v>1700</v>
      </c>
      <c r="O171" s="12" t="s">
        <v>1701</v>
      </c>
    </row>
    <row r="172" spans="1:15" s="2" customFormat="1" ht="15.6">
      <c r="A172" s="35">
        <v>27.8</v>
      </c>
      <c r="B172" s="14"/>
      <c r="C172" s="15"/>
      <c r="D172" s="14"/>
      <c r="E172" s="9"/>
      <c r="F172" s="9"/>
      <c r="G172" s="14"/>
      <c r="H172" s="11" t="s">
        <v>1490</v>
      </c>
      <c r="I172" s="11"/>
      <c r="J172" s="9"/>
      <c r="K172" s="11"/>
      <c r="L172" s="12"/>
      <c r="M172" s="15"/>
      <c r="N172" s="12" t="s">
        <v>1700</v>
      </c>
      <c r="O172" s="12" t="s">
        <v>1701</v>
      </c>
    </row>
    <row r="173" spans="1:15" s="2" customFormat="1" ht="15.6">
      <c r="A173" s="35">
        <v>27.9</v>
      </c>
      <c r="B173" s="14"/>
      <c r="C173" s="15"/>
      <c r="D173" s="14"/>
      <c r="E173" s="9"/>
      <c r="F173" s="9"/>
      <c r="G173" s="14"/>
      <c r="H173" s="11" t="s">
        <v>1494</v>
      </c>
      <c r="I173" s="11"/>
      <c r="J173" s="9"/>
      <c r="K173" s="11"/>
      <c r="L173" s="12"/>
      <c r="M173" s="15"/>
      <c r="N173" s="12" t="s">
        <v>1804</v>
      </c>
      <c r="O173" s="12" t="s">
        <v>1701</v>
      </c>
    </row>
    <row r="174" spans="1:15" s="2" customFormat="1" ht="15.6">
      <c r="A174" s="34">
        <v>28</v>
      </c>
      <c r="B174" s="9" t="s">
        <v>86</v>
      </c>
      <c r="C174" s="10" t="s">
        <v>87</v>
      </c>
      <c r="D174" s="11" t="s">
        <v>309</v>
      </c>
      <c r="E174" s="9" t="e">
        <f>VLOOKUP(D174,'95 Chỉ tiêu'!$B$4:$F$177,2,0)</f>
        <v>#N/A</v>
      </c>
      <c r="F174" s="9" t="s">
        <v>78</v>
      </c>
      <c r="G174" s="11" t="s">
        <v>311</v>
      </c>
      <c r="H174" s="16" t="s">
        <v>1508</v>
      </c>
      <c r="I174" s="16"/>
      <c r="J174" s="9"/>
      <c r="K174" s="11">
        <v>0</v>
      </c>
      <c r="L174" s="12"/>
      <c r="M174" s="13"/>
      <c r="N174" s="12" t="s">
        <v>1805</v>
      </c>
      <c r="O174" s="12"/>
    </row>
    <row r="175" spans="1:15" s="2" customFormat="1" ht="15.6">
      <c r="A175" s="35">
        <v>28.1</v>
      </c>
      <c r="B175" s="14"/>
      <c r="C175" s="15"/>
      <c r="D175" s="14"/>
      <c r="E175" s="9"/>
      <c r="F175" s="9"/>
      <c r="G175" s="14"/>
      <c r="H175" s="16" t="s">
        <v>1509</v>
      </c>
      <c r="I175" s="16"/>
      <c r="J175" s="9"/>
      <c r="K175" s="11"/>
      <c r="L175" s="12"/>
      <c r="M175" s="15"/>
      <c r="N175" s="12" t="s">
        <v>1805</v>
      </c>
      <c r="O175" s="12"/>
    </row>
    <row r="176" spans="1:15" s="2" customFormat="1" ht="15.6">
      <c r="A176" s="35">
        <v>28.2</v>
      </c>
      <c r="B176" s="14"/>
      <c r="C176" s="15"/>
      <c r="D176" s="14"/>
      <c r="E176" s="9"/>
      <c r="F176" s="9"/>
      <c r="G176" s="14"/>
      <c r="H176" s="16" t="s">
        <v>1510</v>
      </c>
      <c r="I176" s="16"/>
      <c r="J176" s="9"/>
      <c r="K176" s="11"/>
      <c r="L176" s="12"/>
      <c r="M176" s="15"/>
      <c r="N176" s="12" t="s">
        <v>1805</v>
      </c>
      <c r="O176" s="12"/>
    </row>
    <row r="177" spans="1:15" s="2" customFormat="1" ht="15.6">
      <c r="A177" s="34">
        <v>29</v>
      </c>
      <c r="B177" s="9" t="s">
        <v>1806</v>
      </c>
      <c r="C177" s="10" t="s">
        <v>1512</v>
      </c>
      <c r="D177" s="11" t="s">
        <v>98</v>
      </c>
      <c r="E177" s="9" t="e">
        <f>VLOOKUP(D177,'95 Chỉ tiêu'!$B$4:$F$177,2,0)</f>
        <v>#N/A</v>
      </c>
      <c r="F177" s="9" t="s">
        <v>99</v>
      </c>
      <c r="G177" s="11" t="s">
        <v>1513</v>
      </c>
      <c r="H177" s="11" t="s">
        <v>1516</v>
      </c>
      <c r="I177" s="11"/>
      <c r="J177" s="9"/>
      <c r="K177" s="11" t="s">
        <v>795</v>
      </c>
      <c r="L177" s="12" t="s">
        <v>1807</v>
      </c>
      <c r="M177" s="13"/>
      <c r="N177" s="12" t="s">
        <v>1709</v>
      </c>
      <c r="O177" s="12" t="s">
        <v>1787</v>
      </c>
    </row>
    <row r="178" spans="1:15" s="2" customFormat="1" ht="15.6">
      <c r="A178" s="35">
        <v>29.1</v>
      </c>
      <c r="B178" s="14"/>
      <c r="C178" s="15"/>
      <c r="D178" s="14"/>
      <c r="E178" s="9"/>
      <c r="F178" s="9"/>
      <c r="G178" s="14"/>
      <c r="H178" s="11" t="s">
        <v>1523</v>
      </c>
      <c r="I178" s="11"/>
      <c r="J178" s="9"/>
      <c r="K178" s="11"/>
      <c r="L178" s="12"/>
      <c r="M178" s="15"/>
      <c r="N178" s="12" t="s">
        <v>1709</v>
      </c>
      <c r="O178" s="12" t="s">
        <v>1787</v>
      </c>
    </row>
    <row r="179" spans="1:15" s="2" customFormat="1" ht="15.6">
      <c r="A179" s="35">
        <v>29.2</v>
      </c>
      <c r="B179" s="14"/>
      <c r="C179" s="15"/>
      <c r="D179" s="14"/>
      <c r="E179" s="9"/>
      <c r="F179" s="9"/>
      <c r="G179" s="14"/>
      <c r="H179" s="11" t="s">
        <v>1528</v>
      </c>
      <c r="I179" s="11"/>
      <c r="J179" s="9"/>
      <c r="K179" s="11"/>
      <c r="L179" s="12" t="s">
        <v>1808</v>
      </c>
      <c r="M179" s="15"/>
      <c r="N179" s="12" t="s">
        <v>1709</v>
      </c>
      <c r="O179" s="12" t="s">
        <v>1787</v>
      </c>
    </row>
    <row r="180" spans="1:15" s="2" customFormat="1" ht="15.6">
      <c r="A180" s="35">
        <v>29.3</v>
      </c>
      <c r="B180" s="14"/>
      <c r="C180" s="15"/>
      <c r="D180" s="14"/>
      <c r="E180" s="9"/>
      <c r="F180" s="9"/>
      <c r="G180" s="14"/>
      <c r="H180" s="11" t="s">
        <v>1534</v>
      </c>
      <c r="I180" s="11"/>
      <c r="J180" s="9"/>
      <c r="K180" s="11"/>
      <c r="L180" s="12"/>
      <c r="M180" s="15"/>
      <c r="N180" s="12" t="s">
        <v>1709</v>
      </c>
      <c r="O180" s="12" t="s">
        <v>1787</v>
      </c>
    </row>
    <row r="181" spans="1:15" s="2" customFormat="1" ht="15.6">
      <c r="A181" s="34">
        <v>30</v>
      </c>
      <c r="B181" s="9" t="s">
        <v>1806</v>
      </c>
      <c r="C181" s="10" t="s">
        <v>1512</v>
      </c>
      <c r="D181" s="11" t="s">
        <v>382</v>
      </c>
      <c r="E181" s="9" t="e">
        <f>VLOOKUP(D181,'95 Chỉ tiêu'!$B$4:$F$177,2,0)</f>
        <v>#N/A</v>
      </c>
      <c r="F181" s="9" t="s">
        <v>55</v>
      </c>
      <c r="G181" s="11" t="s">
        <v>1536</v>
      </c>
      <c r="H181" s="11" t="s">
        <v>1538</v>
      </c>
      <c r="I181" s="11"/>
      <c r="J181" s="9"/>
      <c r="K181" s="11" t="s">
        <v>1809</v>
      </c>
      <c r="L181" s="12"/>
      <c r="M181" s="13"/>
      <c r="N181" s="12" t="s">
        <v>1709</v>
      </c>
      <c r="O181" s="12" t="s">
        <v>1787</v>
      </c>
    </row>
    <row r="182" spans="1:15" s="2" customFormat="1" ht="15.6">
      <c r="A182" s="35">
        <v>30.1</v>
      </c>
      <c r="B182" s="14"/>
      <c r="C182" s="15"/>
      <c r="D182" s="14"/>
      <c r="E182" s="9"/>
      <c r="F182" s="9"/>
      <c r="G182" s="14"/>
      <c r="H182" s="11" t="s">
        <v>1543</v>
      </c>
      <c r="I182" s="11"/>
      <c r="J182" s="9"/>
      <c r="K182" s="11"/>
      <c r="L182" s="12"/>
      <c r="M182" s="15"/>
      <c r="N182" s="12" t="s">
        <v>1709</v>
      </c>
      <c r="O182" s="12" t="s">
        <v>1787</v>
      </c>
    </row>
    <row r="183" spans="1:15" s="2" customFormat="1" ht="15.6">
      <c r="A183" s="35">
        <v>30.2</v>
      </c>
      <c r="B183" s="14"/>
      <c r="C183" s="15"/>
      <c r="D183" s="14"/>
      <c r="E183" s="9"/>
      <c r="F183" s="9"/>
      <c r="G183" s="14"/>
      <c r="H183" s="11" t="s">
        <v>1547</v>
      </c>
      <c r="I183" s="11"/>
      <c r="J183" s="9"/>
      <c r="K183" s="11"/>
      <c r="L183" s="12"/>
      <c r="M183" s="15"/>
      <c r="N183" s="12" t="s">
        <v>1709</v>
      </c>
      <c r="O183" s="12" t="s">
        <v>1787</v>
      </c>
    </row>
    <row r="184" spans="1:15" s="2" customFormat="1" ht="15.6">
      <c r="A184" s="35">
        <v>30.3</v>
      </c>
      <c r="B184" s="14"/>
      <c r="C184" s="15"/>
      <c r="D184" s="14"/>
      <c r="E184" s="9"/>
      <c r="F184" s="9"/>
      <c r="G184" s="14"/>
      <c r="H184" s="11" t="s">
        <v>1551</v>
      </c>
      <c r="I184" s="11"/>
      <c r="J184" s="9"/>
      <c r="K184" s="11"/>
      <c r="L184" s="12"/>
      <c r="M184" s="15"/>
      <c r="N184" s="12" t="s">
        <v>1709</v>
      </c>
      <c r="O184" s="12" t="s">
        <v>1787</v>
      </c>
    </row>
    <row r="185" spans="1:15" s="2" customFormat="1" ht="15.6">
      <c r="A185" s="34">
        <v>31</v>
      </c>
      <c r="B185" s="9" t="s">
        <v>68</v>
      </c>
      <c r="C185" s="10" t="s">
        <v>1553</v>
      </c>
      <c r="D185" s="11" t="s">
        <v>69</v>
      </c>
      <c r="E185" s="9" t="e">
        <f>VLOOKUP(D185,'95 Chỉ tiêu'!$B$4:$F$177,2,0)</f>
        <v>#N/A</v>
      </c>
      <c r="F185" s="9" t="s">
        <v>55</v>
      </c>
      <c r="G185" s="11" t="s">
        <v>73</v>
      </c>
      <c r="H185" s="11" t="s">
        <v>1556</v>
      </c>
      <c r="I185" s="11"/>
      <c r="J185" s="9"/>
      <c r="K185" s="11" t="s">
        <v>1559</v>
      </c>
      <c r="L185" s="12"/>
      <c r="M185" s="13" t="s">
        <v>1810</v>
      </c>
      <c r="N185" s="12" t="s">
        <v>1811</v>
      </c>
      <c r="O185" s="12" t="s">
        <v>1812</v>
      </c>
    </row>
    <row r="186" spans="1:15" s="2" customFormat="1" ht="15.6">
      <c r="A186" s="35">
        <v>31.1</v>
      </c>
      <c r="B186" s="14"/>
      <c r="C186" s="15"/>
      <c r="D186" s="14"/>
      <c r="E186" s="9"/>
      <c r="F186" s="9"/>
      <c r="G186" s="14"/>
      <c r="H186" s="11" t="s">
        <v>1564</v>
      </c>
      <c r="I186" s="11"/>
      <c r="J186" s="9"/>
      <c r="K186" s="11"/>
      <c r="L186" s="12"/>
      <c r="M186" s="15"/>
      <c r="N186" s="12" t="s">
        <v>1811</v>
      </c>
      <c r="O186" s="12" t="s">
        <v>1812</v>
      </c>
    </row>
    <row r="187" spans="1:15" s="2" customFormat="1" ht="15.6">
      <c r="A187" s="35">
        <v>31.2</v>
      </c>
      <c r="B187" s="14"/>
      <c r="C187" s="15"/>
      <c r="D187" s="14"/>
      <c r="E187" s="9"/>
      <c r="F187" s="9"/>
      <c r="G187" s="14"/>
      <c r="H187" s="11" t="s">
        <v>1569</v>
      </c>
      <c r="I187" s="11"/>
      <c r="J187" s="9"/>
      <c r="K187" s="11"/>
      <c r="L187" s="12"/>
      <c r="M187" s="15"/>
      <c r="N187" s="12" t="s">
        <v>1811</v>
      </c>
      <c r="O187" s="12" t="s">
        <v>1812</v>
      </c>
    </row>
    <row r="188" spans="1:15" s="2" customFormat="1" ht="15.6">
      <c r="A188" s="35">
        <v>31.3</v>
      </c>
      <c r="B188" s="14"/>
      <c r="C188" s="15"/>
      <c r="D188" s="14"/>
      <c r="E188" s="9"/>
      <c r="F188" s="9"/>
      <c r="G188" s="14"/>
      <c r="H188" s="11" t="s">
        <v>1573</v>
      </c>
      <c r="I188" s="11"/>
      <c r="J188" s="9"/>
      <c r="K188" s="11"/>
      <c r="L188" s="12"/>
      <c r="M188" s="15"/>
      <c r="N188" s="12" t="s">
        <v>1811</v>
      </c>
      <c r="O188" s="12" t="s">
        <v>1812</v>
      </c>
    </row>
    <row r="189" spans="1:15" s="2" customFormat="1" ht="15.6">
      <c r="A189" s="34">
        <v>32</v>
      </c>
      <c r="B189" s="9" t="s">
        <v>1813</v>
      </c>
      <c r="C189" s="10" t="s">
        <v>1575</v>
      </c>
      <c r="D189" s="11" t="s">
        <v>388</v>
      </c>
      <c r="E189" s="9" t="e">
        <f>VLOOKUP(D189,'95 Chỉ tiêu'!$B$4:$F$177,2,0)</f>
        <v>#N/A</v>
      </c>
      <c r="F189" s="9" t="s">
        <v>55</v>
      </c>
      <c r="G189" s="11" t="s">
        <v>1576</v>
      </c>
      <c r="H189" s="11" t="s">
        <v>1579</v>
      </c>
      <c r="I189" s="11"/>
      <c r="J189" s="9"/>
      <c r="K189" s="11" t="s">
        <v>1754</v>
      </c>
      <c r="L189" s="12"/>
      <c r="M189" s="13" t="s">
        <v>1755</v>
      </c>
      <c r="N189" s="12" t="s">
        <v>1709</v>
      </c>
      <c r="O189" s="12"/>
    </row>
    <row r="190" spans="1:15" s="2" customFormat="1" ht="15.6">
      <c r="A190" s="35">
        <v>32.1</v>
      </c>
      <c r="B190" s="14"/>
      <c r="C190" s="15"/>
      <c r="D190" s="14"/>
      <c r="E190" s="9"/>
      <c r="F190" s="9"/>
      <c r="G190" s="14"/>
      <c r="H190" s="11" t="s">
        <v>1814</v>
      </c>
      <c r="I190" s="11"/>
      <c r="J190" s="9"/>
      <c r="K190" s="11" t="s">
        <v>1754</v>
      </c>
      <c r="L190" s="12"/>
      <c r="M190" s="15"/>
      <c r="N190" s="12" t="s">
        <v>1709</v>
      </c>
      <c r="O190" s="12"/>
    </row>
    <row r="191" spans="1:15" s="2" customFormat="1" ht="15.6">
      <c r="A191" s="35">
        <v>32.200000000000003</v>
      </c>
      <c r="B191" s="14"/>
      <c r="C191" s="15"/>
      <c r="D191" s="14"/>
      <c r="E191" s="9"/>
      <c r="F191" s="9"/>
      <c r="G191" s="14"/>
      <c r="H191" s="11" t="s">
        <v>1815</v>
      </c>
      <c r="I191" s="11"/>
      <c r="J191" s="9"/>
      <c r="K191" s="11" t="s">
        <v>1754</v>
      </c>
      <c r="L191" s="12"/>
      <c r="M191" s="15"/>
      <c r="N191" s="12" t="s">
        <v>1709</v>
      </c>
      <c r="O191" s="12"/>
    </row>
    <row r="192" spans="1:15" s="2" customFormat="1" ht="15.6">
      <c r="A192" s="35">
        <v>32.299999999999997</v>
      </c>
      <c r="B192" s="14"/>
      <c r="C192" s="15"/>
      <c r="D192" s="14"/>
      <c r="E192" s="9"/>
      <c r="F192" s="9"/>
      <c r="G192" s="14"/>
      <c r="H192" s="11" t="s">
        <v>1595</v>
      </c>
      <c r="I192" s="11"/>
      <c r="J192" s="9"/>
      <c r="K192" s="11" t="s">
        <v>1754</v>
      </c>
      <c r="L192" s="12"/>
      <c r="M192" s="15"/>
      <c r="N192" s="12" t="s">
        <v>1709</v>
      </c>
      <c r="O192" s="12"/>
    </row>
    <row r="193" spans="1:15" s="2" customFormat="1" ht="15.6">
      <c r="A193" s="35">
        <v>32.4</v>
      </c>
      <c r="B193" s="14"/>
      <c r="C193" s="15"/>
      <c r="D193" s="14"/>
      <c r="E193" s="9"/>
      <c r="F193" s="9"/>
      <c r="G193" s="14"/>
      <c r="H193" s="11" t="s">
        <v>1816</v>
      </c>
      <c r="I193" s="11"/>
      <c r="J193" s="9"/>
      <c r="K193" s="11"/>
      <c r="L193" s="12"/>
      <c r="M193" s="15"/>
      <c r="N193" s="12" t="s">
        <v>1709</v>
      </c>
      <c r="O193" s="12"/>
    </row>
    <row r="194" spans="1:15" s="2" customFormat="1" ht="15.6">
      <c r="A194" s="35" t="s">
        <v>1817</v>
      </c>
      <c r="B194" s="14"/>
      <c r="C194" s="15"/>
      <c r="D194" s="14"/>
      <c r="E194" s="9"/>
      <c r="F194" s="9"/>
      <c r="G194" s="14"/>
      <c r="H194" s="11" t="s">
        <v>943</v>
      </c>
      <c r="I194" s="11"/>
      <c r="J194" s="9"/>
      <c r="K194" s="11" t="s">
        <v>1711</v>
      </c>
      <c r="L194" s="12" t="s">
        <v>945</v>
      </c>
      <c r="M194" s="15"/>
      <c r="N194" s="12"/>
      <c r="O194" s="12"/>
    </row>
    <row r="195" spans="1:15" s="2" customFormat="1" ht="15.6">
      <c r="A195" s="35" t="s">
        <v>1818</v>
      </c>
      <c r="B195" s="14"/>
      <c r="C195" s="15"/>
      <c r="D195" s="14"/>
      <c r="E195" s="9"/>
      <c r="F195" s="9"/>
      <c r="G195" s="14"/>
      <c r="H195" s="11" t="s">
        <v>1819</v>
      </c>
      <c r="I195" s="11"/>
      <c r="J195" s="9"/>
      <c r="K195" s="11"/>
      <c r="L195" s="12"/>
      <c r="M195" s="15"/>
      <c r="N195" s="12" t="s">
        <v>1700</v>
      </c>
      <c r="O195" s="12" t="s">
        <v>1701</v>
      </c>
    </row>
    <row r="196" spans="1:15" s="2" customFormat="1" ht="15.6">
      <c r="A196" s="35" t="s">
        <v>1820</v>
      </c>
      <c r="B196" s="14"/>
      <c r="C196" s="15"/>
      <c r="D196" s="14"/>
      <c r="E196" s="9"/>
      <c r="F196" s="9"/>
      <c r="G196" s="14"/>
      <c r="H196" s="11" t="s">
        <v>871</v>
      </c>
      <c r="I196" s="11"/>
      <c r="J196" s="9"/>
      <c r="K196" s="11" t="s">
        <v>1711</v>
      </c>
      <c r="L196" s="12" t="s">
        <v>1821</v>
      </c>
      <c r="M196" s="15"/>
      <c r="N196" s="12"/>
      <c r="O196" s="12"/>
    </row>
    <row r="197" spans="1:15" s="2" customFormat="1" ht="15.6">
      <c r="A197" s="35" t="s">
        <v>1822</v>
      </c>
      <c r="B197" s="14"/>
      <c r="C197" s="15"/>
      <c r="D197" s="14"/>
      <c r="E197" s="9"/>
      <c r="F197" s="9"/>
      <c r="G197" s="14"/>
      <c r="H197" s="11" t="s">
        <v>887</v>
      </c>
      <c r="I197" s="11"/>
      <c r="J197" s="9"/>
      <c r="K197" s="11" t="s">
        <v>1711</v>
      </c>
      <c r="L197" s="12"/>
      <c r="M197" s="15"/>
      <c r="N197" s="12" t="s">
        <v>1700</v>
      </c>
      <c r="O197" s="12" t="s">
        <v>1701</v>
      </c>
    </row>
    <row r="198" spans="1:15" s="2" customFormat="1" ht="15.6">
      <c r="A198" s="35" t="s">
        <v>1823</v>
      </c>
      <c r="B198" s="14"/>
      <c r="C198" s="15"/>
      <c r="D198" s="14"/>
      <c r="E198" s="9"/>
      <c r="F198" s="9"/>
      <c r="G198" s="14"/>
      <c r="H198" s="11" t="s">
        <v>955</v>
      </c>
      <c r="I198" s="11"/>
      <c r="J198" s="9"/>
      <c r="K198" s="11" t="s">
        <v>1711</v>
      </c>
      <c r="L198" s="12"/>
      <c r="M198" s="15"/>
      <c r="N198" s="12" t="s">
        <v>1700</v>
      </c>
      <c r="O198" s="12" t="s">
        <v>1701</v>
      </c>
    </row>
    <row r="199" spans="1:15" s="2" customFormat="1" ht="15.6">
      <c r="A199" s="35" t="s">
        <v>1824</v>
      </c>
      <c r="B199" s="14"/>
      <c r="C199" s="15"/>
      <c r="D199" s="14"/>
      <c r="E199" s="9"/>
      <c r="F199" s="9"/>
      <c r="G199" s="14"/>
      <c r="H199" s="11" t="s">
        <v>877</v>
      </c>
      <c r="I199" s="11"/>
      <c r="J199" s="9"/>
      <c r="K199" s="11" t="s">
        <v>1711</v>
      </c>
      <c r="L199" s="12"/>
      <c r="M199" s="15"/>
      <c r="N199" s="12" t="s">
        <v>1825</v>
      </c>
      <c r="O199" s="12"/>
    </row>
    <row r="200" spans="1:15" s="2" customFormat="1" ht="15.6">
      <c r="A200" s="35" t="s">
        <v>1826</v>
      </c>
      <c r="B200" s="14"/>
      <c r="C200" s="15"/>
      <c r="D200" s="14"/>
      <c r="E200" s="9"/>
      <c r="F200" s="9"/>
      <c r="G200" s="14"/>
      <c r="H200" s="11" t="s">
        <v>882</v>
      </c>
      <c r="I200" s="11"/>
      <c r="J200" s="9"/>
      <c r="K200" s="11" t="s">
        <v>807</v>
      </c>
      <c r="L200" s="12" t="s">
        <v>1827</v>
      </c>
      <c r="M200" s="15"/>
      <c r="N200" s="12"/>
      <c r="O200" s="12" t="s">
        <v>1750</v>
      </c>
    </row>
    <row r="201" spans="1:15" s="2" customFormat="1" ht="15.6">
      <c r="A201" s="35" t="s">
        <v>1828</v>
      </c>
      <c r="B201" s="14"/>
      <c r="C201" s="15"/>
      <c r="D201" s="14"/>
      <c r="E201" s="9"/>
      <c r="F201" s="9"/>
      <c r="G201" s="14"/>
      <c r="H201" s="11" t="s">
        <v>887</v>
      </c>
      <c r="I201" s="11"/>
      <c r="J201" s="9"/>
      <c r="K201" s="11" t="s">
        <v>1711</v>
      </c>
      <c r="L201" s="12"/>
      <c r="M201" s="15"/>
      <c r="N201" s="12" t="s">
        <v>1829</v>
      </c>
      <c r="O201" s="12" t="s">
        <v>1701</v>
      </c>
    </row>
    <row r="202" spans="1:15" s="2" customFormat="1" ht="15.6">
      <c r="A202" s="35" t="s">
        <v>1830</v>
      </c>
      <c r="B202" s="14"/>
      <c r="C202" s="15"/>
      <c r="D202" s="14"/>
      <c r="E202" s="9"/>
      <c r="F202" s="9"/>
      <c r="G202" s="14"/>
      <c r="H202" s="11" t="s">
        <v>1831</v>
      </c>
      <c r="I202" s="11"/>
      <c r="J202" s="9"/>
      <c r="K202" s="11" t="s">
        <v>1711</v>
      </c>
      <c r="L202" s="12"/>
      <c r="M202" s="15"/>
      <c r="N202" s="12" t="s">
        <v>1829</v>
      </c>
      <c r="O202" s="12" t="s">
        <v>1701</v>
      </c>
    </row>
    <row r="203" spans="1:15" s="2" customFormat="1" ht="15.6">
      <c r="A203" s="35" t="s">
        <v>1832</v>
      </c>
      <c r="B203" s="14"/>
      <c r="C203" s="15"/>
      <c r="D203" s="14"/>
      <c r="E203" s="9"/>
      <c r="F203" s="9"/>
      <c r="G203" s="14"/>
      <c r="H203" s="11" t="s">
        <v>895</v>
      </c>
      <c r="I203" s="11"/>
      <c r="J203" s="9"/>
      <c r="K203" s="11" t="s">
        <v>766</v>
      </c>
      <c r="L203" s="12" t="s">
        <v>1833</v>
      </c>
      <c r="M203" s="15"/>
      <c r="N203" s="12" t="s">
        <v>1700</v>
      </c>
      <c r="O203" s="12" t="s">
        <v>1701</v>
      </c>
    </row>
    <row r="204" spans="1:15" s="2" customFormat="1" ht="15.6">
      <c r="A204" s="35" t="s">
        <v>1834</v>
      </c>
      <c r="B204" s="14"/>
      <c r="C204" s="15"/>
      <c r="D204" s="14"/>
      <c r="E204" s="9"/>
      <c r="F204" s="9"/>
      <c r="G204" s="14"/>
      <c r="H204" s="11" t="s">
        <v>901</v>
      </c>
      <c r="I204" s="11"/>
      <c r="J204" s="9"/>
      <c r="K204" s="11" t="s">
        <v>766</v>
      </c>
      <c r="L204" s="12" t="s">
        <v>1835</v>
      </c>
      <c r="M204" s="15"/>
      <c r="N204" s="12" t="s">
        <v>1700</v>
      </c>
      <c r="O204" s="12" t="s">
        <v>1701</v>
      </c>
    </row>
    <row r="205" spans="1:15" s="2" customFormat="1" ht="15.6">
      <c r="A205" s="35" t="s">
        <v>1836</v>
      </c>
      <c r="B205" s="14"/>
      <c r="C205" s="15"/>
      <c r="D205" s="14"/>
      <c r="E205" s="9"/>
      <c r="F205" s="9"/>
      <c r="G205" s="14"/>
      <c r="H205" s="11" t="s">
        <v>871</v>
      </c>
      <c r="I205" s="11"/>
      <c r="J205" s="9"/>
      <c r="K205" s="11" t="s">
        <v>1711</v>
      </c>
      <c r="L205" s="12" t="s">
        <v>1837</v>
      </c>
      <c r="M205" s="15"/>
      <c r="N205" s="12"/>
      <c r="O205" s="12"/>
    </row>
    <row r="206" spans="1:15" ht="15.6">
      <c r="A206" s="36"/>
      <c r="B206" s="4"/>
      <c r="C206" s="5"/>
      <c r="D206" s="4"/>
      <c r="E206" s="4"/>
      <c r="F206" s="4"/>
      <c r="G206" s="4"/>
      <c r="H206" s="5"/>
      <c r="I206" s="5"/>
      <c r="J206" s="6"/>
      <c r="K206" s="5"/>
      <c r="L206" s="3"/>
      <c r="M206" s="6"/>
      <c r="N206" s="5"/>
      <c r="O206" s="5"/>
    </row>
    <row r="207" spans="1:15" ht="15.6">
      <c r="A207" s="36"/>
      <c r="B207" s="4"/>
      <c r="C207" s="5"/>
      <c r="D207" s="4"/>
      <c r="E207" s="4"/>
      <c r="F207" s="4"/>
      <c r="G207" s="4"/>
      <c r="H207" s="5"/>
      <c r="I207" s="5"/>
      <c r="J207" s="6"/>
      <c r="K207" s="5"/>
      <c r="L207" s="3"/>
      <c r="M207" s="6"/>
      <c r="N207" s="5"/>
      <c r="O207" s="5"/>
    </row>
    <row r="208" spans="1:15" ht="15.6">
      <c r="A208" s="36"/>
      <c r="B208" s="4"/>
      <c r="C208" s="5"/>
      <c r="D208" s="4"/>
      <c r="E208" s="4"/>
      <c r="F208" s="4"/>
      <c r="G208" s="4"/>
      <c r="H208" s="5"/>
      <c r="I208" s="5"/>
      <c r="J208" s="6"/>
      <c r="K208" s="5"/>
      <c r="L208" s="3"/>
      <c r="M208" s="6"/>
      <c r="N208" s="5"/>
      <c r="O208" s="5"/>
    </row>
    <row r="209" spans="1:15" ht="15.6">
      <c r="A209" s="36"/>
      <c r="B209" s="4"/>
      <c r="C209" s="5"/>
      <c r="D209" s="4"/>
      <c r="E209" s="4"/>
      <c r="F209" s="4"/>
      <c r="G209" s="4"/>
      <c r="H209" s="5"/>
      <c r="I209" s="5"/>
      <c r="J209" s="6"/>
      <c r="K209" s="5"/>
      <c r="L209" s="3"/>
      <c r="M209" s="6"/>
      <c r="N209" s="5"/>
      <c r="O209" s="5"/>
    </row>
    <row r="210" spans="1:15" ht="15.6">
      <c r="A210" s="36"/>
      <c r="B210" s="4"/>
      <c r="C210" s="5"/>
      <c r="D210" s="4"/>
      <c r="E210" s="4"/>
      <c r="F210" s="4"/>
      <c r="G210" s="4"/>
      <c r="H210" s="5"/>
      <c r="I210" s="5"/>
      <c r="J210" s="6"/>
      <c r="K210" s="5"/>
      <c r="L210" s="3"/>
      <c r="M210" s="6"/>
      <c r="N210" s="5"/>
      <c r="O210" s="5"/>
    </row>
    <row r="211" spans="1:15" ht="15.6">
      <c r="A211" s="36"/>
      <c r="B211" s="4"/>
      <c r="C211" s="5"/>
      <c r="D211" s="4"/>
      <c r="E211" s="4"/>
      <c r="F211" s="4"/>
      <c r="G211" s="4"/>
      <c r="H211" s="5"/>
      <c r="I211" s="5"/>
      <c r="J211" s="6"/>
      <c r="K211" s="5"/>
      <c r="L211" s="3"/>
      <c r="M211" s="6"/>
      <c r="N211" s="5"/>
      <c r="O211" s="5"/>
    </row>
    <row r="212" spans="1:15" ht="15.6">
      <c r="A212" s="36"/>
      <c r="B212" s="4"/>
      <c r="C212" s="5"/>
      <c r="D212" s="4"/>
      <c r="E212" s="4"/>
      <c r="F212" s="4"/>
      <c r="G212" s="4"/>
      <c r="H212" s="5"/>
      <c r="I212" s="5"/>
      <c r="J212" s="6"/>
      <c r="K212" s="5"/>
      <c r="L212" s="3"/>
      <c r="M212" s="6"/>
      <c r="N212" s="5"/>
      <c r="O212" s="5"/>
    </row>
    <row r="213" spans="1:15" ht="15.6">
      <c r="A213" s="36"/>
      <c r="B213" s="4"/>
      <c r="C213" s="5"/>
      <c r="D213" s="4"/>
      <c r="E213" s="4"/>
      <c r="F213" s="4"/>
      <c r="G213" s="4"/>
      <c r="H213" s="5"/>
      <c r="I213" s="5"/>
      <c r="J213" s="6"/>
      <c r="K213" s="5"/>
      <c r="L213" s="3"/>
      <c r="M213" s="6"/>
      <c r="N213" s="5"/>
      <c r="O213" s="5"/>
    </row>
    <row r="214" spans="1:15" ht="15.6">
      <c r="A214" s="36"/>
      <c r="B214" s="4"/>
      <c r="C214" s="5"/>
      <c r="D214" s="4"/>
      <c r="E214" s="4"/>
      <c r="F214" s="4"/>
      <c r="G214" s="4"/>
      <c r="H214" s="5"/>
      <c r="I214" s="5"/>
      <c r="J214" s="6"/>
      <c r="K214" s="5"/>
      <c r="L214" s="3"/>
      <c r="M214" s="6"/>
      <c r="N214" s="5"/>
      <c r="O214" s="5"/>
    </row>
    <row r="215" spans="1:15" ht="15.6">
      <c r="A215" s="36"/>
      <c r="B215" s="4"/>
      <c r="C215" s="5"/>
      <c r="D215" s="4"/>
      <c r="E215" s="4"/>
      <c r="F215" s="4"/>
      <c r="G215" s="4"/>
      <c r="H215" s="5"/>
      <c r="I215" s="5"/>
      <c r="J215" s="6"/>
      <c r="K215" s="5"/>
      <c r="L215" s="3"/>
      <c r="M215" s="6"/>
      <c r="N215" s="5"/>
      <c r="O215" s="5"/>
    </row>
    <row r="216" spans="1:15" ht="15.6">
      <c r="A216" s="36"/>
      <c r="B216" s="4"/>
      <c r="C216" s="5"/>
      <c r="D216" s="4"/>
      <c r="E216" s="4"/>
      <c r="F216" s="4"/>
      <c r="G216" s="4"/>
      <c r="H216" s="5"/>
      <c r="I216" s="5"/>
      <c r="J216" s="6"/>
      <c r="K216" s="5"/>
      <c r="L216" s="3"/>
      <c r="M216" s="6"/>
      <c r="N216" s="5"/>
      <c r="O216" s="5"/>
    </row>
    <row r="217" spans="1:15" ht="15.6">
      <c r="A217" s="36"/>
      <c r="B217" s="4"/>
      <c r="C217" s="5"/>
      <c r="D217" s="4"/>
      <c r="E217" s="4"/>
      <c r="F217" s="4"/>
      <c r="G217" s="4"/>
      <c r="H217" s="5"/>
      <c r="I217" s="5"/>
      <c r="J217" s="6"/>
      <c r="K217" s="5"/>
      <c r="L217" s="3"/>
      <c r="M217" s="6"/>
      <c r="N217" s="5"/>
      <c r="O217" s="5"/>
    </row>
    <row r="218" spans="1:15" ht="15.6">
      <c r="A218" s="36"/>
      <c r="B218" s="4"/>
      <c r="C218" s="5"/>
      <c r="D218" s="4"/>
      <c r="E218" s="4"/>
      <c r="F218" s="4"/>
      <c r="G218" s="4"/>
      <c r="H218" s="5"/>
      <c r="I218" s="5"/>
      <c r="J218" s="6"/>
      <c r="K218" s="5"/>
      <c r="L218" s="3"/>
      <c r="M218" s="6"/>
      <c r="N218" s="5"/>
      <c r="O218" s="5"/>
    </row>
    <row r="219" spans="1:15" ht="15.6">
      <c r="A219" s="36"/>
      <c r="B219" s="4"/>
      <c r="C219" s="5"/>
      <c r="D219" s="4"/>
      <c r="E219" s="4"/>
      <c r="F219" s="4"/>
      <c r="G219" s="4"/>
      <c r="H219" s="5"/>
      <c r="I219" s="5"/>
      <c r="J219" s="6"/>
      <c r="K219" s="5"/>
      <c r="L219" s="3"/>
      <c r="M219" s="6"/>
      <c r="N219" s="5"/>
      <c r="O219" s="5"/>
    </row>
    <row r="220" spans="1:15" ht="15.6">
      <c r="A220" s="36"/>
      <c r="B220" s="4"/>
      <c r="C220" s="5"/>
      <c r="D220" s="4"/>
      <c r="E220" s="4"/>
      <c r="F220" s="4"/>
      <c r="G220" s="4"/>
      <c r="H220" s="5"/>
      <c r="I220" s="5"/>
      <c r="J220" s="6"/>
      <c r="K220" s="5"/>
      <c r="L220" s="3"/>
      <c r="M220" s="6"/>
      <c r="N220" s="5"/>
      <c r="O220" s="5"/>
    </row>
    <row r="221" spans="1:15" ht="15.6">
      <c r="A221" s="36"/>
      <c r="B221" s="4"/>
      <c r="C221" s="5"/>
      <c r="D221" s="4"/>
      <c r="E221" s="4"/>
      <c r="F221" s="4"/>
      <c r="G221" s="4"/>
      <c r="H221" s="5"/>
      <c r="I221" s="5"/>
      <c r="J221" s="6"/>
      <c r="K221" s="5"/>
      <c r="L221" s="3"/>
      <c r="M221" s="6"/>
      <c r="N221" s="5"/>
      <c r="O221" s="5"/>
    </row>
    <row r="222" spans="1:15" ht="15.6">
      <c r="A222" s="36"/>
      <c r="B222" s="4"/>
      <c r="C222" s="5"/>
      <c r="D222" s="4"/>
      <c r="E222" s="4"/>
      <c r="F222" s="4"/>
      <c r="G222" s="4"/>
      <c r="H222" s="5"/>
      <c r="I222" s="5"/>
      <c r="J222" s="6"/>
      <c r="K222" s="5"/>
      <c r="L222" s="3"/>
      <c r="M222" s="6"/>
      <c r="N222" s="5"/>
      <c r="O222" s="5"/>
    </row>
    <row r="223" spans="1:15" ht="15.6">
      <c r="A223" s="36"/>
      <c r="B223" s="4"/>
      <c r="C223" s="5"/>
      <c r="D223" s="4"/>
      <c r="E223" s="4"/>
      <c r="F223" s="4"/>
      <c r="G223" s="4"/>
      <c r="H223" s="5"/>
      <c r="I223" s="5"/>
      <c r="J223" s="6"/>
      <c r="K223" s="5"/>
      <c r="L223" s="3"/>
      <c r="M223" s="6"/>
      <c r="N223" s="5"/>
      <c r="O223" s="5"/>
    </row>
    <row r="224" spans="1:15" ht="15.6">
      <c r="A224" s="36"/>
      <c r="B224" s="4"/>
      <c r="C224" s="5"/>
      <c r="D224" s="4"/>
      <c r="E224" s="4"/>
      <c r="F224" s="4"/>
      <c r="G224" s="4"/>
      <c r="H224" s="5"/>
      <c r="I224" s="5"/>
      <c r="J224" s="6"/>
      <c r="K224" s="5"/>
      <c r="L224" s="3"/>
      <c r="M224" s="6"/>
      <c r="N224" s="5"/>
      <c r="O224" s="5"/>
    </row>
    <row r="225" spans="1:15" ht="15.6">
      <c r="A225" s="36"/>
      <c r="B225" s="4"/>
      <c r="C225" s="5"/>
      <c r="D225" s="4"/>
      <c r="E225" s="4"/>
      <c r="F225" s="4"/>
      <c r="G225" s="4"/>
      <c r="H225" s="5"/>
      <c r="I225" s="5"/>
      <c r="J225" s="6"/>
      <c r="K225" s="5"/>
      <c r="L225" s="3"/>
      <c r="M225" s="6"/>
      <c r="N225" s="5"/>
      <c r="O225" s="5"/>
    </row>
    <row r="226" spans="1:15" ht="15.6">
      <c r="A226" s="36"/>
      <c r="B226" s="4"/>
      <c r="C226" s="5"/>
      <c r="D226" s="4"/>
      <c r="E226" s="4"/>
      <c r="F226" s="4"/>
      <c r="G226" s="4"/>
      <c r="H226" s="5"/>
      <c r="I226" s="5"/>
      <c r="J226" s="6"/>
      <c r="K226" s="5"/>
      <c r="L226" s="3"/>
      <c r="M226" s="6"/>
      <c r="N226" s="5"/>
      <c r="O226" s="5"/>
    </row>
    <row r="227" spans="1:15" ht="15.6">
      <c r="A227" s="36"/>
      <c r="B227" s="4"/>
      <c r="C227" s="5"/>
      <c r="D227" s="4"/>
      <c r="E227" s="4"/>
      <c r="F227" s="4"/>
      <c r="G227" s="4"/>
      <c r="H227" s="5"/>
      <c r="I227" s="5"/>
      <c r="J227" s="6"/>
      <c r="K227" s="5"/>
      <c r="L227" s="3"/>
      <c r="M227" s="6"/>
      <c r="N227" s="5"/>
      <c r="O227" s="5"/>
    </row>
    <row r="228" spans="1:15" ht="15.6">
      <c r="A228" s="36"/>
      <c r="B228" s="4"/>
      <c r="C228" s="5"/>
      <c r="D228" s="4"/>
      <c r="E228" s="4"/>
      <c r="F228" s="4"/>
      <c r="G228" s="4"/>
      <c r="H228" s="5"/>
      <c r="I228" s="5"/>
      <c r="J228" s="6"/>
      <c r="K228" s="5"/>
      <c r="L228" s="3"/>
      <c r="M228" s="6"/>
      <c r="N228" s="5"/>
      <c r="O228" s="5"/>
    </row>
    <row r="229" spans="1:15" ht="15.6">
      <c r="A229" s="36"/>
      <c r="B229" s="4"/>
      <c r="C229" s="5"/>
      <c r="D229" s="4"/>
      <c r="E229" s="4"/>
      <c r="F229" s="4"/>
      <c r="G229" s="4"/>
      <c r="H229" s="5"/>
      <c r="I229" s="5"/>
      <c r="J229" s="6"/>
      <c r="K229" s="5"/>
      <c r="L229" s="3"/>
      <c r="M229" s="6"/>
      <c r="N229" s="5"/>
      <c r="O229" s="5"/>
    </row>
    <row r="230" spans="1:15" ht="15.6">
      <c r="A230" s="36"/>
      <c r="B230" s="4"/>
      <c r="C230" s="5"/>
      <c r="D230" s="4"/>
      <c r="E230" s="4"/>
      <c r="F230" s="4"/>
      <c r="G230" s="4"/>
      <c r="H230" s="5"/>
      <c r="I230" s="5"/>
      <c r="J230" s="6"/>
      <c r="K230" s="5"/>
      <c r="L230" s="3"/>
      <c r="M230" s="6"/>
      <c r="N230" s="5"/>
      <c r="O230" s="5"/>
    </row>
    <row r="231" spans="1:15" ht="15.6">
      <c r="A231" s="36"/>
      <c r="B231" s="4"/>
      <c r="C231" s="5"/>
      <c r="D231" s="4"/>
      <c r="E231" s="4"/>
      <c r="F231" s="4"/>
      <c r="G231" s="4"/>
      <c r="H231" s="5"/>
      <c r="I231" s="5"/>
      <c r="J231" s="6"/>
      <c r="K231" s="5"/>
      <c r="L231" s="3"/>
      <c r="M231" s="6"/>
      <c r="N231" s="5"/>
      <c r="O231" s="5"/>
    </row>
    <row r="232" spans="1:15" ht="15.6">
      <c r="A232" s="36"/>
      <c r="B232" s="4"/>
      <c r="C232" s="5"/>
      <c r="D232" s="4"/>
      <c r="E232" s="4"/>
      <c r="F232" s="4"/>
      <c r="G232" s="4"/>
      <c r="H232" s="5"/>
      <c r="I232" s="5"/>
      <c r="J232" s="6"/>
      <c r="K232" s="5"/>
      <c r="L232" s="3"/>
      <c r="M232" s="6"/>
      <c r="N232" s="5"/>
      <c r="O232" s="5"/>
    </row>
    <row r="233" spans="1:15" ht="15.6">
      <c r="A233" s="36"/>
      <c r="B233" s="4"/>
      <c r="C233" s="5"/>
      <c r="D233" s="4"/>
      <c r="E233" s="4"/>
      <c r="F233" s="4"/>
      <c r="G233" s="4"/>
      <c r="H233" s="5"/>
      <c r="I233" s="5"/>
      <c r="J233" s="6"/>
      <c r="K233" s="5"/>
      <c r="L233" s="3"/>
      <c r="M233" s="6"/>
      <c r="N233" s="5"/>
      <c r="O233" s="5"/>
    </row>
    <row r="234" spans="1:15" ht="15.6">
      <c r="A234" s="36"/>
      <c r="B234" s="4"/>
      <c r="C234" s="5"/>
      <c r="D234" s="4"/>
      <c r="E234" s="4"/>
      <c r="F234" s="4"/>
      <c r="G234" s="4"/>
      <c r="H234" s="5"/>
      <c r="I234" s="5"/>
      <c r="J234" s="6"/>
      <c r="K234" s="5"/>
      <c r="L234" s="3"/>
      <c r="M234" s="6"/>
      <c r="N234" s="5"/>
      <c r="O234" s="5"/>
    </row>
    <row r="235" spans="1:15" ht="15.6">
      <c r="A235" s="36"/>
      <c r="B235" s="4"/>
      <c r="C235" s="5"/>
      <c r="D235" s="4"/>
      <c r="E235" s="4"/>
      <c r="F235" s="4"/>
      <c r="G235" s="4"/>
      <c r="H235" s="5"/>
      <c r="I235" s="5"/>
      <c r="J235" s="6"/>
      <c r="K235" s="5"/>
      <c r="L235" s="3"/>
      <c r="M235" s="6"/>
      <c r="N235" s="5"/>
      <c r="O235" s="5"/>
    </row>
    <row r="236" spans="1:15" ht="15.6">
      <c r="A236" s="36"/>
      <c r="B236" s="4"/>
      <c r="C236" s="5"/>
      <c r="D236" s="4"/>
      <c r="E236" s="4"/>
      <c r="F236" s="4"/>
      <c r="G236" s="4"/>
      <c r="H236" s="5"/>
      <c r="I236" s="5"/>
      <c r="J236" s="6"/>
      <c r="K236" s="5"/>
      <c r="L236" s="3"/>
      <c r="M236" s="6"/>
      <c r="N236" s="5"/>
      <c r="O236" s="5"/>
    </row>
    <row r="237" spans="1:15" ht="15.6">
      <c r="A237" s="36"/>
      <c r="B237" s="4"/>
      <c r="C237" s="5"/>
      <c r="D237" s="4"/>
      <c r="E237" s="4"/>
      <c r="F237" s="4"/>
      <c r="G237" s="4"/>
      <c r="H237" s="5"/>
      <c r="I237" s="5"/>
      <c r="J237" s="6"/>
      <c r="K237" s="5"/>
      <c r="L237" s="3"/>
      <c r="M237" s="6"/>
      <c r="N237" s="5"/>
      <c r="O237" s="5"/>
    </row>
    <row r="238" spans="1:15" ht="15.6">
      <c r="A238" s="36"/>
      <c r="B238" s="4"/>
      <c r="C238" s="5"/>
      <c r="D238" s="4"/>
      <c r="E238" s="4"/>
      <c r="F238" s="4"/>
      <c r="G238" s="4"/>
      <c r="H238" s="5"/>
      <c r="I238" s="5"/>
      <c r="J238" s="6"/>
      <c r="K238" s="5"/>
      <c r="L238" s="3"/>
      <c r="M238" s="6"/>
      <c r="N238" s="5"/>
      <c r="O238" s="5"/>
    </row>
    <row r="239" spans="1:15" ht="15.6">
      <c r="A239" s="36"/>
      <c r="B239" s="4"/>
      <c r="C239" s="5"/>
      <c r="D239" s="4"/>
      <c r="E239" s="4"/>
      <c r="F239" s="4"/>
      <c r="G239" s="4"/>
      <c r="H239" s="5"/>
      <c r="I239" s="5"/>
      <c r="J239" s="6"/>
      <c r="K239" s="5"/>
      <c r="L239" s="3"/>
      <c r="M239" s="6"/>
      <c r="N239" s="5"/>
      <c r="O239" s="5"/>
    </row>
    <row r="240" spans="1:15" ht="15.6">
      <c r="A240" s="36"/>
      <c r="B240" s="4"/>
      <c r="C240" s="5"/>
      <c r="D240" s="4"/>
      <c r="E240" s="4"/>
      <c r="F240" s="4"/>
      <c r="G240" s="4"/>
      <c r="H240" s="5"/>
      <c r="I240" s="5"/>
      <c r="J240" s="6"/>
      <c r="K240" s="5"/>
      <c r="L240" s="3"/>
      <c r="M240" s="6"/>
      <c r="N240" s="5"/>
      <c r="O240" s="5"/>
    </row>
    <row r="241" spans="1:15" ht="15.6">
      <c r="A241" s="36"/>
      <c r="B241" s="4"/>
      <c r="C241" s="5"/>
      <c r="D241" s="4"/>
      <c r="E241" s="4"/>
      <c r="F241" s="4"/>
      <c r="G241" s="4"/>
      <c r="H241" s="5"/>
      <c r="I241" s="5"/>
      <c r="J241" s="6"/>
      <c r="K241" s="5"/>
      <c r="L241" s="3"/>
      <c r="M241" s="6"/>
      <c r="N241" s="5"/>
      <c r="O241" s="5"/>
    </row>
    <row r="242" spans="1:15" ht="15.6">
      <c r="A242" s="36"/>
      <c r="B242" s="4"/>
      <c r="C242" s="5"/>
      <c r="D242" s="4"/>
      <c r="E242" s="4"/>
      <c r="F242" s="4"/>
      <c r="G242" s="4"/>
      <c r="H242" s="5"/>
      <c r="I242" s="5"/>
      <c r="J242" s="6"/>
      <c r="K242" s="5"/>
      <c r="L242" s="3"/>
      <c r="M242" s="6"/>
      <c r="N242" s="5"/>
      <c r="O242" s="5"/>
    </row>
    <row r="243" spans="1:15" ht="15.6">
      <c r="A243" s="36"/>
      <c r="B243" s="4"/>
      <c r="C243" s="5"/>
      <c r="D243" s="4"/>
      <c r="E243" s="4"/>
      <c r="F243" s="4"/>
      <c r="G243" s="4"/>
      <c r="H243" s="5"/>
      <c r="I243" s="5"/>
      <c r="J243" s="6"/>
      <c r="K243" s="5"/>
      <c r="L243" s="3"/>
      <c r="M243" s="6"/>
      <c r="N243" s="5"/>
      <c r="O243" s="5"/>
    </row>
    <row r="244" spans="1:15" ht="15.6">
      <c r="A244" s="36"/>
      <c r="B244" s="4"/>
      <c r="C244" s="5"/>
      <c r="D244" s="4"/>
      <c r="E244" s="4"/>
      <c r="F244" s="4"/>
      <c r="G244" s="4"/>
      <c r="H244" s="5"/>
      <c r="I244" s="5"/>
      <c r="J244" s="6"/>
      <c r="K244" s="5"/>
      <c r="L244" s="3"/>
      <c r="M244" s="6"/>
      <c r="N244" s="5"/>
      <c r="O244" s="5"/>
    </row>
    <row r="245" spans="1:15" ht="15.6">
      <c r="A245" s="36"/>
      <c r="B245" s="4"/>
      <c r="C245" s="5"/>
      <c r="D245" s="4"/>
      <c r="E245" s="4"/>
      <c r="F245" s="4"/>
      <c r="G245" s="4"/>
      <c r="H245" s="5"/>
      <c r="I245" s="5"/>
      <c r="J245" s="6"/>
      <c r="K245" s="5"/>
      <c r="L245" s="3"/>
      <c r="M245" s="6"/>
      <c r="N245" s="5"/>
      <c r="O245" s="5"/>
    </row>
    <row r="246" spans="1:15" ht="15.6">
      <c r="A246" s="36"/>
      <c r="B246" s="4"/>
      <c r="C246" s="5"/>
      <c r="D246" s="4"/>
      <c r="E246" s="4"/>
      <c r="F246" s="4"/>
      <c r="G246" s="4"/>
      <c r="H246" s="5"/>
      <c r="I246" s="5"/>
      <c r="J246" s="6"/>
      <c r="K246" s="5"/>
      <c r="L246" s="3"/>
      <c r="M246" s="6"/>
      <c r="N246" s="5"/>
      <c r="O246" s="5"/>
    </row>
    <row r="247" spans="1:15" ht="15.6">
      <c r="A247" s="36"/>
      <c r="B247" s="4"/>
      <c r="C247" s="5"/>
      <c r="D247" s="4"/>
      <c r="E247" s="4"/>
      <c r="F247" s="4"/>
      <c r="G247" s="4"/>
      <c r="H247" s="5"/>
      <c r="I247" s="5"/>
      <c r="J247" s="6"/>
      <c r="K247" s="5"/>
      <c r="L247" s="3"/>
      <c r="M247" s="6"/>
      <c r="N247" s="5"/>
      <c r="O247" s="5"/>
    </row>
    <row r="248" spans="1:15" ht="15.6">
      <c r="A248" s="36"/>
      <c r="B248" s="4"/>
      <c r="C248" s="5"/>
      <c r="D248" s="4"/>
      <c r="E248" s="4"/>
      <c r="F248" s="4"/>
      <c r="G248" s="4"/>
      <c r="H248" s="5"/>
      <c r="I248" s="5"/>
      <c r="J248" s="6"/>
      <c r="K248" s="5"/>
      <c r="L248" s="3"/>
      <c r="M248" s="6"/>
      <c r="N248" s="5"/>
      <c r="O248" s="5"/>
    </row>
    <row r="249" spans="1:15" ht="15.6">
      <c r="A249" s="36"/>
      <c r="B249" s="4"/>
      <c r="C249" s="5"/>
      <c r="D249" s="4"/>
      <c r="E249" s="4"/>
      <c r="F249" s="4"/>
      <c r="G249" s="4"/>
      <c r="H249" s="5"/>
      <c r="I249" s="5"/>
      <c r="J249" s="6"/>
      <c r="K249" s="5"/>
      <c r="L249" s="3"/>
      <c r="M249" s="6"/>
      <c r="N249" s="5"/>
      <c r="O249" s="5"/>
    </row>
    <row r="250" spans="1:15" ht="15.6">
      <c r="A250" s="36"/>
      <c r="B250" s="4"/>
      <c r="C250" s="5"/>
      <c r="D250" s="4"/>
      <c r="E250" s="4"/>
      <c r="F250" s="4"/>
      <c r="G250" s="4"/>
      <c r="H250" s="5"/>
      <c r="I250" s="5"/>
      <c r="J250" s="6"/>
      <c r="K250" s="5"/>
      <c r="L250" s="3"/>
      <c r="M250" s="6"/>
      <c r="N250" s="5"/>
      <c r="O250" s="5"/>
    </row>
    <row r="251" spans="1:15" ht="15.6">
      <c r="A251" s="36"/>
      <c r="B251" s="4"/>
      <c r="C251" s="5"/>
      <c r="D251" s="4"/>
      <c r="E251" s="4"/>
      <c r="F251" s="4"/>
      <c r="G251" s="4"/>
      <c r="H251" s="5"/>
      <c r="I251" s="5"/>
      <c r="J251" s="6"/>
      <c r="K251" s="5"/>
      <c r="L251" s="3"/>
      <c r="M251" s="6"/>
      <c r="N251" s="5"/>
      <c r="O251" s="5"/>
    </row>
    <row r="252" spans="1:15" ht="15.6">
      <c r="A252" s="36"/>
      <c r="B252" s="4"/>
      <c r="C252" s="5"/>
      <c r="D252" s="4"/>
      <c r="E252" s="4"/>
      <c r="F252" s="4"/>
      <c r="G252" s="4"/>
      <c r="H252" s="5"/>
      <c r="I252" s="5"/>
      <c r="J252" s="6"/>
      <c r="K252" s="5"/>
      <c r="L252" s="3"/>
      <c r="M252" s="6"/>
      <c r="N252" s="5"/>
      <c r="O252" s="5"/>
    </row>
    <row r="253" spans="1:15" ht="15.6">
      <c r="A253" s="36"/>
      <c r="B253" s="4"/>
      <c r="C253" s="5"/>
      <c r="D253" s="4"/>
      <c r="E253" s="4"/>
      <c r="F253" s="4"/>
      <c r="G253" s="4"/>
      <c r="H253" s="5"/>
      <c r="I253" s="5"/>
      <c r="J253" s="6"/>
      <c r="K253" s="5"/>
      <c r="L253" s="3"/>
      <c r="M253" s="6"/>
      <c r="N253" s="5"/>
      <c r="O253" s="5"/>
    </row>
    <row r="254" spans="1:15" ht="15.6">
      <c r="A254" s="36"/>
      <c r="B254" s="4"/>
      <c r="C254" s="5"/>
      <c r="D254" s="4"/>
      <c r="E254" s="4"/>
      <c r="F254" s="4"/>
      <c r="G254" s="4"/>
      <c r="H254" s="5"/>
      <c r="I254" s="5"/>
      <c r="J254" s="6"/>
      <c r="K254" s="5"/>
      <c r="L254" s="3"/>
      <c r="M254" s="6"/>
      <c r="N254" s="5"/>
      <c r="O254" s="5"/>
    </row>
    <row r="255" spans="1:15" ht="15.6">
      <c r="A255" s="36"/>
      <c r="B255" s="4"/>
      <c r="C255" s="5"/>
      <c r="D255" s="4"/>
      <c r="E255" s="4"/>
      <c r="F255" s="4"/>
      <c r="G255" s="4"/>
      <c r="H255" s="5"/>
      <c r="I255" s="5"/>
      <c r="J255" s="6"/>
      <c r="K255" s="5"/>
      <c r="L255" s="3"/>
      <c r="M255" s="6"/>
      <c r="N255" s="5"/>
      <c r="O255" s="5"/>
    </row>
    <row r="256" spans="1:15" ht="15.6">
      <c r="A256" s="36"/>
      <c r="B256" s="4"/>
      <c r="C256" s="5"/>
      <c r="D256" s="4"/>
      <c r="E256" s="4"/>
      <c r="F256" s="4"/>
      <c r="G256" s="4"/>
      <c r="H256" s="5"/>
      <c r="I256" s="5"/>
      <c r="J256" s="6"/>
      <c r="K256" s="5"/>
      <c r="L256" s="3"/>
      <c r="M256" s="6"/>
      <c r="N256" s="5"/>
      <c r="O256" s="5"/>
    </row>
    <row r="257" spans="1:15" ht="15.6">
      <c r="A257" s="36"/>
      <c r="B257" s="4"/>
      <c r="C257" s="5"/>
      <c r="D257" s="4"/>
      <c r="E257" s="4"/>
      <c r="F257" s="4"/>
      <c r="G257" s="4"/>
      <c r="H257" s="5"/>
      <c r="I257" s="5"/>
      <c r="J257" s="6"/>
      <c r="K257" s="5"/>
      <c r="L257" s="3"/>
      <c r="M257" s="6"/>
      <c r="N257" s="5"/>
      <c r="O257" s="5"/>
    </row>
    <row r="258" spans="1:15" ht="15.6">
      <c r="A258" s="36"/>
      <c r="B258" s="4"/>
      <c r="C258" s="5"/>
      <c r="D258" s="4"/>
      <c r="E258" s="4"/>
      <c r="F258" s="4"/>
      <c r="G258" s="4"/>
      <c r="H258" s="5"/>
      <c r="I258" s="5"/>
      <c r="J258" s="6"/>
      <c r="K258" s="5"/>
      <c r="L258" s="3"/>
      <c r="M258" s="6"/>
      <c r="N258" s="5"/>
      <c r="O258" s="5"/>
    </row>
    <row r="259" spans="1:15" ht="15.6">
      <c r="A259" s="36"/>
      <c r="B259" s="4"/>
      <c r="C259" s="5"/>
      <c r="D259" s="4"/>
      <c r="E259" s="4"/>
      <c r="F259" s="4"/>
      <c r="G259" s="4"/>
      <c r="H259" s="5"/>
      <c r="I259" s="5"/>
      <c r="J259" s="6"/>
      <c r="K259" s="5"/>
      <c r="L259" s="3"/>
      <c r="M259" s="6"/>
      <c r="N259" s="5"/>
      <c r="O259" s="5"/>
    </row>
    <row r="260" spans="1:15" ht="15.6">
      <c r="A260" s="36"/>
      <c r="B260" s="4"/>
      <c r="C260" s="5"/>
      <c r="D260" s="4"/>
      <c r="E260" s="4"/>
      <c r="F260" s="4"/>
      <c r="G260" s="4"/>
      <c r="H260" s="5"/>
      <c r="I260" s="5"/>
      <c r="J260" s="6"/>
      <c r="K260" s="5"/>
      <c r="L260" s="3"/>
      <c r="M260" s="6"/>
      <c r="N260" s="5"/>
      <c r="O260" s="5"/>
    </row>
    <row r="261" spans="1:15" ht="15.6">
      <c r="A261" s="36"/>
      <c r="B261" s="4"/>
      <c r="C261" s="5"/>
      <c r="D261" s="4"/>
      <c r="E261" s="4"/>
      <c r="F261" s="4"/>
      <c r="G261" s="4"/>
      <c r="H261" s="5"/>
      <c r="I261" s="5"/>
      <c r="J261" s="6"/>
      <c r="K261" s="5"/>
      <c r="L261" s="3"/>
      <c r="M261" s="6"/>
      <c r="N261" s="5"/>
      <c r="O261" s="5"/>
    </row>
    <row r="262" spans="1:15" ht="15.6">
      <c r="A262" s="36"/>
      <c r="B262" s="4"/>
      <c r="C262" s="5"/>
      <c r="D262" s="4"/>
      <c r="E262" s="4"/>
      <c r="F262" s="4"/>
      <c r="G262" s="4"/>
      <c r="H262" s="5"/>
      <c r="I262" s="5"/>
      <c r="J262" s="6"/>
      <c r="K262" s="5"/>
      <c r="L262" s="3"/>
      <c r="M262" s="6"/>
      <c r="N262" s="5"/>
      <c r="O262" s="5"/>
    </row>
    <row r="263" spans="1:15" ht="15.6">
      <c r="A263" s="36"/>
      <c r="B263" s="4"/>
      <c r="C263" s="5"/>
      <c r="D263" s="4"/>
      <c r="E263" s="4"/>
      <c r="F263" s="4"/>
      <c r="G263" s="4"/>
      <c r="H263" s="5"/>
      <c r="I263" s="5"/>
      <c r="J263" s="6"/>
      <c r="K263" s="5"/>
      <c r="L263" s="3"/>
      <c r="M263" s="6"/>
      <c r="N263" s="5"/>
      <c r="O263" s="5"/>
    </row>
    <row r="264" spans="1:15" ht="15.6">
      <c r="A264" s="36"/>
      <c r="B264" s="4"/>
      <c r="C264" s="5"/>
      <c r="D264" s="4"/>
      <c r="E264" s="4"/>
      <c r="F264" s="4"/>
      <c r="G264" s="4"/>
      <c r="H264" s="5"/>
      <c r="I264" s="5"/>
      <c r="J264" s="6"/>
      <c r="K264" s="5"/>
      <c r="L264" s="3"/>
      <c r="M264" s="6"/>
      <c r="N264" s="5"/>
      <c r="O264" s="5"/>
    </row>
    <row r="265" spans="1:15" ht="15.6">
      <c r="A265" s="36"/>
      <c r="B265" s="4"/>
      <c r="C265" s="5"/>
      <c r="D265" s="4"/>
      <c r="E265" s="4"/>
      <c r="F265" s="4"/>
      <c r="G265" s="4"/>
      <c r="H265" s="5"/>
      <c r="I265" s="5"/>
      <c r="J265" s="6"/>
      <c r="K265" s="5"/>
      <c r="L265" s="3"/>
      <c r="M265" s="6"/>
      <c r="N265" s="5"/>
      <c r="O265" s="5"/>
    </row>
    <row r="266" spans="1:15" ht="15.6">
      <c r="A266" s="36"/>
      <c r="B266" s="4"/>
      <c r="C266" s="5"/>
      <c r="D266" s="4"/>
      <c r="E266" s="4"/>
      <c r="F266" s="4"/>
      <c r="G266" s="4"/>
      <c r="H266" s="5"/>
      <c r="I266" s="5"/>
      <c r="J266" s="6"/>
      <c r="K266" s="5"/>
      <c r="L266" s="3"/>
      <c r="M266" s="6"/>
      <c r="N266" s="5"/>
      <c r="O266" s="5"/>
    </row>
    <row r="267" spans="1:15" ht="15.6">
      <c r="A267" s="36"/>
      <c r="B267" s="4"/>
      <c r="C267" s="5"/>
      <c r="D267" s="4"/>
      <c r="E267" s="4"/>
      <c r="F267" s="4"/>
      <c r="G267" s="4"/>
      <c r="H267" s="5"/>
      <c r="I267" s="5"/>
      <c r="J267" s="6"/>
      <c r="K267" s="5"/>
      <c r="L267" s="3"/>
      <c r="M267" s="6"/>
      <c r="N267" s="5"/>
      <c r="O267" s="5"/>
    </row>
    <row r="268" spans="1:15" ht="15.6">
      <c r="A268" s="36"/>
      <c r="B268" s="4"/>
      <c r="C268" s="5"/>
      <c r="D268" s="4"/>
      <c r="E268" s="4"/>
      <c r="F268" s="4"/>
      <c r="G268" s="4"/>
      <c r="H268" s="5"/>
      <c r="I268" s="5"/>
      <c r="J268" s="6"/>
      <c r="K268" s="5"/>
      <c r="L268" s="3"/>
      <c r="M268" s="6"/>
      <c r="N268" s="5"/>
      <c r="O268" s="5"/>
    </row>
    <row r="269" spans="1:15" ht="15.6">
      <c r="A269" s="36"/>
      <c r="B269" s="4"/>
      <c r="C269" s="5"/>
      <c r="D269" s="4"/>
      <c r="E269" s="4"/>
      <c r="F269" s="4"/>
      <c r="G269" s="4"/>
      <c r="H269" s="5"/>
      <c r="I269" s="5"/>
      <c r="J269" s="6"/>
      <c r="K269" s="5"/>
      <c r="L269" s="3"/>
      <c r="M269" s="6"/>
      <c r="N269" s="5"/>
      <c r="O269" s="5"/>
    </row>
    <row r="270" spans="1:15" ht="15.6">
      <c r="A270" s="36"/>
      <c r="B270" s="4"/>
      <c r="C270" s="5"/>
      <c r="D270" s="4"/>
      <c r="E270" s="4"/>
      <c r="F270" s="4"/>
      <c r="G270" s="4"/>
      <c r="H270" s="5"/>
      <c r="I270" s="5"/>
      <c r="J270" s="6"/>
      <c r="K270" s="5"/>
      <c r="L270" s="3"/>
      <c r="M270" s="6"/>
      <c r="N270" s="5"/>
      <c r="O270" s="5"/>
    </row>
    <row r="271" spans="1:15" ht="15.6">
      <c r="A271" s="36"/>
      <c r="B271" s="4"/>
      <c r="C271" s="5"/>
      <c r="D271" s="4"/>
      <c r="E271" s="4"/>
      <c r="F271" s="4"/>
      <c r="G271" s="4"/>
      <c r="H271" s="5"/>
      <c r="I271" s="5"/>
      <c r="J271" s="6"/>
      <c r="K271" s="5"/>
      <c r="L271" s="3"/>
      <c r="M271" s="6"/>
      <c r="N271" s="5"/>
      <c r="O271" s="5"/>
    </row>
    <row r="272" spans="1:15" ht="15.6">
      <c r="A272" s="36"/>
      <c r="B272" s="4"/>
      <c r="C272" s="5"/>
      <c r="D272" s="4"/>
      <c r="E272" s="4"/>
      <c r="F272" s="4"/>
      <c r="G272" s="4"/>
      <c r="H272" s="5"/>
      <c r="I272" s="5"/>
      <c r="J272" s="6"/>
      <c r="K272" s="5"/>
      <c r="L272" s="3"/>
      <c r="M272" s="6"/>
      <c r="N272" s="5"/>
      <c r="O272" s="5"/>
    </row>
    <row r="273" spans="1:15" ht="15.6">
      <c r="A273" s="36"/>
      <c r="B273" s="4"/>
      <c r="C273" s="5"/>
      <c r="D273" s="4"/>
      <c r="E273" s="4"/>
      <c r="F273" s="4"/>
      <c r="G273" s="4"/>
      <c r="H273" s="5"/>
      <c r="I273" s="5"/>
      <c r="J273" s="6"/>
      <c r="K273" s="5"/>
      <c r="L273" s="3"/>
      <c r="M273" s="6"/>
      <c r="N273" s="5"/>
      <c r="O273" s="5"/>
    </row>
    <row r="274" spans="1:15" ht="15.6">
      <c r="A274" s="36"/>
      <c r="B274" s="4"/>
      <c r="C274" s="5"/>
      <c r="D274" s="4"/>
      <c r="E274" s="4"/>
      <c r="F274" s="4"/>
      <c r="G274" s="4"/>
      <c r="H274" s="5"/>
      <c r="I274" s="5"/>
      <c r="J274" s="6"/>
      <c r="K274" s="5"/>
      <c r="L274" s="3"/>
      <c r="M274" s="6"/>
      <c r="N274" s="5"/>
      <c r="O274" s="5"/>
    </row>
    <row r="275" spans="1:15" ht="15.6">
      <c r="A275" s="36"/>
      <c r="B275" s="4"/>
      <c r="C275" s="5"/>
      <c r="D275" s="4"/>
      <c r="E275" s="4"/>
      <c r="F275" s="4"/>
      <c r="G275" s="4"/>
      <c r="H275" s="5"/>
      <c r="I275" s="5"/>
      <c r="J275" s="6"/>
      <c r="K275" s="5"/>
      <c r="L275" s="3"/>
      <c r="M275" s="6"/>
      <c r="N275" s="5"/>
      <c r="O275" s="5"/>
    </row>
    <row r="276" spans="1:15" ht="15.6">
      <c r="A276" s="36"/>
      <c r="B276" s="4"/>
      <c r="C276" s="5"/>
      <c r="D276" s="4"/>
      <c r="E276" s="4"/>
      <c r="F276" s="4"/>
      <c r="G276" s="4"/>
      <c r="H276" s="5"/>
      <c r="I276" s="5"/>
      <c r="J276" s="6"/>
      <c r="K276" s="5"/>
      <c r="L276" s="3"/>
      <c r="M276" s="6"/>
      <c r="N276" s="5"/>
      <c r="O276" s="5"/>
    </row>
    <row r="277" spans="1:15" ht="15.6">
      <c r="A277" s="36"/>
      <c r="B277" s="4"/>
      <c r="C277" s="5"/>
      <c r="D277" s="4"/>
      <c r="E277" s="4"/>
      <c r="F277" s="4"/>
      <c r="G277" s="4"/>
      <c r="H277" s="5"/>
      <c r="I277" s="5"/>
      <c r="J277" s="6"/>
      <c r="K277" s="5"/>
      <c r="L277" s="3"/>
      <c r="M277" s="6"/>
      <c r="N277" s="5"/>
      <c r="O277" s="5"/>
    </row>
    <row r="278" spans="1:15" ht="15.6">
      <c r="A278" s="36"/>
      <c r="B278" s="4"/>
      <c r="C278" s="5"/>
      <c r="D278" s="4"/>
      <c r="E278" s="4"/>
      <c r="F278" s="4"/>
      <c r="G278" s="4"/>
      <c r="H278" s="5"/>
      <c r="I278" s="5"/>
      <c r="J278" s="6"/>
      <c r="K278" s="5"/>
      <c r="L278" s="3"/>
      <c r="M278" s="6"/>
      <c r="N278" s="5"/>
      <c r="O278" s="5"/>
    </row>
    <row r="279" spans="1:15" ht="15.6">
      <c r="A279" s="36"/>
      <c r="B279" s="4"/>
      <c r="C279" s="5"/>
      <c r="D279" s="4"/>
      <c r="E279" s="4"/>
      <c r="F279" s="4"/>
      <c r="G279" s="4"/>
      <c r="H279" s="5"/>
      <c r="I279" s="5"/>
      <c r="J279" s="6"/>
      <c r="K279" s="5"/>
      <c r="L279" s="3"/>
      <c r="M279" s="6"/>
      <c r="N279" s="5"/>
      <c r="O279" s="5"/>
    </row>
    <row r="280" spans="1:15" ht="15.6">
      <c r="A280" s="36"/>
      <c r="B280" s="4"/>
      <c r="C280" s="5"/>
      <c r="D280" s="4"/>
      <c r="E280" s="4"/>
      <c r="F280" s="4"/>
      <c r="G280" s="4"/>
      <c r="H280" s="5"/>
      <c r="I280" s="5"/>
      <c r="J280" s="6"/>
      <c r="K280" s="5"/>
      <c r="L280" s="3"/>
      <c r="M280" s="6"/>
      <c r="N280" s="5"/>
      <c r="O280" s="5"/>
    </row>
    <row r="281" spans="1:15" ht="15.6">
      <c r="A281" s="36"/>
      <c r="B281" s="4"/>
      <c r="C281" s="5"/>
      <c r="D281" s="4"/>
      <c r="E281" s="4"/>
      <c r="F281" s="4"/>
      <c r="G281" s="4"/>
      <c r="H281" s="5"/>
      <c r="I281" s="5"/>
      <c r="J281" s="6"/>
      <c r="K281" s="5"/>
      <c r="L281" s="3"/>
      <c r="M281" s="6"/>
      <c r="N281" s="5"/>
      <c r="O281" s="5"/>
    </row>
    <row r="282" spans="1:15" ht="15.6">
      <c r="A282" s="36"/>
      <c r="B282" s="4"/>
      <c r="C282" s="5"/>
      <c r="D282" s="4"/>
      <c r="E282" s="4"/>
      <c r="F282" s="4"/>
      <c r="G282" s="4"/>
      <c r="H282" s="5"/>
      <c r="I282" s="5"/>
      <c r="J282" s="6"/>
      <c r="K282" s="5"/>
      <c r="L282" s="3"/>
      <c r="M282" s="6"/>
      <c r="N282" s="5"/>
      <c r="O282" s="5"/>
    </row>
    <row r="283" spans="1:15" ht="15.6">
      <c r="A283" s="36"/>
      <c r="B283" s="4"/>
      <c r="C283" s="5"/>
      <c r="D283" s="4"/>
      <c r="E283" s="4"/>
      <c r="F283" s="4"/>
      <c r="G283" s="4"/>
      <c r="H283" s="5"/>
      <c r="I283" s="5"/>
      <c r="J283" s="6"/>
      <c r="K283" s="5"/>
      <c r="L283" s="3"/>
      <c r="M283" s="6"/>
      <c r="N283" s="5"/>
      <c r="O283" s="5"/>
    </row>
    <row r="284" spans="1:15" ht="15.6">
      <c r="A284" s="36"/>
      <c r="B284" s="4"/>
      <c r="C284" s="5"/>
      <c r="D284" s="4"/>
      <c r="E284" s="4"/>
      <c r="F284" s="4"/>
      <c r="G284" s="4"/>
      <c r="H284" s="5"/>
      <c r="I284" s="5"/>
      <c r="J284" s="6"/>
      <c r="K284" s="5"/>
      <c r="L284" s="3"/>
      <c r="M284" s="6"/>
      <c r="N284" s="5"/>
      <c r="O284" s="5"/>
    </row>
    <row r="285" spans="1:15" ht="15.6">
      <c r="A285" s="36"/>
      <c r="B285" s="4"/>
      <c r="C285" s="5"/>
      <c r="D285" s="4"/>
      <c r="E285" s="4"/>
      <c r="F285" s="4"/>
      <c r="G285" s="4"/>
      <c r="H285" s="5"/>
      <c r="I285" s="5"/>
      <c r="J285" s="6"/>
      <c r="K285" s="5"/>
      <c r="L285" s="3"/>
      <c r="M285" s="6"/>
      <c r="N285" s="5"/>
      <c r="O285" s="5"/>
    </row>
    <row r="286" spans="1:15" ht="15.6">
      <c r="A286" s="36"/>
      <c r="B286" s="4"/>
      <c r="C286" s="5"/>
      <c r="D286" s="4"/>
      <c r="E286" s="4"/>
      <c r="F286" s="4"/>
      <c r="G286" s="4"/>
      <c r="H286" s="5"/>
      <c r="I286" s="5"/>
      <c r="J286" s="6"/>
      <c r="K286" s="5"/>
      <c r="L286" s="3"/>
      <c r="M286" s="6"/>
      <c r="N286" s="5"/>
      <c r="O286" s="5"/>
    </row>
    <row r="287" spans="1:15" ht="15.6">
      <c r="A287" s="36"/>
      <c r="B287" s="4"/>
      <c r="C287" s="5"/>
      <c r="D287" s="4"/>
      <c r="E287" s="4"/>
      <c r="F287" s="4"/>
      <c r="G287" s="4"/>
      <c r="H287" s="5"/>
      <c r="I287" s="5"/>
      <c r="J287" s="6"/>
      <c r="K287" s="5"/>
      <c r="L287" s="3"/>
      <c r="M287" s="6"/>
      <c r="N287" s="5"/>
      <c r="O287" s="5"/>
    </row>
    <row r="288" spans="1:15" ht="15.6">
      <c r="A288" s="36"/>
      <c r="B288" s="4"/>
      <c r="C288" s="5"/>
      <c r="D288" s="4"/>
      <c r="E288" s="4"/>
      <c r="F288" s="4"/>
      <c r="G288" s="4"/>
      <c r="H288" s="5"/>
      <c r="I288" s="5"/>
      <c r="J288" s="6"/>
      <c r="K288" s="5"/>
      <c r="L288" s="3"/>
      <c r="M288" s="6"/>
      <c r="N288" s="5"/>
      <c r="O288" s="5"/>
    </row>
    <row r="289" spans="1:15" ht="15.6">
      <c r="A289" s="36"/>
      <c r="B289" s="4"/>
      <c r="C289" s="5"/>
      <c r="D289" s="4"/>
      <c r="E289" s="4"/>
      <c r="F289" s="4"/>
      <c r="G289" s="4"/>
      <c r="H289" s="5"/>
      <c r="I289" s="5"/>
      <c r="J289" s="6"/>
      <c r="K289" s="5"/>
      <c r="L289" s="3"/>
      <c r="M289" s="6"/>
      <c r="N289" s="5"/>
      <c r="O289" s="5"/>
    </row>
    <row r="290" spans="1:15" ht="15.6">
      <c r="A290" s="36"/>
      <c r="B290" s="4"/>
      <c r="C290" s="5"/>
      <c r="D290" s="4"/>
      <c r="E290" s="4"/>
      <c r="F290" s="4"/>
      <c r="G290" s="4"/>
      <c r="H290" s="5"/>
      <c r="I290" s="5"/>
      <c r="J290" s="6"/>
      <c r="K290" s="5"/>
      <c r="L290" s="3"/>
      <c r="M290" s="6"/>
      <c r="N290" s="5"/>
      <c r="O290" s="5"/>
    </row>
    <row r="291" spans="1:15" ht="15.6">
      <c r="A291" s="36"/>
      <c r="B291" s="4"/>
      <c r="C291" s="5"/>
      <c r="D291" s="4"/>
      <c r="E291" s="4"/>
      <c r="F291" s="4"/>
      <c r="G291" s="4"/>
      <c r="H291" s="5"/>
      <c r="I291" s="5"/>
      <c r="J291" s="6"/>
      <c r="K291" s="5"/>
      <c r="L291" s="3"/>
      <c r="M291" s="6"/>
      <c r="N291" s="5"/>
      <c r="O291" s="5"/>
    </row>
    <row r="292" spans="1:15" ht="15.6">
      <c r="A292" s="36"/>
      <c r="B292" s="4"/>
      <c r="C292" s="5"/>
      <c r="D292" s="4"/>
      <c r="E292" s="4"/>
      <c r="F292" s="4"/>
      <c r="G292" s="4"/>
      <c r="H292" s="5"/>
      <c r="I292" s="5"/>
      <c r="J292" s="6"/>
      <c r="K292" s="5"/>
      <c r="L292" s="3"/>
      <c r="M292" s="6"/>
      <c r="N292" s="5"/>
      <c r="O292" s="5"/>
    </row>
    <row r="293" spans="1:15" ht="15.6">
      <c r="A293" s="36"/>
      <c r="B293" s="4"/>
      <c r="C293" s="5"/>
      <c r="D293" s="4"/>
      <c r="E293" s="4"/>
      <c r="F293" s="4"/>
      <c r="G293" s="4"/>
      <c r="H293" s="5"/>
      <c r="I293" s="5"/>
      <c r="J293" s="6"/>
      <c r="K293" s="5"/>
      <c r="L293" s="3"/>
      <c r="M293" s="6"/>
      <c r="N293" s="5"/>
      <c r="O293" s="5"/>
    </row>
    <row r="294" spans="1:15" ht="15.6">
      <c r="A294" s="36"/>
      <c r="B294" s="4"/>
      <c r="C294" s="5"/>
      <c r="D294" s="4"/>
      <c r="E294" s="4"/>
      <c r="F294" s="4"/>
      <c r="G294" s="4"/>
      <c r="H294" s="5"/>
      <c r="I294" s="5"/>
      <c r="J294" s="6"/>
      <c r="K294" s="5"/>
      <c r="L294" s="3"/>
      <c r="M294" s="6"/>
      <c r="N294" s="5"/>
      <c r="O294" s="5"/>
    </row>
    <row r="295" spans="1:15" ht="15.6">
      <c r="A295" s="36"/>
      <c r="B295" s="4"/>
      <c r="C295" s="5"/>
      <c r="D295" s="4"/>
      <c r="E295" s="4"/>
      <c r="F295" s="4"/>
      <c r="G295" s="4"/>
      <c r="H295" s="5"/>
      <c r="I295" s="5"/>
      <c r="J295" s="6"/>
      <c r="K295" s="5"/>
      <c r="L295" s="3"/>
      <c r="M295" s="6"/>
      <c r="N295" s="5"/>
      <c r="O295" s="5"/>
    </row>
    <row r="296" spans="1:15" ht="15.6">
      <c r="A296" s="36"/>
      <c r="B296" s="4"/>
      <c r="C296" s="5"/>
      <c r="D296" s="4"/>
      <c r="E296" s="4"/>
      <c r="F296" s="4"/>
      <c r="G296" s="4"/>
      <c r="H296" s="5"/>
      <c r="I296" s="5"/>
      <c r="J296" s="6"/>
      <c r="K296" s="5"/>
      <c r="L296" s="3"/>
      <c r="M296" s="6"/>
      <c r="N296" s="5"/>
      <c r="O296" s="5"/>
    </row>
    <row r="297" spans="1:15" ht="15.6">
      <c r="A297" s="36"/>
      <c r="B297" s="4"/>
      <c r="C297" s="5"/>
      <c r="D297" s="4"/>
      <c r="E297" s="4"/>
      <c r="F297" s="4"/>
      <c r="G297" s="4"/>
      <c r="H297" s="5"/>
      <c r="I297" s="5"/>
      <c r="J297" s="6"/>
      <c r="K297" s="5"/>
      <c r="L297" s="3"/>
      <c r="M297" s="6"/>
      <c r="N297" s="5"/>
      <c r="O297" s="5"/>
    </row>
    <row r="298" spans="1:15" ht="15.6">
      <c r="A298" s="36"/>
      <c r="B298" s="4"/>
      <c r="C298" s="5"/>
      <c r="D298" s="4"/>
      <c r="E298" s="4"/>
      <c r="F298" s="4"/>
      <c r="G298" s="4"/>
      <c r="H298" s="5"/>
      <c r="I298" s="5"/>
      <c r="J298" s="6"/>
      <c r="K298" s="5"/>
      <c r="L298" s="3"/>
      <c r="M298" s="6"/>
      <c r="N298" s="5"/>
      <c r="O298" s="5"/>
    </row>
    <row r="299" spans="1:15" ht="15.6">
      <c r="A299" s="36"/>
      <c r="B299" s="4"/>
      <c r="C299" s="5"/>
      <c r="D299" s="4"/>
      <c r="E299" s="4"/>
      <c r="F299" s="4"/>
      <c r="G299" s="4"/>
      <c r="H299" s="5"/>
      <c r="I299" s="5"/>
      <c r="J299" s="6"/>
      <c r="K299" s="5"/>
      <c r="L299" s="3"/>
      <c r="M299" s="6"/>
      <c r="N299" s="5"/>
      <c r="O299" s="5"/>
    </row>
    <row r="300" spans="1:15" ht="15.6">
      <c r="A300" s="36"/>
      <c r="B300" s="4"/>
      <c r="C300" s="5"/>
      <c r="D300" s="4"/>
      <c r="E300" s="4"/>
      <c r="F300" s="4"/>
      <c r="G300" s="4"/>
      <c r="H300" s="5"/>
      <c r="I300" s="5"/>
      <c r="J300" s="6"/>
      <c r="K300" s="5"/>
      <c r="L300" s="3"/>
      <c r="M300" s="6"/>
      <c r="N300" s="5"/>
      <c r="O300" s="5"/>
    </row>
    <row r="301" spans="1:15" ht="15.6">
      <c r="A301" s="36"/>
      <c r="B301" s="4"/>
      <c r="C301" s="5"/>
      <c r="D301" s="4"/>
      <c r="E301" s="4"/>
      <c r="F301" s="4"/>
      <c r="G301" s="4"/>
      <c r="H301" s="5"/>
      <c r="I301" s="5"/>
      <c r="J301" s="6"/>
      <c r="K301" s="5"/>
      <c r="L301" s="3"/>
      <c r="M301" s="6"/>
      <c r="N301" s="5"/>
      <c r="O301" s="5"/>
    </row>
    <row r="302" spans="1:15" ht="15.6">
      <c r="A302" s="36"/>
      <c r="B302" s="4"/>
      <c r="C302" s="5"/>
      <c r="D302" s="4"/>
      <c r="E302" s="4"/>
      <c r="F302" s="4"/>
      <c r="G302" s="4"/>
      <c r="H302" s="5"/>
      <c r="I302" s="5"/>
      <c r="J302" s="6"/>
      <c r="K302" s="5"/>
      <c r="L302" s="3"/>
      <c r="M302" s="6"/>
      <c r="N302" s="5"/>
      <c r="O302" s="5"/>
    </row>
    <row r="303" spans="1:15" ht="15.6">
      <c r="A303" s="36"/>
      <c r="B303" s="4"/>
      <c r="C303" s="5"/>
      <c r="D303" s="4"/>
      <c r="E303" s="4"/>
      <c r="F303" s="4"/>
      <c r="G303" s="4"/>
      <c r="H303" s="5"/>
      <c r="I303" s="5"/>
      <c r="J303" s="6"/>
      <c r="K303" s="5"/>
      <c r="L303" s="3"/>
      <c r="M303" s="6"/>
      <c r="N303" s="5"/>
      <c r="O303" s="5"/>
    </row>
    <row r="304" spans="1:15" ht="15.6">
      <c r="A304" s="36"/>
      <c r="B304" s="4"/>
      <c r="C304" s="5"/>
      <c r="D304" s="4"/>
      <c r="E304" s="4"/>
      <c r="F304" s="4"/>
      <c r="G304" s="4"/>
      <c r="H304" s="5"/>
      <c r="I304" s="5"/>
      <c r="J304" s="6"/>
      <c r="K304" s="5"/>
      <c r="L304" s="3"/>
      <c r="M304" s="6"/>
      <c r="N304" s="5"/>
      <c r="O304" s="5"/>
    </row>
    <row r="305" spans="1:15" ht="15.6">
      <c r="A305" s="36"/>
      <c r="B305" s="4"/>
      <c r="C305" s="5"/>
      <c r="D305" s="4"/>
      <c r="E305" s="4"/>
      <c r="F305" s="4"/>
      <c r="G305" s="4"/>
      <c r="H305" s="5"/>
      <c r="I305" s="5"/>
      <c r="J305" s="6"/>
      <c r="K305" s="5"/>
      <c r="L305" s="3"/>
      <c r="M305" s="6"/>
      <c r="N305" s="5"/>
      <c r="O305" s="5"/>
    </row>
    <row r="306" spans="1:15" ht="15.6">
      <c r="A306" s="36"/>
      <c r="B306" s="4"/>
      <c r="C306" s="5"/>
      <c r="D306" s="4"/>
      <c r="E306" s="4"/>
      <c r="F306" s="4"/>
      <c r="G306" s="4"/>
      <c r="H306" s="5"/>
      <c r="I306" s="5"/>
      <c r="J306" s="6"/>
      <c r="K306" s="5"/>
      <c r="L306" s="3"/>
      <c r="M306" s="6"/>
      <c r="N306" s="5"/>
      <c r="O306" s="5"/>
    </row>
    <row r="307" spans="1:15" ht="15.6">
      <c r="A307" s="36"/>
      <c r="B307" s="4"/>
      <c r="C307" s="5"/>
      <c r="D307" s="4"/>
      <c r="E307" s="4"/>
      <c r="F307" s="4"/>
      <c r="G307" s="4"/>
      <c r="H307" s="5"/>
      <c r="I307" s="5"/>
      <c r="J307" s="6"/>
      <c r="K307" s="5"/>
      <c r="L307" s="3"/>
      <c r="M307" s="6"/>
      <c r="N307" s="5"/>
      <c r="O307" s="5"/>
    </row>
    <row r="308" spans="1:15" ht="15.6">
      <c r="A308" s="36"/>
      <c r="B308" s="4"/>
      <c r="C308" s="5"/>
      <c r="D308" s="4"/>
      <c r="E308" s="4"/>
      <c r="F308" s="4"/>
      <c r="G308" s="4"/>
      <c r="H308" s="5"/>
      <c r="I308" s="5"/>
      <c r="J308" s="6"/>
      <c r="K308" s="5"/>
      <c r="L308" s="3"/>
      <c r="M308" s="6"/>
      <c r="N308" s="5"/>
      <c r="O308" s="5"/>
    </row>
    <row r="309" spans="1:15" ht="15.6">
      <c r="A309" s="36"/>
      <c r="B309" s="4"/>
      <c r="C309" s="5"/>
      <c r="D309" s="4"/>
      <c r="E309" s="4"/>
      <c r="F309" s="4"/>
      <c r="G309" s="4"/>
      <c r="H309" s="5"/>
      <c r="I309" s="5"/>
      <c r="J309" s="6"/>
      <c r="K309" s="5"/>
      <c r="L309" s="3"/>
      <c r="M309" s="6"/>
      <c r="N309" s="5"/>
      <c r="O309" s="5"/>
    </row>
    <row r="310" spans="1:15" ht="15.6">
      <c r="A310" s="36"/>
      <c r="B310" s="4"/>
      <c r="C310" s="5"/>
      <c r="D310" s="4"/>
      <c r="E310" s="4"/>
      <c r="F310" s="4"/>
      <c r="G310" s="4"/>
      <c r="H310" s="5"/>
      <c r="I310" s="5"/>
      <c r="J310" s="6"/>
      <c r="K310" s="5"/>
      <c r="L310" s="3"/>
      <c r="M310" s="6"/>
      <c r="N310" s="5"/>
      <c r="O310" s="5"/>
    </row>
    <row r="311" spans="1:15" ht="15.6">
      <c r="A311" s="36"/>
      <c r="B311" s="4"/>
      <c r="C311" s="5"/>
      <c r="D311" s="4"/>
      <c r="E311" s="4"/>
      <c r="F311" s="4"/>
      <c r="G311" s="4"/>
      <c r="H311" s="5"/>
      <c r="I311" s="5"/>
      <c r="J311" s="6"/>
      <c r="K311" s="5"/>
      <c r="L311" s="3"/>
      <c r="M311" s="6"/>
      <c r="N311" s="5"/>
      <c r="O311" s="5"/>
    </row>
    <row r="312" spans="1:15" ht="15.6">
      <c r="A312" s="36"/>
      <c r="B312" s="4"/>
      <c r="C312" s="5"/>
      <c r="D312" s="4"/>
      <c r="E312" s="4"/>
      <c r="F312" s="4"/>
      <c r="G312" s="4"/>
      <c r="H312" s="5"/>
      <c r="I312" s="5"/>
      <c r="J312" s="6"/>
      <c r="K312" s="5"/>
      <c r="L312" s="3"/>
      <c r="M312" s="6"/>
      <c r="N312" s="5"/>
      <c r="O312" s="5"/>
    </row>
    <row r="313" spans="1:15" ht="15.6">
      <c r="A313" s="36"/>
      <c r="B313" s="4"/>
      <c r="C313" s="5"/>
      <c r="D313" s="4"/>
      <c r="E313" s="4"/>
      <c r="F313" s="4"/>
      <c r="G313" s="4"/>
      <c r="H313" s="5"/>
      <c r="I313" s="5"/>
      <c r="J313" s="6"/>
      <c r="K313" s="5"/>
      <c r="L313" s="3"/>
      <c r="M313" s="6"/>
      <c r="N313" s="5"/>
      <c r="O313" s="5"/>
    </row>
    <row r="314" spans="1:15" ht="15.6">
      <c r="A314" s="36"/>
      <c r="B314" s="4"/>
      <c r="C314" s="5"/>
      <c r="D314" s="4"/>
      <c r="E314" s="4"/>
      <c r="F314" s="4"/>
      <c r="G314" s="4"/>
      <c r="H314" s="5"/>
      <c r="I314" s="5"/>
      <c r="J314" s="6"/>
      <c r="K314" s="5"/>
      <c r="L314" s="3"/>
      <c r="M314" s="6"/>
      <c r="N314" s="5"/>
      <c r="O314" s="5"/>
    </row>
    <row r="315" spans="1:15" ht="15.6">
      <c r="A315" s="36"/>
      <c r="B315" s="4"/>
      <c r="C315" s="5"/>
      <c r="D315" s="4"/>
      <c r="E315" s="4"/>
      <c r="F315" s="4"/>
      <c r="G315" s="4"/>
      <c r="H315" s="5"/>
      <c r="I315" s="5"/>
      <c r="J315" s="6"/>
      <c r="K315" s="5"/>
      <c r="L315" s="3"/>
      <c r="M315" s="6"/>
      <c r="N315" s="5"/>
      <c r="O315" s="5"/>
    </row>
    <row r="316" spans="1:15" ht="15.6">
      <c r="A316" s="36"/>
      <c r="B316" s="4"/>
      <c r="C316" s="5"/>
      <c r="D316" s="4"/>
      <c r="E316" s="4"/>
      <c r="F316" s="4"/>
      <c r="G316" s="4"/>
      <c r="H316" s="5"/>
      <c r="I316" s="5"/>
      <c r="J316" s="6"/>
      <c r="K316" s="5"/>
      <c r="L316" s="3"/>
      <c r="M316" s="6"/>
      <c r="N316" s="5"/>
      <c r="O316" s="5"/>
    </row>
    <row r="317" spans="1:15" ht="15.6">
      <c r="A317" s="36"/>
      <c r="B317" s="4"/>
      <c r="C317" s="5"/>
      <c r="D317" s="4"/>
      <c r="E317" s="4"/>
      <c r="F317" s="4"/>
      <c r="G317" s="4"/>
      <c r="H317" s="5"/>
      <c r="I317" s="5"/>
      <c r="J317" s="6"/>
      <c r="K317" s="5"/>
      <c r="L317" s="3"/>
      <c r="M317" s="6"/>
      <c r="N317" s="5"/>
      <c r="O317" s="5"/>
    </row>
    <row r="318" spans="1:15" ht="15.6">
      <c r="A318" s="36"/>
      <c r="B318" s="4"/>
      <c r="C318" s="5"/>
      <c r="D318" s="4"/>
      <c r="E318" s="4"/>
      <c r="F318" s="4"/>
      <c r="G318" s="4"/>
      <c r="H318" s="5"/>
      <c r="I318" s="5"/>
      <c r="J318" s="6"/>
      <c r="K318" s="5"/>
      <c r="L318" s="3"/>
      <c r="M318" s="6"/>
      <c r="N318" s="5"/>
      <c r="O318" s="5"/>
    </row>
    <row r="319" spans="1:15" ht="15.6">
      <c r="A319" s="36"/>
      <c r="B319" s="4"/>
      <c r="C319" s="5"/>
      <c r="D319" s="4"/>
      <c r="E319" s="4"/>
      <c r="F319" s="4"/>
      <c r="G319" s="4"/>
      <c r="H319" s="5"/>
      <c r="I319" s="5"/>
      <c r="J319" s="6"/>
      <c r="K319" s="5"/>
      <c r="L319" s="3"/>
      <c r="M319" s="6"/>
      <c r="N319" s="5"/>
      <c r="O319" s="5"/>
    </row>
    <row r="320" spans="1:15" ht="15.6">
      <c r="A320" s="36"/>
      <c r="B320" s="4"/>
      <c r="C320" s="5"/>
      <c r="D320" s="4"/>
      <c r="E320" s="4"/>
      <c r="F320" s="4"/>
      <c r="G320" s="4"/>
      <c r="H320" s="5"/>
      <c r="I320" s="5"/>
      <c r="J320" s="6"/>
      <c r="K320" s="5"/>
      <c r="L320" s="3"/>
      <c r="M320" s="6"/>
      <c r="N320" s="5"/>
      <c r="O320" s="5"/>
    </row>
    <row r="321" spans="1:15" ht="15.6">
      <c r="A321" s="36"/>
      <c r="B321" s="4"/>
      <c r="C321" s="5"/>
      <c r="D321" s="4"/>
      <c r="E321" s="4"/>
      <c r="F321" s="4"/>
      <c r="G321" s="4"/>
      <c r="H321" s="5"/>
      <c r="I321" s="5"/>
      <c r="J321" s="6"/>
      <c r="K321" s="5"/>
      <c r="L321" s="3"/>
      <c r="M321" s="6"/>
      <c r="N321" s="5"/>
      <c r="O321" s="5"/>
    </row>
    <row r="322" spans="1:15" ht="15.6">
      <c r="A322" s="36"/>
      <c r="B322" s="4"/>
      <c r="C322" s="5"/>
      <c r="D322" s="4"/>
      <c r="E322" s="4"/>
      <c r="F322" s="4"/>
      <c r="G322" s="4"/>
      <c r="H322" s="5"/>
      <c r="I322" s="5"/>
      <c r="J322" s="6"/>
      <c r="K322" s="5"/>
      <c r="L322" s="3"/>
      <c r="M322" s="6"/>
      <c r="N322" s="5"/>
      <c r="O322" s="5"/>
    </row>
    <row r="323" spans="1:15" ht="15.6">
      <c r="A323" s="36"/>
      <c r="B323" s="4"/>
      <c r="C323" s="5"/>
      <c r="D323" s="4"/>
      <c r="E323" s="4"/>
      <c r="F323" s="4"/>
      <c r="G323" s="4"/>
      <c r="H323" s="5"/>
      <c r="I323" s="5"/>
      <c r="J323" s="6"/>
      <c r="K323" s="5"/>
      <c r="L323" s="3"/>
      <c r="M323" s="6"/>
      <c r="N323" s="5"/>
      <c r="O323" s="5"/>
    </row>
    <row r="324" spans="1:15" ht="15.6">
      <c r="A324" s="36"/>
      <c r="B324" s="4"/>
      <c r="C324" s="5"/>
      <c r="D324" s="4"/>
      <c r="E324" s="4"/>
      <c r="F324" s="4"/>
      <c r="G324" s="4"/>
      <c r="H324" s="5"/>
      <c r="I324" s="5"/>
      <c r="J324" s="6"/>
      <c r="K324" s="5"/>
      <c r="L324" s="3"/>
      <c r="M324" s="6"/>
      <c r="N324" s="5"/>
      <c r="O324" s="5"/>
    </row>
    <row r="325" spans="1:15" ht="15.6">
      <c r="A325" s="36"/>
      <c r="B325" s="4"/>
      <c r="C325" s="5"/>
      <c r="D325" s="4"/>
      <c r="E325" s="4"/>
      <c r="F325" s="4"/>
      <c r="G325" s="4"/>
      <c r="H325" s="5"/>
      <c r="I325" s="5"/>
      <c r="J325" s="6"/>
      <c r="K325" s="5"/>
      <c r="L325" s="3"/>
      <c r="M325" s="6"/>
      <c r="N325" s="5"/>
      <c r="O325" s="5"/>
    </row>
    <row r="326" spans="1:15" ht="15.6">
      <c r="A326" s="36"/>
      <c r="B326" s="4"/>
      <c r="C326" s="5"/>
      <c r="D326" s="4"/>
      <c r="E326" s="4"/>
      <c r="F326" s="4"/>
      <c r="G326" s="4"/>
      <c r="H326" s="5"/>
      <c r="I326" s="5"/>
      <c r="J326" s="6"/>
      <c r="K326" s="5"/>
      <c r="L326" s="3"/>
      <c r="M326" s="6"/>
      <c r="N326" s="5"/>
      <c r="O326" s="5"/>
    </row>
    <row r="327" spans="1:15" ht="15.6">
      <c r="A327" s="36"/>
      <c r="B327" s="4"/>
      <c r="C327" s="5"/>
      <c r="D327" s="4"/>
      <c r="E327" s="4"/>
      <c r="F327" s="4"/>
      <c r="G327" s="4"/>
      <c r="H327" s="5"/>
      <c r="I327" s="5"/>
      <c r="J327" s="6"/>
      <c r="K327" s="5"/>
      <c r="L327" s="3"/>
      <c r="M327" s="6"/>
      <c r="N327" s="5"/>
      <c r="O327" s="5"/>
    </row>
    <row r="328" spans="1:15" ht="15.6">
      <c r="A328" s="36"/>
      <c r="B328" s="4"/>
      <c r="C328" s="5"/>
      <c r="D328" s="4"/>
      <c r="E328" s="4"/>
      <c r="F328" s="4"/>
      <c r="G328" s="4"/>
      <c r="H328" s="5"/>
      <c r="I328" s="5"/>
      <c r="J328" s="6"/>
      <c r="K328" s="5"/>
      <c r="L328" s="3"/>
      <c r="M328" s="6"/>
      <c r="N328" s="5"/>
      <c r="O328" s="5"/>
    </row>
    <row r="329" spans="1:15" ht="15.6">
      <c r="A329" s="36"/>
      <c r="B329" s="4"/>
      <c r="C329" s="5"/>
      <c r="D329" s="4"/>
      <c r="E329" s="4"/>
      <c r="F329" s="4"/>
      <c r="G329" s="4"/>
      <c r="H329" s="5"/>
      <c r="I329" s="5"/>
      <c r="J329" s="6"/>
      <c r="K329" s="5"/>
      <c r="L329" s="3"/>
      <c r="M329" s="6"/>
      <c r="N329" s="5"/>
      <c r="O329" s="5"/>
    </row>
    <row r="330" spans="1:15" ht="15.6">
      <c r="A330" s="36"/>
      <c r="B330" s="4"/>
      <c r="C330" s="5"/>
      <c r="D330" s="4"/>
      <c r="E330" s="4"/>
      <c r="F330" s="4"/>
      <c r="G330" s="4"/>
      <c r="H330" s="5"/>
      <c r="I330" s="5"/>
      <c r="J330" s="6"/>
      <c r="K330" s="5"/>
      <c r="L330" s="3"/>
      <c r="M330" s="6"/>
      <c r="N330" s="5"/>
      <c r="O330" s="5"/>
    </row>
    <row r="331" spans="1:15" ht="15.6">
      <c r="A331" s="36"/>
      <c r="B331" s="4"/>
      <c r="C331" s="5"/>
      <c r="D331" s="4"/>
      <c r="E331" s="4"/>
      <c r="F331" s="4"/>
      <c r="G331" s="4"/>
      <c r="H331" s="5"/>
      <c r="I331" s="5"/>
      <c r="J331" s="6"/>
      <c r="K331" s="5"/>
      <c r="L331" s="3"/>
      <c r="M331" s="6"/>
      <c r="N331" s="5"/>
      <c r="O331" s="5"/>
    </row>
    <row r="332" spans="1:15" ht="15.6">
      <c r="A332" s="36"/>
      <c r="B332" s="4"/>
      <c r="C332" s="5"/>
      <c r="D332" s="4"/>
      <c r="E332" s="4"/>
      <c r="F332" s="4"/>
      <c r="G332" s="4"/>
      <c r="H332" s="5"/>
      <c r="I332" s="5"/>
      <c r="J332" s="6"/>
      <c r="K332" s="5"/>
      <c r="L332" s="3"/>
      <c r="M332" s="6"/>
      <c r="N332" s="5"/>
      <c r="O332" s="5"/>
    </row>
    <row r="333" spans="1:15" ht="15.6">
      <c r="A333" s="36"/>
      <c r="B333" s="4"/>
      <c r="C333" s="5"/>
      <c r="D333" s="4"/>
      <c r="E333" s="4"/>
      <c r="F333" s="4"/>
      <c r="G333" s="4"/>
      <c r="H333" s="5"/>
      <c r="I333" s="5"/>
      <c r="J333" s="6"/>
      <c r="K333" s="5"/>
      <c r="L333" s="3"/>
      <c r="M333" s="6"/>
      <c r="N333" s="5"/>
      <c r="O333" s="5"/>
    </row>
    <row r="334" spans="1:15" ht="15.6">
      <c r="A334" s="36"/>
      <c r="B334" s="4"/>
      <c r="C334" s="5"/>
      <c r="D334" s="4"/>
      <c r="E334" s="4"/>
      <c r="F334" s="4"/>
      <c r="G334" s="4"/>
      <c r="H334" s="5"/>
      <c r="I334" s="5"/>
      <c r="J334" s="6"/>
      <c r="K334" s="5"/>
      <c r="L334" s="3"/>
      <c r="M334" s="6"/>
      <c r="N334" s="5"/>
      <c r="O334" s="5"/>
    </row>
    <row r="335" spans="1:15" ht="15.6">
      <c r="A335" s="36"/>
      <c r="B335" s="4"/>
      <c r="C335" s="5"/>
      <c r="D335" s="4"/>
      <c r="E335" s="4"/>
      <c r="F335" s="4"/>
      <c r="G335" s="4"/>
      <c r="H335" s="5"/>
      <c r="I335" s="5"/>
      <c r="J335" s="6"/>
      <c r="K335" s="5"/>
      <c r="L335" s="3"/>
      <c r="M335" s="6"/>
      <c r="N335" s="5"/>
      <c r="O335" s="5"/>
    </row>
    <row r="336" spans="1:15" ht="15.6">
      <c r="A336" s="36"/>
      <c r="B336" s="4"/>
      <c r="C336" s="5"/>
      <c r="D336" s="4"/>
      <c r="E336" s="4"/>
      <c r="F336" s="4"/>
      <c r="G336" s="4"/>
      <c r="H336" s="5"/>
      <c r="I336" s="5"/>
      <c r="J336" s="6"/>
      <c r="K336" s="5"/>
      <c r="L336" s="3"/>
      <c r="M336" s="6"/>
      <c r="N336" s="5"/>
      <c r="O336" s="5"/>
    </row>
    <row r="337" spans="1:15" ht="15.6">
      <c r="A337" s="36"/>
      <c r="B337" s="4"/>
      <c r="C337" s="5"/>
      <c r="D337" s="4"/>
      <c r="E337" s="4"/>
      <c r="F337" s="4"/>
      <c r="G337" s="4"/>
      <c r="H337" s="5"/>
      <c r="I337" s="5"/>
      <c r="J337" s="6"/>
      <c r="K337" s="5"/>
      <c r="L337" s="3"/>
      <c r="M337" s="6"/>
      <c r="N337" s="5"/>
      <c r="O337" s="5"/>
    </row>
    <row r="338" spans="1:15" ht="15.6">
      <c r="A338" s="36"/>
      <c r="B338" s="4"/>
      <c r="C338" s="5"/>
      <c r="D338" s="4"/>
      <c r="E338" s="4"/>
      <c r="F338" s="4"/>
      <c r="G338" s="4"/>
      <c r="H338" s="5"/>
      <c r="I338" s="5"/>
      <c r="J338" s="6"/>
      <c r="K338" s="5"/>
      <c r="L338" s="3"/>
      <c r="M338" s="6"/>
      <c r="N338" s="5"/>
      <c r="O338" s="5"/>
    </row>
    <row r="339" spans="1:15" ht="15.6">
      <c r="A339" s="36"/>
      <c r="B339" s="4"/>
      <c r="C339" s="5"/>
      <c r="D339" s="4"/>
      <c r="E339" s="4"/>
      <c r="F339" s="4"/>
      <c r="G339" s="4"/>
      <c r="H339" s="5"/>
      <c r="I339" s="5"/>
      <c r="J339" s="6"/>
      <c r="K339" s="5"/>
      <c r="L339" s="3"/>
      <c r="M339" s="6"/>
      <c r="N339" s="5"/>
      <c r="O339" s="5"/>
    </row>
    <row r="340" spans="1:15" ht="15.6">
      <c r="A340" s="36"/>
      <c r="B340" s="4"/>
      <c r="C340" s="5"/>
      <c r="D340" s="4"/>
      <c r="E340" s="4"/>
      <c r="F340" s="4"/>
      <c r="G340" s="4"/>
      <c r="H340" s="5"/>
      <c r="I340" s="5"/>
      <c r="J340" s="6"/>
      <c r="K340" s="5"/>
      <c r="L340" s="3"/>
      <c r="M340" s="6"/>
      <c r="N340" s="5"/>
      <c r="O340" s="5"/>
    </row>
    <row r="341" spans="1:15" ht="15.6">
      <c r="A341" s="36"/>
      <c r="B341" s="4"/>
      <c r="C341" s="5"/>
      <c r="D341" s="4"/>
      <c r="E341" s="4"/>
      <c r="F341" s="4"/>
      <c r="G341" s="4"/>
      <c r="H341" s="5"/>
      <c r="I341" s="5"/>
      <c r="J341" s="6"/>
      <c r="K341" s="5"/>
      <c r="L341" s="3"/>
      <c r="M341" s="6"/>
      <c r="N341" s="5"/>
      <c r="O341" s="5"/>
    </row>
    <row r="342" spans="1:15" ht="15.6">
      <c r="A342" s="36"/>
      <c r="B342" s="4"/>
      <c r="C342" s="5"/>
      <c r="D342" s="4"/>
      <c r="E342" s="4"/>
      <c r="F342" s="4"/>
      <c r="G342" s="4"/>
      <c r="H342" s="5"/>
      <c r="I342" s="5"/>
      <c r="J342" s="6"/>
      <c r="K342" s="5"/>
      <c r="L342" s="3"/>
      <c r="M342" s="6"/>
      <c r="N342" s="5"/>
      <c r="O342" s="5"/>
    </row>
    <row r="343" spans="1:15" ht="15.6">
      <c r="A343" s="36"/>
      <c r="B343" s="4"/>
      <c r="C343" s="5"/>
      <c r="D343" s="4"/>
      <c r="E343" s="4"/>
      <c r="F343" s="4"/>
      <c r="G343" s="4"/>
      <c r="H343" s="5"/>
      <c r="I343" s="5"/>
      <c r="J343" s="6"/>
      <c r="K343" s="5"/>
      <c r="L343" s="3"/>
      <c r="M343" s="6"/>
      <c r="N343" s="5"/>
      <c r="O343" s="5"/>
    </row>
    <row r="344" spans="1:15" ht="15.6">
      <c r="A344" s="36"/>
      <c r="B344" s="4"/>
      <c r="C344" s="5"/>
      <c r="D344" s="4"/>
      <c r="E344" s="4"/>
      <c r="F344" s="4"/>
      <c r="G344" s="4"/>
      <c r="H344" s="5"/>
      <c r="I344" s="5"/>
      <c r="J344" s="6"/>
      <c r="K344" s="5"/>
      <c r="L344" s="3"/>
      <c r="M344" s="6"/>
      <c r="N344" s="5"/>
      <c r="O344" s="5"/>
    </row>
    <row r="345" spans="1:15" ht="15.6">
      <c r="A345" s="36"/>
      <c r="B345" s="4"/>
      <c r="C345" s="5"/>
      <c r="D345" s="4"/>
      <c r="E345" s="4"/>
      <c r="F345" s="4"/>
      <c r="G345" s="4"/>
      <c r="H345" s="5"/>
      <c r="I345" s="5"/>
      <c r="J345" s="6"/>
      <c r="K345" s="5"/>
      <c r="L345" s="3"/>
      <c r="M345" s="6"/>
      <c r="N345" s="5"/>
      <c r="O345" s="5"/>
    </row>
    <row r="346" spans="1:15" ht="15.6">
      <c r="A346" s="36"/>
      <c r="B346" s="4"/>
      <c r="C346" s="5"/>
      <c r="D346" s="4"/>
      <c r="E346" s="4"/>
      <c r="F346" s="4"/>
      <c r="G346" s="4"/>
      <c r="H346" s="5"/>
      <c r="I346" s="5"/>
      <c r="J346" s="6"/>
      <c r="K346" s="5"/>
      <c r="L346" s="3"/>
      <c r="M346" s="6"/>
      <c r="N346" s="5"/>
      <c r="O346" s="5"/>
    </row>
    <row r="347" spans="1:15" ht="15.6">
      <c r="A347" s="36"/>
      <c r="B347" s="4"/>
      <c r="C347" s="5"/>
      <c r="D347" s="4"/>
      <c r="E347" s="4"/>
      <c r="F347" s="4"/>
      <c r="G347" s="4"/>
      <c r="H347" s="5"/>
      <c r="I347" s="5"/>
      <c r="J347" s="6"/>
      <c r="K347" s="5"/>
      <c r="L347" s="3"/>
      <c r="M347" s="6"/>
      <c r="N347" s="5"/>
      <c r="O347" s="5"/>
    </row>
    <row r="348" spans="1:15" ht="15.6">
      <c r="A348" s="36"/>
      <c r="B348" s="4"/>
      <c r="C348" s="5"/>
      <c r="D348" s="4"/>
      <c r="E348" s="4"/>
      <c r="F348" s="4"/>
      <c r="G348" s="4"/>
      <c r="H348" s="5"/>
      <c r="I348" s="5"/>
      <c r="J348" s="6"/>
      <c r="K348" s="5"/>
      <c r="L348" s="3"/>
      <c r="M348" s="6"/>
      <c r="N348" s="5"/>
      <c r="O348" s="5"/>
    </row>
    <row r="349" spans="1:15" ht="15.6">
      <c r="A349" s="36"/>
      <c r="B349" s="4"/>
      <c r="C349" s="5"/>
      <c r="D349" s="4"/>
      <c r="E349" s="4"/>
      <c r="F349" s="4"/>
      <c r="G349" s="4"/>
      <c r="H349" s="5"/>
      <c r="I349" s="5"/>
      <c r="J349" s="6"/>
      <c r="K349" s="5"/>
      <c r="L349" s="3"/>
      <c r="M349" s="6"/>
      <c r="N349" s="5"/>
      <c r="O349" s="5"/>
    </row>
    <row r="350" spans="1:15" ht="15.6">
      <c r="A350" s="36"/>
      <c r="B350" s="4"/>
      <c r="C350" s="5"/>
      <c r="D350" s="4"/>
      <c r="E350" s="4"/>
      <c r="F350" s="4"/>
      <c r="G350" s="4"/>
      <c r="H350" s="5"/>
      <c r="I350" s="5"/>
      <c r="J350" s="6"/>
      <c r="K350" s="5"/>
      <c r="L350" s="3"/>
      <c r="M350" s="6"/>
      <c r="N350" s="5"/>
      <c r="O350" s="5"/>
    </row>
    <row r="351" spans="1:15" ht="15.6">
      <c r="A351" s="36"/>
      <c r="B351" s="4"/>
      <c r="C351" s="5"/>
      <c r="D351" s="4"/>
      <c r="E351" s="4"/>
      <c r="F351" s="4"/>
      <c r="G351" s="4"/>
      <c r="H351" s="5"/>
      <c r="I351" s="5"/>
      <c r="J351" s="6"/>
      <c r="K351" s="5"/>
      <c r="L351" s="3"/>
      <c r="M351" s="6"/>
      <c r="N351" s="5"/>
      <c r="O351" s="5"/>
    </row>
    <row r="352" spans="1:15" ht="15.6">
      <c r="A352" s="36"/>
      <c r="B352" s="4"/>
      <c r="C352" s="5"/>
      <c r="D352" s="4"/>
      <c r="E352" s="4"/>
      <c r="F352" s="4"/>
      <c r="G352" s="4"/>
      <c r="H352" s="5"/>
      <c r="I352" s="5"/>
      <c r="J352" s="6"/>
      <c r="K352" s="5"/>
      <c r="L352" s="3"/>
      <c r="M352" s="6"/>
      <c r="N352" s="5"/>
      <c r="O352" s="5"/>
    </row>
    <row r="353" spans="1:15" ht="15.6">
      <c r="A353" s="36"/>
      <c r="B353" s="4"/>
      <c r="C353" s="5"/>
      <c r="D353" s="4"/>
      <c r="E353" s="4"/>
      <c r="F353" s="4"/>
      <c r="G353" s="4"/>
      <c r="H353" s="5"/>
      <c r="I353" s="5"/>
      <c r="J353" s="6"/>
      <c r="K353" s="5"/>
      <c r="L353" s="3"/>
      <c r="M353" s="6"/>
      <c r="N353" s="5"/>
      <c r="O353" s="5"/>
    </row>
    <row r="354" spans="1:15" ht="15.6">
      <c r="A354" s="36"/>
      <c r="B354" s="4"/>
      <c r="C354" s="5"/>
      <c r="D354" s="4"/>
      <c r="E354" s="4"/>
      <c r="F354" s="4"/>
      <c r="G354" s="4"/>
      <c r="H354" s="5"/>
      <c r="I354" s="5"/>
      <c r="J354" s="6"/>
      <c r="K354" s="5"/>
      <c r="L354" s="3"/>
      <c r="M354" s="6"/>
      <c r="N354" s="5"/>
      <c r="O354" s="5"/>
    </row>
    <row r="355" spans="1:15" ht="15.6">
      <c r="A355" s="36"/>
      <c r="B355" s="4"/>
      <c r="C355" s="5"/>
      <c r="D355" s="4"/>
      <c r="E355" s="4"/>
      <c r="F355" s="4"/>
      <c r="G355" s="4"/>
      <c r="H355" s="5"/>
      <c r="I355" s="5"/>
      <c r="J355" s="6"/>
      <c r="K355" s="5"/>
      <c r="L355" s="3"/>
      <c r="M355" s="6"/>
      <c r="N355" s="5"/>
      <c r="O355" s="5"/>
    </row>
    <row r="356" spans="1:15" ht="15.6">
      <c r="A356" s="36"/>
      <c r="B356" s="4"/>
      <c r="C356" s="5"/>
      <c r="D356" s="4"/>
      <c r="E356" s="4"/>
      <c r="F356" s="4"/>
      <c r="G356" s="4"/>
      <c r="H356" s="5"/>
      <c r="I356" s="5"/>
      <c r="J356" s="6"/>
      <c r="K356" s="5"/>
      <c r="L356" s="3"/>
      <c r="M356" s="6"/>
      <c r="N356" s="5"/>
      <c r="O356" s="5"/>
    </row>
    <row r="357" spans="1:15" ht="15.6">
      <c r="A357" s="36"/>
      <c r="B357" s="4"/>
      <c r="C357" s="5"/>
      <c r="D357" s="4"/>
      <c r="E357" s="4"/>
      <c r="F357" s="4"/>
      <c r="G357" s="4"/>
      <c r="H357" s="5"/>
      <c r="I357" s="5"/>
      <c r="J357" s="6"/>
      <c r="K357" s="5"/>
      <c r="L357" s="3"/>
      <c r="M357" s="6"/>
      <c r="N357" s="5"/>
      <c r="O357" s="5"/>
    </row>
    <row r="358" spans="1:15" ht="15.6">
      <c r="A358" s="36"/>
      <c r="B358" s="4"/>
      <c r="C358" s="5"/>
      <c r="D358" s="4"/>
      <c r="E358" s="4"/>
      <c r="F358" s="4"/>
      <c r="G358" s="4"/>
      <c r="H358" s="5"/>
      <c r="I358" s="5"/>
      <c r="J358" s="6"/>
      <c r="K358" s="5"/>
      <c r="L358" s="3"/>
      <c r="M358" s="6"/>
      <c r="N358" s="5"/>
      <c r="O358" s="5"/>
    </row>
    <row r="359" spans="1:15" ht="15.6">
      <c r="A359" s="36"/>
      <c r="B359" s="4"/>
      <c r="C359" s="5"/>
      <c r="D359" s="4"/>
      <c r="E359" s="4"/>
      <c r="F359" s="4"/>
      <c r="G359" s="4"/>
      <c r="H359" s="5"/>
      <c r="I359" s="5"/>
      <c r="J359" s="6"/>
      <c r="K359" s="5"/>
      <c r="L359" s="3"/>
      <c r="M359" s="6"/>
      <c r="N359" s="5"/>
      <c r="O359" s="5"/>
    </row>
    <row r="360" spans="1:15" ht="15.6">
      <c r="A360" s="36"/>
      <c r="B360" s="4"/>
      <c r="C360" s="5"/>
      <c r="D360" s="4"/>
      <c r="E360" s="4"/>
      <c r="F360" s="4"/>
      <c r="G360" s="4"/>
      <c r="H360" s="5"/>
      <c r="I360" s="5"/>
      <c r="J360" s="6"/>
      <c r="K360" s="5"/>
      <c r="L360" s="3"/>
      <c r="M360" s="6"/>
      <c r="N360" s="5"/>
      <c r="O360" s="5"/>
    </row>
    <row r="361" spans="1:15" ht="15.6">
      <c r="A361" s="36"/>
      <c r="B361" s="4"/>
      <c r="C361" s="5"/>
      <c r="D361" s="4"/>
      <c r="E361" s="4"/>
      <c r="F361" s="4"/>
      <c r="G361" s="4"/>
      <c r="H361" s="5"/>
      <c r="I361" s="5"/>
      <c r="J361" s="6"/>
      <c r="K361" s="5"/>
      <c r="L361" s="3"/>
      <c r="M361" s="6"/>
      <c r="N361" s="5"/>
      <c r="O361" s="5"/>
    </row>
    <row r="362" spans="1:15" ht="15.6">
      <c r="A362" s="36"/>
      <c r="B362" s="4"/>
      <c r="C362" s="5"/>
      <c r="D362" s="4"/>
      <c r="E362" s="4"/>
      <c r="F362" s="4"/>
      <c r="G362" s="4"/>
      <c r="H362" s="5"/>
      <c r="I362" s="5"/>
      <c r="J362" s="6"/>
      <c r="K362" s="5"/>
      <c r="L362" s="3"/>
      <c r="M362" s="6"/>
      <c r="N362" s="5"/>
      <c r="O362" s="5"/>
    </row>
    <row r="363" spans="1:15" ht="15.6">
      <c r="A363" s="36"/>
      <c r="B363" s="4"/>
      <c r="C363" s="5"/>
      <c r="D363" s="4"/>
      <c r="E363" s="4"/>
      <c r="F363" s="4"/>
      <c r="G363" s="4"/>
      <c r="H363" s="5"/>
      <c r="I363" s="5"/>
      <c r="J363" s="6"/>
      <c r="K363" s="5"/>
      <c r="L363" s="3"/>
      <c r="M363" s="6"/>
      <c r="N363" s="5"/>
      <c r="O363" s="5"/>
    </row>
    <row r="364" spans="1:15" ht="15.6">
      <c r="A364" s="36"/>
      <c r="B364" s="4"/>
      <c r="C364" s="5"/>
      <c r="D364" s="4"/>
      <c r="E364" s="4"/>
      <c r="F364" s="4"/>
      <c r="G364" s="4"/>
      <c r="H364" s="5"/>
      <c r="I364" s="5"/>
      <c r="J364" s="6"/>
      <c r="K364" s="5"/>
      <c r="L364" s="3"/>
      <c r="M364" s="6"/>
      <c r="N364" s="5"/>
      <c r="O364" s="5"/>
    </row>
    <row r="365" spans="1:15" ht="15.6">
      <c r="A365" s="36"/>
      <c r="B365" s="4"/>
      <c r="C365" s="5"/>
      <c r="D365" s="4"/>
      <c r="E365" s="4"/>
      <c r="F365" s="4"/>
      <c r="G365" s="4"/>
      <c r="H365" s="5"/>
      <c r="I365" s="5"/>
      <c r="J365" s="6"/>
      <c r="K365" s="5"/>
      <c r="L365" s="3"/>
      <c r="M365" s="6"/>
      <c r="N365" s="5"/>
      <c r="O365" s="5"/>
    </row>
    <row r="366" spans="1:15" ht="15.6">
      <c r="A366" s="36"/>
      <c r="B366" s="4"/>
      <c r="C366" s="5"/>
      <c r="D366" s="4"/>
      <c r="E366" s="4"/>
      <c r="F366" s="4"/>
      <c r="G366" s="4"/>
      <c r="H366" s="5"/>
      <c r="I366" s="5"/>
      <c r="J366" s="6"/>
      <c r="K366" s="5"/>
      <c r="L366" s="3"/>
      <c r="M366" s="6"/>
      <c r="N366" s="5"/>
      <c r="O366" s="5"/>
    </row>
    <row r="367" spans="1:15" ht="15.6">
      <c r="A367" s="36"/>
      <c r="B367" s="4"/>
      <c r="C367" s="5"/>
      <c r="D367" s="4"/>
      <c r="E367" s="4"/>
      <c r="F367" s="4"/>
      <c r="G367" s="4"/>
      <c r="H367" s="5"/>
      <c r="I367" s="5"/>
      <c r="J367" s="6"/>
      <c r="K367" s="5"/>
      <c r="L367" s="3"/>
      <c r="M367" s="6"/>
      <c r="N367" s="5"/>
      <c r="O367" s="5"/>
    </row>
    <row r="368" spans="1:15" ht="15.6">
      <c r="A368" s="36"/>
      <c r="B368" s="4"/>
      <c r="C368" s="5"/>
      <c r="D368" s="4"/>
      <c r="E368" s="4"/>
      <c r="F368" s="4"/>
      <c r="G368" s="4"/>
      <c r="H368" s="5"/>
      <c r="I368" s="5"/>
      <c r="J368" s="6"/>
      <c r="K368" s="5"/>
      <c r="L368" s="3"/>
      <c r="M368" s="6"/>
      <c r="N368" s="5"/>
      <c r="O368" s="5"/>
    </row>
    <row r="369" spans="1:15" ht="15.6">
      <c r="A369" s="36"/>
      <c r="B369" s="4"/>
      <c r="C369" s="5"/>
      <c r="D369" s="4"/>
      <c r="E369" s="4"/>
      <c r="F369" s="4"/>
      <c r="G369" s="4"/>
      <c r="H369" s="5"/>
      <c r="I369" s="5"/>
      <c r="J369" s="6"/>
      <c r="K369" s="5"/>
      <c r="L369" s="3"/>
      <c r="M369" s="6"/>
      <c r="N369" s="5"/>
      <c r="O369" s="5"/>
    </row>
    <row r="370" spans="1:15" ht="15.6">
      <c r="A370" s="36"/>
      <c r="B370" s="4"/>
      <c r="C370" s="5"/>
      <c r="D370" s="4"/>
      <c r="E370" s="4"/>
      <c r="F370" s="4"/>
      <c r="G370" s="4"/>
      <c r="H370" s="5"/>
      <c r="I370" s="5"/>
      <c r="J370" s="6"/>
      <c r="K370" s="5"/>
      <c r="L370" s="3"/>
      <c r="M370" s="6"/>
      <c r="N370" s="5"/>
      <c r="O370" s="5"/>
    </row>
    <row r="371" spans="1:15" ht="15.6">
      <c r="A371" s="36"/>
      <c r="B371" s="4"/>
      <c r="C371" s="5"/>
      <c r="D371" s="4"/>
      <c r="E371" s="4"/>
      <c r="F371" s="4"/>
      <c r="G371" s="4"/>
      <c r="H371" s="5"/>
      <c r="I371" s="5"/>
      <c r="J371" s="6"/>
      <c r="K371" s="5"/>
      <c r="L371" s="3"/>
      <c r="M371" s="6"/>
      <c r="N371" s="5"/>
      <c r="O371" s="5"/>
    </row>
    <row r="372" spans="1:15" ht="15.6">
      <c r="A372" s="36"/>
      <c r="B372" s="4"/>
      <c r="C372" s="5"/>
      <c r="D372" s="4"/>
      <c r="E372" s="4"/>
      <c r="F372" s="4"/>
      <c r="G372" s="4"/>
      <c r="H372" s="5"/>
      <c r="I372" s="5"/>
      <c r="J372" s="6"/>
      <c r="K372" s="5"/>
      <c r="L372" s="3"/>
      <c r="M372" s="6"/>
      <c r="N372" s="5"/>
      <c r="O372" s="5"/>
    </row>
    <row r="373" spans="1:15" ht="15.6">
      <c r="A373" s="36"/>
      <c r="B373" s="4"/>
      <c r="C373" s="5"/>
      <c r="D373" s="4"/>
      <c r="E373" s="4"/>
      <c r="F373" s="4"/>
      <c r="G373" s="4"/>
      <c r="H373" s="5"/>
      <c r="I373" s="5"/>
      <c r="J373" s="6"/>
      <c r="K373" s="5"/>
      <c r="L373" s="3"/>
      <c r="M373" s="6"/>
      <c r="N373" s="5"/>
      <c r="O373" s="5"/>
    </row>
    <row r="374" spans="1:15" ht="15.6">
      <c r="A374" s="36"/>
      <c r="B374" s="4"/>
      <c r="C374" s="5"/>
      <c r="D374" s="4"/>
      <c r="E374" s="4"/>
      <c r="F374" s="4"/>
      <c r="G374" s="4"/>
      <c r="H374" s="5"/>
      <c r="I374" s="5"/>
      <c r="J374" s="6"/>
      <c r="K374" s="5"/>
      <c r="L374" s="3"/>
      <c r="M374" s="6"/>
      <c r="N374" s="5"/>
      <c r="O374" s="5"/>
    </row>
    <row r="375" spans="1:15" ht="15.6">
      <c r="A375" s="36"/>
      <c r="B375" s="4"/>
      <c r="C375" s="5"/>
      <c r="D375" s="4"/>
      <c r="E375" s="4"/>
      <c r="F375" s="4"/>
      <c r="G375" s="4"/>
      <c r="H375" s="5"/>
      <c r="I375" s="5"/>
      <c r="J375" s="6"/>
      <c r="K375" s="5"/>
      <c r="L375" s="3"/>
      <c r="M375" s="6"/>
      <c r="N375" s="5"/>
      <c r="O375" s="5"/>
    </row>
    <row r="376" spans="1:15" ht="15.6">
      <c r="A376" s="36"/>
      <c r="B376" s="4"/>
      <c r="C376" s="5"/>
      <c r="D376" s="4"/>
      <c r="E376" s="4"/>
      <c r="F376" s="4"/>
      <c r="G376" s="4"/>
      <c r="H376" s="5"/>
      <c r="I376" s="5"/>
      <c r="J376" s="6"/>
      <c r="K376" s="5"/>
      <c r="L376" s="3"/>
      <c r="M376" s="6"/>
      <c r="N376" s="5"/>
      <c r="O376" s="5"/>
    </row>
    <row r="377" spans="1:15" ht="15.6">
      <c r="A377" s="36"/>
      <c r="B377" s="4"/>
      <c r="C377" s="5"/>
      <c r="D377" s="4"/>
      <c r="E377" s="4"/>
      <c r="F377" s="4"/>
      <c r="G377" s="4"/>
      <c r="H377" s="5"/>
      <c r="I377" s="5"/>
      <c r="J377" s="6"/>
      <c r="K377" s="5"/>
      <c r="L377" s="3"/>
      <c r="M377" s="6"/>
      <c r="N377" s="5"/>
      <c r="O377" s="5"/>
    </row>
    <row r="378" spans="1:15" ht="15.6">
      <c r="A378" s="36"/>
      <c r="B378" s="4"/>
      <c r="C378" s="5"/>
      <c r="D378" s="4"/>
      <c r="E378" s="4"/>
      <c r="F378" s="4"/>
      <c r="G378" s="4"/>
      <c r="H378" s="5"/>
      <c r="I378" s="5"/>
      <c r="J378" s="6"/>
      <c r="K378" s="5"/>
      <c r="L378" s="3"/>
      <c r="M378" s="6"/>
      <c r="N378" s="5"/>
      <c r="O378" s="5"/>
    </row>
    <row r="379" spans="1:15" ht="15.6">
      <c r="A379" s="36"/>
      <c r="B379" s="4"/>
      <c r="C379" s="5"/>
      <c r="D379" s="4"/>
      <c r="E379" s="4"/>
      <c r="F379" s="4"/>
      <c r="G379" s="4"/>
      <c r="H379" s="5"/>
      <c r="I379" s="5"/>
      <c r="J379" s="6"/>
      <c r="K379" s="5"/>
      <c r="L379" s="3"/>
      <c r="M379" s="6"/>
      <c r="N379" s="5"/>
      <c r="O379" s="5"/>
    </row>
    <row r="380" spans="1:15" ht="15.6">
      <c r="A380" s="36"/>
      <c r="B380" s="4"/>
      <c r="C380" s="5"/>
      <c r="D380" s="4"/>
      <c r="E380" s="4"/>
      <c r="F380" s="4"/>
      <c r="G380" s="4"/>
      <c r="H380" s="5"/>
      <c r="I380" s="5"/>
      <c r="J380" s="6"/>
      <c r="K380" s="5"/>
      <c r="L380" s="3"/>
      <c r="M380" s="6"/>
      <c r="N380" s="5"/>
      <c r="O380" s="5"/>
    </row>
    <row r="381" spans="1:15" ht="15.6">
      <c r="A381" s="36"/>
      <c r="B381" s="4"/>
      <c r="C381" s="5"/>
      <c r="D381" s="4"/>
      <c r="E381" s="4"/>
      <c r="F381" s="4"/>
      <c r="G381" s="4"/>
      <c r="H381" s="5"/>
      <c r="I381" s="5"/>
      <c r="J381" s="6"/>
      <c r="K381" s="5"/>
      <c r="L381" s="3"/>
      <c r="M381" s="6"/>
      <c r="N381" s="5"/>
      <c r="O381" s="5"/>
    </row>
    <row r="382" spans="1:15" ht="15.6">
      <c r="A382" s="36"/>
      <c r="B382" s="4"/>
      <c r="C382" s="5"/>
      <c r="D382" s="4"/>
      <c r="E382" s="4"/>
      <c r="F382" s="4"/>
      <c r="G382" s="4"/>
      <c r="H382" s="5"/>
      <c r="I382" s="5"/>
      <c r="J382" s="6"/>
      <c r="K382" s="5"/>
      <c r="L382" s="3"/>
      <c r="M382" s="6"/>
      <c r="N382" s="5"/>
      <c r="O382" s="5"/>
    </row>
    <row r="383" spans="1:15" ht="15.6">
      <c r="A383" s="36"/>
      <c r="B383" s="4"/>
      <c r="C383" s="5"/>
      <c r="D383" s="4"/>
      <c r="E383" s="4"/>
      <c r="F383" s="4"/>
      <c r="G383" s="4"/>
      <c r="H383" s="5"/>
      <c r="I383" s="5"/>
      <c r="J383" s="6"/>
      <c r="K383" s="5"/>
      <c r="L383" s="3"/>
      <c r="M383" s="6"/>
      <c r="N383" s="5"/>
      <c r="O383" s="5"/>
    </row>
    <row r="384" spans="1:15" ht="15.6">
      <c r="A384" s="36"/>
      <c r="B384" s="4"/>
      <c r="C384" s="5"/>
      <c r="D384" s="4"/>
      <c r="E384" s="4"/>
      <c r="F384" s="4"/>
      <c r="G384" s="4"/>
      <c r="H384" s="5"/>
      <c r="I384" s="5"/>
      <c r="J384" s="6"/>
      <c r="K384" s="5"/>
      <c r="L384" s="3"/>
      <c r="M384" s="6"/>
      <c r="N384" s="5"/>
      <c r="O384" s="5"/>
    </row>
    <row r="385" spans="1:15" ht="15.6">
      <c r="A385" s="36"/>
      <c r="B385" s="4"/>
      <c r="C385" s="5"/>
      <c r="D385" s="4"/>
      <c r="E385" s="4"/>
      <c r="F385" s="4"/>
      <c r="G385" s="4"/>
      <c r="H385" s="5"/>
      <c r="I385" s="5"/>
      <c r="J385" s="6"/>
      <c r="K385" s="5"/>
      <c r="L385" s="3"/>
      <c r="M385" s="6"/>
      <c r="N385" s="5"/>
      <c r="O385" s="5"/>
    </row>
    <row r="386" spans="1:15" ht="15.6">
      <c r="A386" s="36"/>
      <c r="B386" s="4"/>
      <c r="C386" s="5"/>
      <c r="D386" s="4"/>
      <c r="E386" s="4"/>
      <c r="F386" s="4"/>
      <c r="G386" s="4"/>
      <c r="H386" s="5"/>
      <c r="I386" s="5"/>
      <c r="J386" s="6"/>
      <c r="K386" s="5"/>
      <c r="L386" s="3"/>
      <c r="M386" s="6"/>
      <c r="N386" s="5"/>
      <c r="O386" s="5"/>
    </row>
    <row r="387" spans="1:15" ht="15.6">
      <c r="A387" s="36"/>
      <c r="B387" s="4"/>
      <c r="C387" s="5"/>
      <c r="D387" s="4"/>
      <c r="E387" s="4"/>
      <c r="F387" s="4"/>
      <c r="G387" s="4"/>
      <c r="H387" s="5"/>
      <c r="I387" s="5"/>
      <c r="J387" s="6"/>
      <c r="K387" s="5"/>
      <c r="L387" s="3"/>
      <c r="M387" s="6"/>
      <c r="N387" s="5"/>
      <c r="O387" s="5"/>
    </row>
    <row r="388" spans="1:15" ht="15.6">
      <c r="A388" s="36"/>
      <c r="B388" s="4"/>
      <c r="C388" s="5"/>
      <c r="D388" s="4"/>
      <c r="E388" s="4"/>
      <c r="F388" s="4"/>
      <c r="G388" s="4"/>
      <c r="H388" s="5"/>
      <c r="I388" s="5"/>
      <c r="J388" s="6"/>
      <c r="K388" s="5"/>
      <c r="L388" s="3"/>
      <c r="M388" s="6"/>
      <c r="N388" s="5"/>
      <c r="O388" s="5"/>
    </row>
    <row r="389" spans="1:15" ht="15.6">
      <c r="A389" s="36"/>
      <c r="B389" s="4"/>
      <c r="C389" s="5"/>
      <c r="D389" s="4"/>
      <c r="E389" s="4"/>
      <c r="F389" s="4"/>
      <c r="G389" s="4"/>
      <c r="H389" s="5"/>
      <c r="I389" s="5"/>
      <c r="J389" s="6"/>
      <c r="K389" s="5"/>
      <c r="L389" s="3"/>
      <c r="M389" s="6"/>
      <c r="N389" s="5"/>
      <c r="O389" s="5"/>
    </row>
    <row r="390" spans="1:15" ht="15.6">
      <c r="A390" s="36"/>
      <c r="B390" s="4"/>
      <c r="C390" s="5"/>
      <c r="D390" s="4"/>
      <c r="E390" s="4"/>
      <c r="F390" s="4"/>
      <c r="G390" s="4"/>
      <c r="H390" s="5"/>
      <c r="I390" s="5"/>
      <c r="J390" s="6"/>
      <c r="K390" s="5"/>
      <c r="L390" s="3"/>
      <c r="M390" s="6"/>
      <c r="N390" s="5"/>
      <c r="O390" s="5"/>
    </row>
    <row r="391" spans="1:15" ht="15.6">
      <c r="A391" s="36"/>
      <c r="B391" s="4"/>
      <c r="C391" s="5"/>
      <c r="D391" s="4"/>
      <c r="E391" s="4"/>
      <c r="F391" s="4"/>
      <c r="G391" s="4"/>
      <c r="H391" s="5"/>
      <c r="I391" s="5"/>
      <c r="J391" s="6"/>
      <c r="K391" s="5"/>
      <c r="L391" s="3"/>
      <c r="M391" s="6"/>
      <c r="N391" s="5"/>
      <c r="O391" s="5"/>
    </row>
    <row r="392" spans="1:15" ht="15.6">
      <c r="A392" s="36"/>
      <c r="B392" s="4"/>
      <c r="C392" s="5"/>
      <c r="D392" s="4"/>
      <c r="E392" s="4"/>
      <c r="F392" s="4"/>
      <c r="G392" s="4"/>
      <c r="H392" s="5"/>
      <c r="I392" s="5"/>
      <c r="J392" s="6"/>
      <c r="K392" s="5"/>
      <c r="L392" s="3"/>
      <c r="M392" s="6"/>
      <c r="N392" s="5"/>
      <c r="O392" s="5"/>
    </row>
    <row r="393" spans="1:15" ht="15.6">
      <c r="A393" s="36"/>
      <c r="B393" s="4"/>
      <c r="C393" s="5"/>
      <c r="D393" s="4"/>
      <c r="E393" s="4"/>
      <c r="F393" s="4"/>
      <c r="G393" s="4"/>
      <c r="H393" s="5"/>
      <c r="I393" s="5"/>
      <c r="J393" s="6"/>
      <c r="K393" s="5"/>
      <c r="L393" s="3"/>
      <c r="M393" s="6"/>
      <c r="N393" s="5"/>
      <c r="O393" s="5"/>
    </row>
    <row r="394" spans="1:15" ht="15.6">
      <c r="A394" s="36"/>
      <c r="B394" s="4"/>
      <c r="C394" s="5"/>
      <c r="D394" s="4"/>
      <c r="E394" s="4"/>
      <c r="F394" s="4"/>
      <c r="G394" s="4"/>
      <c r="H394" s="5"/>
      <c r="I394" s="5"/>
      <c r="J394" s="6"/>
      <c r="K394" s="5"/>
      <c r="L394" s="3"/>
      <c r="M394" s="6"/>
      <c r="N394" s="5"/>
      <c r="O394" s="5"/>
    </row>
    <row r="395" spans="1:15" ht="15.6">
      <c r="A395" s="36"/>
      <c r="B395" s="4"/>
      <c r="C395" s="5"/>
      <c r="D395" s="4"/>
      <c r="E395" s="4"/>
      <c r="F395" s="4"/>
      <c r="G395" s="4"/>
      <c r="H395" s="5"/>
      <c r="I395" s="5"/>
      <c r="J395" s="6"/>
      <c r="K395" s="5"/>
      <c r="L395" s="3"/>
      <c r="M395" s="6"/>
      <c r="N395" s="5"/>
      <c r="O395" s="5"/>
    </row>
    <row r="396" spans="1:15" ht="15.6">
      <c r="A396" s="36"/>
      <c r="B396" s="4"/>
      <c r="C396" s="5"/>
      <c r="D396" s="4"/>
      <c r="E396" s="4"/>
      <c r="F396" s="4"/>
      <c r="G396" s="4"/>
      <c r="H396" s="5"/>
      <c r="I396" s="5"/>
      <c r="J396" s="6"/>
      <c r="K396" s="5"/>
      <c r="L396" s="3"/>
      <c r="M396" s="6"/>
      <c r="N396" s="5"/>
      <c r="O396" s="5"/>
    </row>
    <row r="397" spans="1:15" ht="15.6">
      <c r="A397" s="36"/>
      <c r="B397" s="4"/>
      <c r="C397" s="5"/>
      <c r="D397" s="4"/>
      <c r="E397" s="4"/>
      <c r="F397" s="4"/>
      <c r="G397" s="4"/>
      <c r="H397" s="5"/>
      <c r="I397" s="5"/>
      <c r="J397" s="6"/>
      <c r="K397" s="5"/>
      <c r="L397" s="3"/>
      <c r="M397" s="6"/>
      <c r="N397" s="5"/>
      <c r="O397" s="5"/>
    </row>
    <row r="398" spans="1:15" ht="15.6">
      <c r="A398" s="36"/>
      <c r="B398" s="4"/>
      <c r="C398" s="5"/>
      <c r="D398" s="4"/>
      <c r="E398" s="4"/>
      <c r="F398" s="4"/>
      <c r="G398" s="4"/>
      <c r="H398" s="5"/>
      <c r="I398" s="5"/>
      <c r="J398" s="6"/>
      <c r="K398" s="5"/>
      <c r="L398" s="3"/>
      <c r="M398" s="6"/>
      <c r="N398" s="5"/>
      <c r="O398" s="5"/>
    </row>
    <row r="399" spans="1:15" ht="15.6">
      <c r="A399" s="36"/>
      <c r="B399" s="4"/>
      <c r="C399" s="5"/>
      <c r="D399" s="4"/>
      <c r="E399" s="4"/>
      <c r="F399" s="4"/>
      <c r="G399" s="4"/>
      <c r="H399" s="5"/>
      <c r="I399" s="5"/>
      <c r="J399" s="6"/>
      <c r="K399" s="5"/>
      <c r="L399" s="3"/>
      <c r="M399" s="6"/>
      <c r="N399" s="5"/>
      <c r="O399" s="5"/>
    </row>
    <row r="400" spans="1:15" ht="15.6">
      <c r="A400" s="36"/>
      <c r="B400" s="4"/>
      <c r="C400" s="5"/>
      <c r="D400" s="4"/>
      <c r="E400" s="4"/>
      <c r="F400" s="4"/>
      <c r="G400" s="4"/>
      <c r="H400" s="5"/>
      <c r="I400" s="5"/>
      <c r="J400" s="6"/>
      <c r="K400" s="5"/>
      <c r="L400" s="3"/>
      <c r="M400" s="6"/>
      <c r="N400" s="5"/>
      <c r="O400" s="5"/>
    </row>
    <row r="401" spans="1:15" ht="15.6">
      <c r="A401" s="36"/>
      <c r="B401" s="4"/>
      <c r="C401" s="5"/>
      <c r="D401" s="4"/>
      <c r="E401" s="4"/>
      <c r="F401" s="4"/>
      <c r="G401" s="4"/>
      <c r="H401" s="5"/>
      <c r="I401" s="5"/>
      <c r="J401" s="6"/>
      <c r="K401" s="5"/>
      <c r="L401" s="3"/>
      <c r="M401" s="6"/>
      <c r="N401" s="5"/>
      <c r="O401" s="5"/>
    </row>
    <row r="402" spans="1:15" ht="15.6">
      <c r="A402" s="36"/>
      <c r="B402" s="4"/>
      <c r="C402" s="5"/>
      <c r="D402" s="4"/>
      <c r="E402" s="4"/>
      <c r="F402" s="4"/>
      <c r="G402" s="4"/>
      <c r="H402" s="5"/>
      <c r="I402" s="5"/>
      <c r="J402" s="6"/>
      <c r="K402" s="5"/>
      <c r="L402" s="3"/>
      <c r="M402" s="6"/>
      <c r="N402" s="5"/>
      <c r="O402" s="5"/>
    </row>
    <row r="403" spans="1:15" ht="15.6">
      <c r="A403" s="36"/>
      <c r="B403" s="4"/>
      <c r="C403" s="5"/>
      <c r="D403" s="4"/>
      <c r="E403" s="4"/>
      <c r="F403" s="4"/>
      <c r="G403" s="4"/>
      <c r="H403" s="5"/>
      <c r="I403" s="5"/>
      <c r="J403" s="6"/>
      <c r="K403" s="5"/>
      <c r="L403" s="3"/>
      <c r="M403" s="6"/>
      <c r="N403" s="5"/>
      <c r="O403" s="5"/>
    </row>
    <row r="404" spans="1:15" ht="15.6">
      <c r="A404" s="36"/>
      <c r="B404" s="4"/>
      <c r="C404" s="5"/>
      <c r="D404" s="4"/>
      <c r="E404" s="4"/>
      <c r="F404" s="4"/>
      <c r="G404" s="4"/>
      <c r="H404" s="5"/>
      <c r="I404" s="5"/>
      <c r="J404" s="6"/>
      <c r="K404" s="5"/>
      <c r="L404" s="3"/>
      <c r="M404" s="6"/>
      <c r="N404" s="5"/>
      <c r="O404" s="5"/>
    </row>
    <row r="405" spans="1:15" ht="15.6">
      <c r="A405" s="36"/>
      <c r="B405" s="4"/>
      <c r="C405" s="5"/>
      <c r="D405" s="4"/>
      <c r="E405" s="4"/>
      <c r="F405" s="4"/>
      <c r="G405" s="4"/>
      <c r="H405" s="5"/>
      <c r="I405" s="5"/>
      <c r="J405" s="6"/>
      <c r="K405" s="5"/>
      <c r="L405" s="3"/>
      <c r="M405" s="6"/>
      <c r="N405" s="5"/>
      <c r="O405" s="5"/>
    </row>
    <row r="406" spans="1:15" ht="15.6">
      <c r="A406" s="36"/>
      <c r="B406" s="4"/>
      <c r="C406" s="5"/>
      <c r="D406" s="4"/>
      <c r="E406" s="4"/>
      <c r="F406" s="4"/>
      <c r="G406" s="4"/>
      <c r="H406" s="5"/>
      <c r="I406" s="5"/>
      <c r="J406" s="6"/>
      <c r="K406" s="5"/>
      <c r="L406" s="3"/>
      <c r="M406" s="6"/>
      <c r="N406" s="5"/>
      <c r="O406" s="5"/>
    </row>
    <row r="407" spans="1:15" ht="15.6">
      <c r="A407" s="36"/>
      <c r="B407" s="4"/>
      <c r="C407" s="5"/>
      <c r="D407" s="4"/>
      <c r="E407" s="4"/>
      <c r="F407" s="4"/>
      <c r="G407" s="4"/>
      <c r="H407" s="5"/>
      <c r="I407" s="5"/>
      <c r="J407" s="6"/>
      <c r="K407" s="5"/>
      <c r="L407" s="3"/>
      <c r="M407" s="6"/>
      <c r="N407" s="5"/>
      <c r="O407" s="5"/>
    </row>
    <row r="408" spans="1:15" ht="15.6">
      <c r="A408" s="36"/>
      <c r="B408" s="4"/>
      <c r="C408" s="5"/>
      <c r="D408" s="4"/>
      <c r="E408" s="4"/>
      <c r="F408" s="4"/>
      <c r="G408" s="4"/>
      <c r="H408" s="5"/>
      <c r="I408" s="5"/>
      <c r="J408" s="6"/>
      <c r="K408" s="5"/>
      <c r="L408" s="3"/>
      <c r="M408" s="6"/>
      <c r="N408" s="5"/>
      <c r="O408" s="5"/>
    </row>
    <row r="409" spans="1:15" ht="15.6">
      <c r="A409" s="36"/>
      <c r="B409" s="4"/>
      <c r="C409" s="5"/>
      <c r="D409" s="4"/>
      <c r="E409" s="4"/>
      <c r="F409" s="4"/>
      <c r="G409" s="4"/>
      <c r="H409" s="5"/>
      <c r="I409" s="5"/>
      <c r="J409" s="6"/>
      <c r="K409" s="5"/>
      <c r="L409" s="3"/>
      <c r="M409" s="6"/>
      <c r="N409" s="5"/>
      <c r="O409" s="5"/>
    </row>
    <row r="410" spans="1:15" ht="15.6">
      <c r="A410" s="36"/>
      <c r="B410" s="4"/>
      <c r="C410" s="5"/>
      <c r="D410" s="4"/>
      <c r="E410" s="4"/>
      <c r="F410" s="4"/>
      <c r="G410" s="4"/>
      <c r="H410" s="5"/>
      <c r="I410" s="5"/>
      <c r="J410" s="6"/>
      <c r="K410" s="5"/>
      <c r="L410" s="3"/>
      <c r="M410" s="6"/>
      <c r="N410" s="5"/>
      <c r="O410" s="5"/>
    </row>
    <row r="411" spans="1:15" ht="15.6">
      <c r="A411" s="36"/>
      <c r="B411" s="4"/>
      <c r="C411" s="5"/>
      <c r="D411" s="4"/>
      <c r="E411" s="4"/>
      <c r="F411" s="4"/>
      <c r="G411" s="4"/>
      <c r="H411" s="5"/>
      <c r="I411" s="5"/>
      <c r="J411" s="6"/>
      <c r="K411" s="5"/>
      <c r="L411" s="3"/>
      <c r="M411" s="6"/>
      <c r="N411" s="5"/>
      <c r="O411" s="5"/>
    </row>
    <row r="412" spans="1:15" ht="15.6">
      <c r="A412" s="36"/>
      <c r="B412" s="4"/>
      <c r="C412" s="5"/>
      <c r="D412" s="4"/>
      <c r="E412" s="4"/>
      <c r="F412" s="4"/>
      <c r="G412" s="4"/>
      <c r="H412" s="5"/>
      <c r="I412" s="5"/>
      <c r="J412" s="6"/>
      <c r="K412" s="5"/>
      <c r="L412" s="3"/>
      <c r="M412" s="6"/>
      <c r="N412" s="5"/>
      <c r="O412" s="5"/>
    </row>
    <row r="413" spans="1:15" ht="15.6">
      <c r="A413" s="36"/>
      <c r="B413" s="4"/>
      <c r="C413" s="5"/>
      <c r="D413" s="4"/>
      <c r="E413" s="4"/>
      <c r="F413" s="4"/>
      <c r="G413" s="4"/>
      <c r="H413" s="5"/>
      <c r="I413" s="5"/>
      <c r="J413" s="6"/>
      <c r="K413" s="5"/>
      <c r="L413" s="3"/>
      <c r="M413" s="6"/>
      <c r="N413" s="5"/>
      <c r="O413" s="5"/>
    </row>
    <row r="414" spans="1:15" ht="15.6">
      <c r="A414" s="36"/>
      <c r="B414" s="4"/>
      <c r="C414" s="5"/>
      <c r="D414" s="4"/>
      <c r="E414" s="4"/>
      <c r="F414" s="4"/>
      <c r="G414" s="4"/>
      <c r="H414" s="5"/>
      <c r="I414" s="5"/>
      <c r="J414" s="6"/>
      <c r="K414" s="5"/>
      <c r="L414" s="3"/>
      <c r="M414" s="6"/>
      <c r="N414" s="5"/>
      <c r="O414" s="5"/>
    </row>
    <row r="415" spans="1:15" ht="15.6">
      <c r="A415" s="36"/>
      <c r="B415" s="4"/>
      <c r="C415" s="5"/>
      <c r="D415" s="4"/>
      <c r="E415" s="4"/>
      <c r="F415" s="4"/>
      <c r="G415" s="4"/>
      <c r="H415" s="5"/>
      <c r="I415" s="5"/>
      <c r="J415" s="6"/>
      <c r="K415" s="5"/>
      <c r="L415" s="3"/>
      <c r="M415" s="6"/>
      <c r="N415" s="5"/>
      <c r="O415" s="5"/>
    </row>
    <row r="416" spans="1:15" ht="15.6">
      <c r="A416" s="36"/>
      <c r="B416" s="4"/>
      <c r="C416" s="5"/>
      <c r="D416" s="4"/>
      <c r="E416" s="4"/>
      <c r="F416" s="4"/>
      <c r="G416" s="4"/>
      <c r="H416" s="5"/>
      <c r="I416" s="5"/>
      <c r="J416" s="6"/>
      <c r="K416" s="5"/>
      <c r="L416" s="3"/>
      <c r="M416" s="6"/>
      <c r="N416" s="5"/>
      <c r="O416" s="5"/>
    </row>
    <row r="417" spans="1:15" ht="15.6">
      <c r="A417" s="36"/>
      <c r="B417" s="4"/>
      <c r="C417" s="5"/>
      <c r="D417" s="4"/>
      <c r="E417" s="4"/>
      <c r="F417" s="4"/>
      <c r="G417" s="4"/>
      <c r="H417" s="5"/>
      <c r="I417" s="5"/>
      <c r="J417" s="6"/>
      <c r="K417" s="5"/>
      <c r="L417" s="3"/>
      <c r="M417" s="6"/>
      <c r="N417" s="5"/>
      <c r="O417" s="5"/>
    </row>
    <row r="418" spans="1:15" ht="15.6">
      <c r="A418" s="36"/>
      <c r="B418" s="4"/>
      <c r="C418" s="5"/>
      <c r="D418" s="4"/>
      <c r="E418" s="4"/>
      <c r="F418" s="4"/>
      <c r="G418" s="4"/>
      <c r="H418" s="5"/>
      <c r="I418" s="5"/>
      <c r="J418" s="6"/>
      <c r="K418" s="5"/>
      <c r="L418" s="3"/>
      <c r="M418" s="6"/>
      <c r="N418" s="5"/>
      <c r="O418" s="5"/>
    </row>
    <row r="419" spans="1:15" ht="15.6">
      <c r="A419" s="36"/>
      <c r="B419" s="4"/>
      <c r="C419" s="5"/>
      <c r="D419" s="4"/>
      <c r="E419" s="4"/>
      <c r="F419" s="4"/>
      <c r="G419" s="4"/>
      <c r="H419" s="5"/>
      <c r="I419" s="5"/>
      <c r="J419" s="6"/>
      <c r="K419" s="5"/>
      <c r="L419" s="3"/>
      <c r="M419" s="6"/>
      <c r="N419" s="5"/>
      <c r="O419" s="5"/>
    </row>
    <row r="420" spans="1:15" ht="15.6">
      <c r="A420" s="36"/>
      <c r="B420" s="4"/>
      <c r="C420" s="5"/>
      <c r="D420" s="4"/>
      <c r="E420" s="4"/>
      <c r="F420" s="4"/>
      <c r="G420" s="4"/>
      <c r="H420" s="5"/>
      <c r="I420" s="5"/>
      <c r="J420" s="6"/>
      <c r="K420" s="5"/>
      <c r="L420" s="3"/>
      <c r="M420" s="6"/>
      <c r="N420" s="5"/>
      <c r="O420" s="5"/>
    </row>
    <row r="421" spans="1:15" ht="15.6">
      <c r="A421" s="36"/>
      <c r="B421" s="4"/>
      <c r="C421" s="5"/>
      <c r="D421" s="4"/>
      <c r="E421" s="4"/>
      <c r="F421" s="4"/>
      <c r="G421" s="4"/>
      <c r="H421" s="5"/>
      <c r="I421" s="5"/>
      <c r="J421" s="6"/>
      <c r="K421" s="5"/>
      <c r="L421" s="3"/>
      <c r="M421" s="6"/>
      <c r="N421" s="5"/>
      <c r="O421" s="5"/>
    </row>
    <row r="422" spans="1:15" ht="15.6">
      <c r="A422" s="36"/>
      <c r="B422" s="4"/>
      <c r="C422" s="5"/>
      <c r="D422" s="4"/>
      <c r="E422" s="4"/>
      <c r="F422" s="4"/>
      <c r="G422" s="4"/>
      <c r="H422" s="5"/>
      <c r="I422" s="5"/>
      <c r="J422" s="6"/>
      <c r="K422" s="5"/>
      <c r="L422" s="3"/>
      <c r="M422" s="6"/>
      <c r="N422" s="5"/>
      <c r="O422" s="5"/>
    </row>
    <row r="423" spans="1:15" ht="15.6">
      <c r="A423" s="36"/>
      <c r="B423" s="4"/>
      <c r="C423" s="5"/>
      <c r="D423" s="4"/>
      <c r="E423" s="4"/>
      <c r="F423" s="4"/>
      <c r="G423" s="4"/>
      <c r="H423" s="5"/>
      <c r="I423" s="5"/>
      <c r="J423" s="6"/>
      <c r="K423" s="5"/>
      <c r="L423" s="3"/>
      <c r="M423" s="6"/>
      <c r="N423" s="5"/>
      <c r="O423" s="5"/>
    </row>
    <row r="424" spans="1:15" ht="15.6">
      <c r="A424" s="36"/>
      <c r="B424" s="4"/>
      <c r="C424" s="5"/>
      <c r="D424" s="4"/>
      <c r="E424" s="4"/>
      <c r="F424" s="4"/>
      <c r="G424" s="4"/>
      <c r="H424" s="5"/>
      <c r="I424" s="5"/>
      <c r="J424" s="6"/>
      <c r="K424" s="5"/>
      <c r="L424" s="3"/>
      <c r="M424" s="6"/>
      <c r="N424" s="5"/>
      <c r="O424" s="5"/>
    </row>
    <row r="425" spans="1:15" ht="15.6">
      <c r="A425" s="36"/>
      <c r="B425" s="4"/>
      <c r="C425" s="5"/>
      <c r="D425" s="4"/>
      <c r="E425" s="4"/>
      <c r="F425" s="4"/>
      <c r="G425" s="4"/>
      <c r="H425" s="5"/>
      <c r="I425" s="5"/>
      <c r="J425" s="6"/>
      <c r="K425" s="5"/>
      <c r="L425" s="3"/>
      <c r="M425" s="6"/>
      <c r="N425" s="5"/>
      <c r="O425" s="5"/>
    </row>
    <row r="426" spans="1:15" ht="15.6">
      <c r="A426" s="36"/>
      <c r="B426" s="4"/>
      <c r="C426" s="5"/>
      <c r="D426" s="4"/>
      <c r="E426" s="4"/>
      <c r="F426" s="4"/>
      <c r="G426" s="4"/>
      <c r="H426" s="5"/>
      <c r="I426" s="5"/>
      <c r="J426" s="6"/>
      <c r="K426" s="5"/>
      <c r="L426" s="3"/>
      <c r="M426" s="6"/>
      <c r="N426" s="5"/>
      <c r="O426" s="5"/>
    </row>
    <row r="427" spans="1:15" ht="15.6">
      <c r="A427" s="36"/>
      <c r="B427" s="4"/>
      <c r="C427" s="5"/>
      <c r="D427" s="4"/>
      <c r="E427" s="4"/>
      <c r="F427" s="4"/>
      <c r="G427" s="4"/>
      <c r="H427" s="5"/>
      <c r="I427" s="5"/>
      <c r="J427" s="6"/>
      <c r="K427" s="5"/>
      <c r="L427" s="3"/>
      <c r="M427" s="6"/>
      <c r="N427" s="5"/>
      <c r="O427" s="5"/>
    </row>
    <row r="428" spans="1:15" ht="15.6">
      <c r="A428" s="36"/>
      <c r="B428" s="4"/>
      <c r="C428" s="5"/>
      <c r="D428" s="4"/>
      <c r="E428" s="4"/>
      <c r="F428" s="4"/>
      <c r="G428" s="4"/>
      <c r="H428" s="5"/>
      <c r="I428" s="5"/>
      <c r="J428" s="6"/>
      <c r="K428" s="5"/>
      <c r="L428" s="3"/>
      <c r="M428" s="6"/>
      <c r="N428" s="5"/>
      <c r="O428" s="5"/>
    </row>
    <row r="429" spans="1:15" ht="15.6">
      <c r="A429" s="36"/>
      <c r="B429" s="4"/>
      <c r="C429" s="5"/>
      <c r="D429" s="4"/>
      <c r="E429" s="4"/>
      <c r="F429" s="4"/>
      <c r="G429" s="4"/>
      <c r="H429" s="5"/>
      <c r="I429" s="5"/>
      <c r="J429" s="6"/>
      <c r="K429" s="5"/>
      <c r="L429" s="3"/>
      <c r="M429" s="6"/>
      <c r="N429" s="5"/>
      <c r="O429" s="5"/>
    </row>
    <row r="430" spans="1:15" ht="15.6">
      <c r="A430" s="36"/>
      <c r="B430" s="4"/>
      <c r="C430" s="5"/>
      <c r="D430" s="4"/>
      <c r="E430" s="4"/>
      <c r="F430" s="4"/>
      <c r="G430" s="4"/>
      <c r="H430" s="5"/>
      <c r="I430" s="5"/>
      <c r="J430" s="6"/>
      <c r="K430" s="5"/>
      <c r="L430" s="3"/>
      <c r="M430" s="6"/>
      <c r="N430" s="5"/>
      <c r="O430" s="5"/>
    </row>
    <row r="431" spans="1:15" ht="15.6">
      <c r="A431" s="36"/>
      <c r="B431" s="4"/>
      <c r="C431" s="5"/>
      <c r="D431" s="4"/>
      <c r="E431" s="4"/>
      <c r="F431" s="4"/>
      <c r="G431" s="4"/>
      <c r="H431" s="5"/>
      <c r="I431" s="5"/>
      <c r="J431" s="6"/>
      <c r="K431" s="5"/>
      <c r="L431" s="3"/>
      <c r="M431" s="6"/>
      <c r="N431" s="5"/>
      <c r="O431" s="5"/>
    </row>
    <row r="432" spans="1:15" ht="15.6">
      <c r="A432" s="36"/>
      <c r="B432" s="4"/>
      <c r="C432" s="5"/>
      <c r="D432" s="4"/>
      <c r="E432" s="4"/>
      <c r="F432" s="4"/>
      <c r="G432" s="4"/>
      <c r="H432" s="5"/>
      <c r="I432" s="5"/>
      <c r="J432" s="6"/>
      <c r="K432" s="5"/>
      <c r="L432" s="3"/>
      <c r="M432" s="6"/>
      <c r="N432" s="5"/>
      <c r="O432" s="5"/>
    </row>
    <row r="433" spans="1:15" ht="15.6">
      <c r="A433" s="36"/>
      <c r="B433" s="4"/>
      <c r="C433" s="5"/>
      <c r="D433" s="4"/>
      <c r="E433" s="4"/>
      <c r="F433" s="4"/>
      <c r="G433" s="4"/>
      <c r="H433" s="5"/>
      <c r="I433" s="5"/>
      <c r="J433" s="6"/>
      <c r="K433" s="5"/>
      <c r="L433" s="3"/>
      <c r="M433" s="6"/>
      <c r="N433" s="5"/>
      <c r="O433" s="5"/>
    </row>
    <row r="434" spans="1:15" ht="15.6">
      <c r="A434" s="36"/>
      <c r="B434" s="4"/>
      <c r="C434" s="5"/>
      <c r="D434" s="4"/>
      <c r="E434" s="4"/>
      <c r="F434" s="4"/>
      <c r="G434" s="4"/>
      <c r="H434" s="5"/>
      <c r="I434" s="5"/>
      <c r="J434" s="6"/>
      <c r="K434" s="5"/>
      <c r="L434" s="3"/>
      <c r="M434" s="6"/>
      <c r="N434" s="5"/>
      <c r="O434" s="5"/>
    </row>
    <row r="435" spans="1:15" ht="15.6">
      <c r="A435" s="36"/>
      <c r="B435" s="4"/>
      <c r="C435" s="5"/>
      <c r="D435" s="4"/>
      <c r="E435" s="4"/>
      <c r="F435" s="4"/>
      <c r="G435" s="4"/>
      <c r="H435" s="5"/>
      <c r="I435" s="5"/>
      <c r="J435" s="6"/>
      <c r="K435" s="5"/>
      <c r="L435" s="3"/>
      <c r="M435" s="6"/>
      <c r="N435" s="5"/>
      <c r="O435" s="5"/>
    </row>
    <row r="436" spans="1:15" ht="15.6">
      <c r="A436" s="36"/>
      <c r="B436" s="4"/>
      <c r="C436" s="5"/>
      <c r="D436" s="4"/>
      <c r="E436" s="4"/>
      <c r="F436" s="4"/>
      <c r="G436" s="4"/>
      <c r="H436" s="5"/>
      <c r="I436" s="5"/>
      <c r="J436" s="6"/>
      <c r="K436" s="5"/>
      <c r="L436" s="3"/>
      <c r="M436" s="6"/>
      <c r="N436" s="5"/>
      <c r="O436" s="5"/>
    </row>
    <row r="437" spans="1:15" ht="15.6">
      <c r="A437" s="36"/>
      <c r="B437" s="4"/>
      <c r="C437" s="5"/>
      <c r="D437" s="4"/>
      <c r="E437" s="4"/>
      <c r="F437" s="4"/>
      <c r="G437" s="4"/>
      <c r="H437" s="5"/>
      <c r="I437" s="5"/>
      <c r="J437" s="6"/>
      <c r="K437" s="5"/>
      <c r="L437" s="3"/>
      <c r="M437" s="6"/>
      <c r="N437" s="5"/>
      <c r="O437" s="5"/>
    </row>
    <row r="438" spans="1:15" ht="15.6">
      <c r="A438" s="36"/>
      <c r="B438" s="4"/>
      <c r="C438" s="5"/>
      <c r="D438" s="4"/>
      <c r="E438" s="4"/>
      <c r="F438" s="4"/>
      <c r="G438" s="4"/>
      <c r="H438" s="5"/>
      <c r="I438" s="5"/>
      <c r="J438" s="6"/>
      <c r="K438" s="5"/>
      <c r="L438" s="3"/>
      <c r="M438" s="6"/>
      <c r="N438" s="5"/>
      <c r="O438" s="5"/>
    </row>
    <row r="439" spans="1:15" ht="15.6">
      <c r="A439" s="36"/>
      <c r="B439" s="4"/>
      <c r="C439" s="5"/>
      <c r="D439" s="4"/>
      <c r="E439" s="4"/>
      <c r="F439" s="4"/>
      <c r="G439" s="4"/>
      <c r="H439" s="5"/>
      <c r="I439" s="5"/>
      <c r="J439" s="6"/>
      <c r="K439" s="5"/>
      <c r="L439" s="3"/>
      <c r="M439" s="6"/>
      <c r="N439" s="5"/>
      <c r="O439" s="5"/>
    </row>
    <row r="440" spans="1:15" ht="15.6">
      <c r="A440" s="36"/>
      <c r="B440" s="4"/>
      <c r="C440" s="5"/>
      <c r="D440" s="4"/>
      <c r="E440" s="4"/>
      <c r="F440" s="4"/>
      <c r="G440" s="4"/>
      <c r="H440" s="5"/>
      <c r="I440" s="5"/>
      <c r="J440" s="6"/>
      <c r="K440" s="5"/>
      <c r="L440" s="3"/>
      <c r="M440" s="6"/>
      <c r="N440" s="5"/>
      <c r="O440" s="5"/>
    </row>
    <row r="441" spans="1:15" ht="15.6">
      <c r="A441" s="36"/>
      <c r="B441" s="4"/>
      <c r="C441" s="5"/>
      <c r="D441" s="4"/>
      <c r="E441" s="4"/>
      <c r="F441" s="4"/>
      <c r="G441" s="4"/>
      <c r="H441" s="5"/>
      <c r="I441" s="5"/>
      <c r="J441" s="6"/>
      <c r="K441" s="5"/>
      <c r="L441" s="3"/>
      <c r="M441" s="6"/>
      <c r="N441" s="5"/>
      <c r="O441" s="5"/>
    </row>
    <row r="442" spans="1:15" ht="15.6">
      <c r="A442" s="36"/>
      <c r="B442" s="4"/>
      <c r="C442" s="5"/>
      <c r="D442" s="4"/>
      <c r="E442" s="4"/>
      <c r="F442" s="4"/>
      <c r="G442" s="4"/>
      <c r="H442" s="5"/>
      <c r="I442" s="5"/>
      <c r="J442" s="6"/>
      <c r="K442" s="5"/>
      <c r="L442" s="3"/>
      <c r="M442" s="6"/>
      <c r="N442" s="5"/>
      <c r="O442" s="5"/>
    </row>
    <row r="443" spans="1:15" ht="15.6">
      <c r="A443" s="36"/>
      <c r="B443" s="4"/>
      <c r="C443" s="5"/>
      <c r="D443" s="4"/>
      <c r="E443" s="4"/>
      <c r="F443" s="4"/>
      <c r="G443" s="4"/>
      <c r="H443" s="5"/>
      <c r="I443" s="5"/>
      <c r="J443" s="6"/>
      <c r="K443" s="5"/>
      <c r="L443" s="3"/>
      <c r="M443" s="6"/>
      <c r="N443" s="5"/>
      <c r="O443" s="5"/>
    </row>
    <row r="444" spans="1:15" ht="15.6">
      <c r="A444" s="36"/>
      <c r="B444" s="4"/>
      <c r="C444" s="5"/>
      <c r="D444" s="4"/>
      <c r="E444" s="4"/>
      <c r="F444" s="4"/>
      <c r="G444" s="4"/>
      <c r="H444" s="5"/>
      <c r="I444" s="5"/>
      <c r="J444" s="6"/>
      <c r="K444" s="5"/>
      <c r="L444" s="3"/>
      <c r="M444" s="6"/>
      <c r="N444" s="5"/>
      <c r="O444" s="5"/>
    </row>
    <row r="445" spans="1:15" ht="15.6">
      <c r="A445" s="36"/>
      <c r="B445" s="4"/>
      <c r="C445" s="5"/>
      <c r="D445" s="4"/>
      <c r="E445" s="4"/>
      <c r="F445" s="4"/>
      <c r="G445" s="4"/>
      <c r="H445" s="5"/>
      <c r="I445" s="5"/>
      <c r="J445" s="6"/>
      <c r="K445" s="5"/>
      <c r="L445" s="3"/>
      <c r="M445" s="6"/>
      <c r="N445" s="5"/>
      <c r="O445" s="5"/>
    </row>
    <row r="446" spans="1:15" ht="15.6">
      <c r="A446" s="36"/>
      <c r="B446" s="4"/>
      <c r="C446" s="5"/>
      <c r="D446" s="4"/>
      <c r="E446" s="4"/>
      <c r="F446" s="4"/>
      <c r="G446" s="4"/>
      <c r="H446" s="5"/>
      <c r="I446" s="5"/>
      <c r="J446" s="6"/>
      <c r="K446" s="5"/>
      <c r="L446" s="3"/>
      <c r="M446" s="6"/>
      <c r="N446" s="5"/>
      <c r="O446" s="5"/>
    </row>
    <row r="447" spans="1:15" ht="15.6">
      <c r="A447" s="36"/>
      <c r="B447" s="4"/>
      <c r="C447" s="5"/>
      <c r="D447" s="4"/>
      <c r="E447" s="4"/>
      <c r="F447" s="4"/>
      <c r="G447" s="4"/>
      <c r="H447" s="5"/>
      <c r="I447" s="5"/>
      <c r="J447" s="6"/>
      <c r="K447" s="5"/>
      <c r="L447" s="3"/>
      <c r="M447" s="6"/>
      <c r="N447" s="5"/>
      <c r="O447" s="5"/>
    </row>
    <row r="448" spans="1:15" ht="15.6">
      <c r="A448" s="36"/>
      <c r="B448" s="4"/>
      <c r="C448" s="5"/>
      <c r="D448" s="4"/>
      <c r="E448" s="4"/>
      <c r="F448" s="4"/>
      <c r="G448" s="4"/>
      <c r="H448" s="5"/>
      <c r="I448" s="5"/>
      <c r="J448" s="6"/>
      <c r="K448" s="5"/>
      <c r="L448" s="3"/>
      <c r="M448" s="6"/>
      <c r="N448" s="5"/>
      <c r="O448" s="5"/>
    </row>
    <row r="449" spans="1:15" ht="15.6">
      <c r="A449" s="36"/>
      <c r="B449" s="4"/>
      <c r="C449" s="5"/>
      <c r="D449" s="4"/>
      <c r="E449" s="4"/>
      <c r="F449" s="4"/>
      <c r="G449" s="4"/>
      <c r="H449" s="5"/>
      <c r="I449" s="5"/>
      <c r="J449" s="6"/>
      <c r="K449" s="5"/>
      <c r="L449" s="3"/>
      <c r="M449" s="6"/>
      <c r="N449" s="5"/>
      <c r="O449" s="5"/>
    </row>
    <row r="450" spans="1:15" ht="15.6">
      <c r="A450" s="36"/>
      <c r="B450" s="4"/>
      <c r="C450" s="5"/>
      <c r="D450" s="4"/>
      <c r="E450" s="4"/>
      <c r="F450" s="4"/>
      <c r="G450" s="4"/>
      <c r="H450" s="5"/>
      <c r="I450" s="5"/>
      <c r="J450" s="6"/>
      <c r="K450" s="5"/>
      <c r="L450" s="3"/>
      <c r="M450" s="6"/>
      <c r="N450" s="5"/>
      <c r="O450" s="5"/>
    </row>
    <row r="451" spans="1:15" ht="15.6">
      <c r="A451" s="36"/>
      <c r="B451" s="4"/>
      <c r="C451" s="5"/>
      <c r="D451" s="4"/>
      <c r="E451" s="4"/>
      <c r="F451" s="4"/>
      <c r="G451" s="4"/>
      <c r="H451" s="5"/>
      <c r="I451" s="5"/>
      <c r="J451" s="6"/>
      <c r="K451" s="5"/>
      <c r="L451" s="3"/>
      <c r="M451" s="6"/>
      <c r="N451" s="5"/>
      <c r="O451" s="5"/>
    </row>
    <row r="452" spans="1:15" ht="15.6">
      <c r="A452" s="36"/>
      <c r="B452" s="4"/>
      <c r="C452" s="5"/>
      <c r="D452" s="4"/>
      <c r="E452" s="4"/>
      <c r="F452" s="4"/>
      <c r="G452" s="4"/>
      <c r="H452" s="5"/>
      <c r="I452" s="5"/>
      <c r="J452" s="6"/>
      <c r="K452" s="5"/>
      <c r="L452" s="3"/>
      <c r="M452" s="6"/>
      <c r="N452" s="5"/>
      <c r="O452" s="5"/>
    </row>
    <row r="453" spans="1:15" ht="15.6">
      <c r="A453" s="36"/>
      <c r="B453" s="4"/>
      <c r="C453" s="5"/>
      <c r="D453" s="4"/>
      <c r="E453" s="4"/>
      <c r="F453" s="4"/>
      <c r="G453" s="4"/>
      <c r="H453" s="5"/>
      <c r="I453" s="5"/>
      <c r="J453" s="6"/>
      <c r="K453" s="5"/>
      <c r="L453" s="3"/>
      <c r="M453" s="6"/>
      <c r="N453" s="5"/>
      <c r="O453" s="5"/>
    </row>
    <row r="454" spans="1:15" ht="15.6">
      <c r="A454" s="36"/>
      <c r="B454" s="4"/>
      <c r="C454" s="5"/>
      <c r="D454" s="4"/>
      <c r="E454" s="4"/>
      <c r="F454" s="4"/>
      <c r="G454" s="4"/>
      <c r="H454" s="5"/>
      <c r="I454" s="5"/>
      <c r="J454" s="6"/>
      <c r="K454" s="5"/>
      <c r="L454" s="3"/>
      <c r="M454" s="6"/>
      <c r="N454" s="5"/>
      <c r="O454" s="5"/>
    </row>
    <row r="455" spans="1:15" ht="15.6">
      <c r="A455" s="36"/>
      <c r="B455" s="4"/>
      <c r="C455" s="5"/>
      <c r="D455" s="4"/>
      <c r="E455" s="4"/>
      <c r="F455" s="4"/>
      <c r="G455" s="4"/>
      <c r="H455" s="5"/>
      <c r="I455" s="5"/>
      <c r="J455" s="6"/>
      <c r="K455" s="5"/>
      <c r="L455" s="3"/>
      <c r="M455" s="6"/>
      <c r="N455" s="5"/>
      <c r="O455" s="5"/>
    </row>
    <row r="456" spans="1:15" ht="15.6">
      <c r="A456" s="36"/>
      <c r="B456" s="4"/>
      <c r="C456" s="5"/>
      <c r="D456" s="4"/>
      <c r="E456" s="4"/>
      <c r="F456" s="4"/>
      <c r="G456" s="4"/>
      <c r="H456" s="5"/>
      <c r="I456" s="5"/>
      <c r="J456" s="6"/>
      <c r="K456" s="5"/>
      <c r="L456" s="3"/>
      <c r="M456" s="6"/>
      <c r="N456" s="5"/>
      <c r="O456" s="5"/>
    </row>
    <row r="457" spans="1:15" ht="15.6">
      <c r="A457" s="36"/>
      <c r="B457" s="4"/>
      <c r="C457" s="5"/>
      <c r="D457" s="4"/>
      <c r="E457" s="4"/>
      <c r="F457" s="4"/>
      <c r="G457" s="4"/>
      <c r="H457" s="5"/>
      <c r="I457" s="5"/>
      <c r="J457" s="6"/>
      <c r="K457" s="5"/>
      <c r="L457" s="3"/>
      <c r="M457" s="6"/>
      <c r="N457" s="5"/>
      <c r="O457" s="5"/>
    </row>
    <row r="458" spans="1:15" ht="15.6">
      <c r="A458" s="36"/>
      <c r="B458" s="4"/>
      <c r="C458" s="5"/>
      <c r="D458" s="4"/>
      <c r="E458" s="4"/>
      <c r="F458" s="4"/>
      <c r="G458" s="4"/>
      <c r="H458" s="5"/>
      <c r="I458" s="5"/>
      <c r="J458" s="6"/>
      <c r="K458" s="5"/>
      <c r="L458" s="3"/>
      <c r="M458" s="6"/>
      <c r="N458" s="5"/>
      <c r="O458" s="5"/>
    </row>
    <row r="459" spans="1:15" ht="15.6">
      <c r="A459" s="36"/>
      <c r="B459" s="4"/>
      <c r="C459" s="5"/>
      <c r="D459" s="4"/>
      <c r="E459" s="4"/>
      <c r="F459" s="4"/>
      <c r="G459" s="4"/>
      <c r="H459" s="5"/>
      <c r="I459" s="5"/>
      <c r="J459" s="6"/>
      <c r="K459" s="5"/>
      <c r="L459" s="3"/>
      <c r="M459" s="6"/>
      <c r="N459" s="5"/>
      <c r="O459" s="5"/>
    </row>
    <row r="460" spans="1:15" ht="15.6">
      <c r="A460" s="36"/>
      <c r="B460" s="4"/>
      <c r="C460" s="5"/>
      <c r="D460" s="4"/>
      <c r="E460" s="4"/>
      <c r="F460" s="4"/>
      <c r="G460" s="4"/>
      <c r="H460" s="5"/>
      <c r="I460" s="5"/>
      <c r="J460" s="6"/>
      <c r="K460" s="5"/>
      <c r="L460" s="3"/>
      <c r="M460" s="6"/>
      <c r="N460" s="5"/>
      <c r="O460" s="5"/>
    </row>
    <row r="461" spans="1:15" ht="15.6">
      <c r="A461" s="36"/>
      <c r="B461" s="4"/>
      <c r="C461" s="5"/>
      <c r="D461" s="4"/>
      <c r="E461" s="4"/>
      <c r="F461" s="4"/>
      <c r="G461" s="4"/>
      <c r="H461" s="5"/>
      <c r="I461" s="5"/>
      <c r="J461" s="6"/>
      <c r="K461" s="5"/>
      <c r="L461" s="3"/>
      <c r="M461" s="6"/>
      <c r="N461" s="5"/>
      <c r="O461" s="5"/>
    </row>
    <row r="462" spans="1:15" ht="15.6">
      <c r="A462" s="36"/>
      <c r="B462" s="4"/>
      <c r="C462" s="5"/>
      <c r="D462" s="4"/>
      <c r="E462" s="4"/>
      <c r="F462" s="4"/>
      <c r="G462" s="4"/>
      <c r="H462" s="5"/>
      <c r="I462" s="5"/>
      <c r="J462" s="6"/>
      <c r="K462" s="5"/>
      <c r="L462" s="3"/>
      <c r="M462" s="6"/>
      <c r="N462" s="5"/>
      <c r="O462" s="5"/>
    </row>
    <row r="463" spans="1:15" ht="15.6">
      <c r="A463" s="36"/>
      <c r="B463" s="4"/>
      <c r="C463" s="5"/>
      <c r="D463" s="4"/>
      <c r="E463" s="4"/>
      <c r="F463" s="4"/>
      <c r="G463" s="4"/>
      <c r="H463" s="5"/>
      <c r="I463" s="5"/>
      <c r="J463" s="6"/>
      <c r="K463" s="5"/>
      <c r="L463" s="3"/>
      <c r="M463" s="6"/>
      <c r="N463" s="5"/>
      <c r="O463" s="5"/>
    </row>
    <row r="464" spans="1:15" ht="15.6">
      <c r="A464" s="36"/>
      <c r="B464" s="4"/>
      <c r="C464" s="5"/>
      <c r="D464" s="4"/>
      <c r="E464" s="4"/>
      <c r="F464" s="4"/>
      <c r="G464" s="4"/>
      <c r="H464" s="5"/>
      <c r="I464" s="5"/>
      <c r="J464" s="6"/>
      <c r="K464" s="5"/>
      <c r="L464" s="3"/>
      <c r="M464" s="6"/>
      <c r="N464" s="5"/>
      <c r="O464" s="5"/>
    </row>
    <row r="465" spans="1:15" ht="15.6">
      <c r="A465" s="36"/>
      <c r="B465" s="4"/>
      <c r="C465" s="5"/>
      <c r="D465" s="4"/>
      <c r="E465" s="4"/>
      <c r="F465" s="4"/>
      <c r="G465" s="4"/>
      <c r="H465" s="5"/>
      <c r="I465" s="5"/>
      <c r="J465" s="6"/>
      <c r="K465" s="5"/>
      <c r="L465" s="3"/>
      <c r="M465" s="6"/>
      <c r="N465" s="5"/>
      <c r="O465" s="5"/>
    </row>
    <row r="466" spans="1:15" ht="15.6">
      <c r="A466" s="36"/>
      <c r="B466" s="4"/>
      <c r="C466" s="5"/>
      <c r="D466" s="4"/>
      <c r="E466" s="4"/>
      <c r="F466" s="4"/>
      <c r="G466" s="4"/>
      <c r="H466" s="5"/>
      <c r="I466" s="5"/>
      <c r="J466" s="6"/>
      <c r="K466" s="5"/>
      <c r="L466" s="3"/>
      <c r="M466" s="6"/>
      <c r="N466" s="5"/>
      <c r="O466" s="5"/>
    </row>
    <row r="467" spans="1:15" ht="15.6">
      <c r="A467" s="36"/>
      <c r="B467" s="4"/>
      <c r="C467" s="5"/>
      <c r="D467" s="4"/>
      <c r="E467" s="4"/>
      <c r="F467" s="4"/>
      <c r="G467" s="4"/>
      <c r="H467" s="5"/>
      <c r="I467" s="5"/>
      <c r="J467" s="6"/>
      <c r="K467" s="5"/>
      <c r="L467" s="3"/>
      <c r="M467" s="6"/>
      <c r="N467" s="5"/>
      <c r="O467" s="5"/>
    </row>
    <row r="468" spans="1:15" ht="15.6">
      <c r="A468" s="36"/>
      <c r="B468" s="4"/>
      <c r="C468" s="5"/>
      <c r="D468" s="4"/>
      <c r="E468" s="4"/>
      <c r="F468" s="4"/>
      <c r="G468" s="4"/>
      <c r="H468" s="5"/>
      <c r="I468" s="5"/>
      <c r="J468" s="6"/>
      <c r="K468" s="5"/>
      <c r="L468" s="3"/>
      <c r="M468" s="6"/>
      <c r="N468" s="5"/>
      <c r="O468" s="5"/>
    </row>
    <row r="469" spans="1:15" ht="15.6">
      <c r="A469" s="36"/>
      <c r="B469" s="4"/>
      <c r="C469" s="5"/>
      <c r="D469" s="4"/>
      <c r="E469" s="4"/>
      <c r="F469" s="4"/>
      <c r="G469" s="4"/>
      <c r="H469" s="5"/>
      <c r="I469" s="5"/>
      <c r="J469" s="6"/>
      <c r="K469" s="5"/>
      <c r="L469" s="3"/>
      <c r="M469" s="6"/>
      <c r="N469" s="5"/>
      <c r="O469" s="5"/>
    </row>
    <row r="470" spans="1:15" ht="15.6">
      <c r="A470" s="36"/>
      <c r="B470" s="4"/>
      <c r="C470" s="5"/>
      <c r="D470" s="4"/>
      <c r="E470" s="4"/>
      <c r="F470" s="4"/>
      <c r="G470" s="4"/>
      <c r="H470" s="5"/>
      <c r="I470" s="5"/>
      <c r="J470" s="6"/>
      <c r="K470" s="5"/>
      <c r="L470" s="3"/>
      <c r="M470" s="6"/>
      <c r="N470" s="5"/>
      <c r="O470" s="5"/>
    </row>
    <row r="471" spans="1:15" ht="15.6">
      <c r="A471" s="36"/>
      <c r="B471" s="4"/>
      <c r="C471" s="5"/>
      <c r="D471" s="4"/>
      <c r="E471" s="4"/>
      <c r="F471" s="4"/>
      <c r="G471" s="4"/>
      <c r="H471" s="5"/>
      <c r="I471" s="5"/>
      <c r="J471" s="6"/>
      <c r="K471" s="5"/>
      <c r="L471" s="3"/>
      <c r="M471" s="6"/>
      <c r="N471" s="5"/>
      <c r="O471" s="5"/>
    </row>
    <row r="472" spans="1:15" ht="15.6">
      <c r="A472" s="36"/>
      <c r="B472" s="4"/>
      <c r="C472" s="5"/>
      <c r="D472" s="4"/>
      <c r="E472" s="4"/>
      <c r="F472" s="4"/>
      <c r="G472" s="4"/>
      <c r="H472" s="5"/>
      <c r="I472" s="5"/>
      <c r="J472" s="6"/>
      <c r="K472" s="5"/>
      <c r="L472" s="3"/>
      <c r="M472" s="6"/>
      <c r="N472" s="5"/>
      <c r="O472" s="5"/>
    </row>
    <row r="473" spans="1:15" ht="15.6">
      <c r="A473" s="36"/>
      <c r="B473" s="4"/>
      <c r="C473" s="5"/>
      <c r="D473" s="4"/>
      <c r="E473" s="4"/>
      <c r="F473" s="4"/>
      <c r="G473" s="4"/>
      <c r="H473" s="5"/>
      <c r="I473" s="5"/>
      <c r="J473" s="6"/>
      <c r="K473" s="5"/>
      <c r="L473" s="3"/>
      <c r="M473" s="6"/>
      <c r="N473" s="5"/>
      <c r="O473" s="5"/>
    </row>
    <row r="474" spans="1:15" ht="15.6">
      <c r="A474" s="36"/>
      <c r="B474" s="4"/>
      <c r="C474" s="5"/>
      <c r="D474" s="4"/>
      <c r="E474" s="4"/>
      <c r="F474" s="4"/>
      <c r="G474" s="4"/>
      <c r="H474" s="5"/>
      <c r="I474" s="5"/>
      <c r="J474" s="6"/>
      <c r="K474" s="5"/>
      <c r="L474" s="3"/>
      <c r="M474" s="6"/>
      <c r="N474" s="5"/>
      <c r="O474" s="5"/>
    </row>
    <row r="475" spans="1:15" ht="15.6">
      <c r="A475" s="36"/>
      <c r="B475" s="4"/>
      <c r="C475" s="5"/>
      <c r="D475" s="4"/>
      <c r="E475" s="4"/>
      <c r="F475" s="4"/>
      <c r="G475" s="4"/>
      <c r="H475" s="5"/>
      <c r="I475" s="5"/>
      <c r="J475" s="6"/>
      <c r="K475" s="5"/>
      <c r="L475" s="3"/>
      <c r="M475" s="6"/>
      <c r="N475" s="5"/>
      <c r="O475" s="5"/>
    </row>
    <row r="476" spans="1:15" ht="15.6">
      <c r="A476" s="36"/>
      <c r="B476" s="4"/>
      <c r="C476" s="5"/>
      <c r="D476" s="4"/>
      <c r="E476" s="4"/>
      <c r="F476" s="4"/>
      <c r="G476" s="4"/>
      <c r="H476" s="5"/>
      <c r="I476" s="5"/>
      <c r="J476" s="6"/>
      <c r="K476" s="5"/>
      <c r="L476" s="3"/>
      <c r="M476" s="6"/>
      <c r="N476" s="5"/>
      <c r="O476" s="5"/>
    </row>
    <row r="477" spans="1:15" ht="15.6">
      <c r="A477" s="36"/>
      <c r="B477" s="4"/>
      <c r="C477" s="5"/>
      <c r="D477" s="4"/>
      <c r="E477" s="4"/>
      <c r="F477" s="4"/>
      <c r="G477" s="4"/>
      <c r="H477" s="5"/>
      <c r="I477" s="5"/>
      <c r="J477" s="6"/>
      <c r="K477" s="5"/>
      <c r="L477" s="3"/>
      <c r="M477" s="6"/>
      <c r="N477" s="5"/>
      <c r="O477" s="5"/>
    </row>
    <row r="478" spans="1:15" ht="15.6">
      <c r="A478" s="36"/>
      <c r="B478" s="4"/>
      <c r="C478" s="5"/>
      <c r="D478" s="4"/>
      <c r="E478" s="4"/>
      <c r="F478" s="4"/>
      <c r="G478" s="4"/>
      <c r="H478" s="5"/>
      <c r="I478" s="5"/>
      <c r="J478" s="6"/>
      <c r="K478" s="5"/>
      <c r="L478" s="3"/>
      <c r="M478" s="6"/>
      <c r="N478" s="5"/>
      <c r="O478" s="5"/>
    </row>
    <row r="479" spans="1:15" ht="15.6">
      <c r="A479" s="36"/>
      <c r="B479" s="4"/>
      <c r="C479" s="5"/>
      <c r="D479" s="4"/>
      <c r="E479" s="4"/>
      <c r="F479" s="4"/>
      <c r="G479" s="4"/>
      <c r="H479" s="5"/>
      <c r="I479" s="5"/>
      <c r="J479" s="6"/>
      <c r="K479" s="5"/>
      <c r="L479" s="3"/>
      <c r="M479" s="6"/>
      <c r="N479" s="5"/>
      <c r="O479" s="5"/>
    </row>
    <row r="480" spans="1:15" ht="15.6">
      <c r="A480" s="36"/>
      <c r="B480" s="4"/>
      <c r="C480" s="5"/>
      <c r="D480" s="4"/>
      <c r="E480" s="4"/>
      <c r="F480" s="4"/>
      <c r="G480" s="4"/>
      <c r="H480" s="5"/>
      <c r="I480" s="5"/>
      <c r="J480" s="6"/>
      <c r="K480" s="5"/>
      <c r="L480" s="3"/>
      <c r="M480" s="6"/>
      <c r="N480" s="5"/>
      <c r="O480" s="5"/>
    </row>
    <row r="481" spans="1:15" ht="15.6">
      <c r="A481" s="36"/>
      <c r="B481" s="4"/>
      <c r="C481" s="5"/>
      <c r="D481" s="4"/>
      <c r="E481" s="4"/>
      <c r="F481" s="4"/>
      <c r="G481" s="4"/>
      <c r="H481" s="5"/>
      <c r="I481" s="5"/>
      <c r="J481" s="6"/>
      <c r="K481" s="5"/>
      <c r="L481" s="3"/>
      <c r="M481" s="6"/>
      <c r="N481" s="5"/>
      <c r="O481" s="5"/>
    </row>
    <row r="482" spans="1:15" ht="15.6">
      <c r="A482" s="36"/>
      <c r="B482" s="4"/>
      <c r="C482" s="5"/>
      <c r="D482" s="4"/>
      <c r="E482" s="4"/>
      <c r="F482" s="4"/>
      <c r="G482" s="4"/>
      <c r="H482" s="5"/>
      <c r="I482" s="5"/>
      <c r="J482" s="6"/>
      <c r="K482" s="5"/>
      <c r="L482" s="3"/>
      <c r="M482" s="6"/>
      <c r="N482" s="5"/>
      <c r="O482" s="5"/>
    </row>
    <row r="483" spans="1:15" ht="15.6">
      <c r="A483" s="36"/>
      <c r="B483" s="4"/>
      <c r="C483" s="5"/>
      <c r="D483" s="4"/>
      <c r="E483" s="4"/>
      <c r="F483" s="4"/>
      <c r="G483" s="4"/>
      <c r="H483" s="5"/>
      <c r="I483" s="5"/>
      <c r="J483" s="6"/>
      <c r="K483" s="5"/>
      <c r="L483" s="3"/>
      <c r="M483" s="6"/>
      <c r="N483" s="5"/>
      <c r="O483" s="5"/>
    </row>
    <row r="484" spans="1:15" ht="15.6">
      <c r="A484" s="36"/>
      <c r="B484" s="4"/>
      <c r="C484" s="5"/>
      <c r="D484" s="4"/>
      <c r="E484" s="4"/>
      <c r="F484" s="4"/>
      <c r="G484" s="4"/>
      <c r="H484" s="5"/>
      <c r="I484" s="5"/>
      <c r="J484" s="6"/>
      <c r="K484" s="5"/>
      <c r="L484" s="3"/>
      <c r="M484" s="6"/>
      <c r="N484" s="5"/>
      <c r="O484" s="5"/>
    </row>
    <row r="485" spans="1:15" ht="15.6">
      <c r="A485" s="36"/>
      <c r="B485" s="4"/>
      <c r="C485" s="5"/>
      <c r="D485" s="4"/>
      <c r="E485" s="4"/>
      <c r="F485" s="4"/>
      <c r="G485" s="4"/>
      <c r="H485" s="5"/>
      <c r="I485" s="5"/>
      <c r="J485" s="6"/>
      <c r="K485" s="5"/>
      <c r="L485" s="3"/>
      <c r="M485" s="6"/>
      <c r="N485" s="5"/>
      <c r="O485" s="5"/>
    </row>
    <row r="486" spans="1:15" ht="15.6">
      <c r="A486" s="36"/>
      <c r="B486" s="4"/>
      <c r="C486" s="5"/>
      <c r="D486" s="4"/>
      <c r="E486" s="4"/>
      <c r="F486" s="4"/>
      <c r="G486" s="4"/>
      <c r="H486" s="5"/>
      <c r="I486" s="5"/>
      <c r="J486" s="6"/>
      <c r="K486" s="5"/>
      <c r="L486" s="3"/>
      <c r="M486" s="6"/>
      <c r="N486" s="5"/>
      <c r="O486" s="5"/>
    </row>
    <row r="487" spans="1:15" ht="15.6">
      <c r="A487" s="36"/>
      <c r="B487" s="4"/>
      <c r="C487" s="5"/>
      <c r="D487" s="4"/>
      <c r="E487" s="4"/>
      <c r="F487" s="4"/>
      <c r="G487" s="4"/>
      <c r="H487" s="5"/>
      <c r="I487" s="5"/>
      <c r="J487" s="6"/>
      <c r="K487" s="5"/>
      <c r="L487" s="3"/>
      <c r="M487" s="6"/>
      <c r="N487" s="5"/>
      <c r="O487" s="5"/>
    </row>
    <row r="488" spans="1:15" ht="15.6">
      <c r="A488" s="36"/>
      <c r="B488" s="4"/>
      <c r="C488" s="5"/>
      <c r="D488" s="4"/>
      <c r="E488" s="4"/>
      <c r="F488" s="4"/>
      <c r="G488" s="4"/>
      <c r="H488" s="5"/>
      <c r="I488" s="5"/>
      <c r="J488" s="6"/>
      <c r="K488" s="5"/>
      <c r="L488" s="3"/>
      <c r="M488" s="6"/>
      <c r="N488" s="5"/>
      <c r="O488" s="5"/>
    </row>
    <row r="489" spans="1:15" ht="15.6">
      <c r="A489" s="36"/>
      <c r="B489" s="4"/>
      <c r="C489" s="5"/>
      <c r="D489" s="4"/>
      <c r="E489" s="4"/>
      <c r="F489" s="4"/>
      <c r="G489" s="4"/>
      <c r="H489" s="5"/>
      <c r="I489" s="5"/>
      <c r="J489" s="6"/>
      <c r="K489" s="5"/>
      <c r="L489" s="3"/>
      <c r="M489" s="6"/>
      <c r="N489" s="5"/>
      <c r="O489" s="5"/>
    </row>
    <row r="490" spans="1:15" ht="15.6">
      <c r="A490" s="36"/>
      <c r="B490" s="4"/>
      <c r="C490" s="5"/>
      <c r="D490" s="4"/>
      <c r="E490" s="4"/>
      <c r="F490" s="4"/>
      <c r="G490" s="4"/>
      <c r="H490" s="5"/>
      <c r="I490" s="5"/>
      <c r="J490" s="6"/>
      <c r="K490" s="5"/>
      <c r="L490" s="3"/>
      <c r="M490" s="6"/>
      <c r="N490" s="5"/>
      <c r="O490" s="5"/>
    </row>
    <row r="491" spans="1:15" ht="15.6">
      <c r="A491" s="36"/>
      <c r="B491" s="4"/>
      <c r="C491" s="5"/>
      <c r="D491" s="4"/>
      <c r="E491" s="4"/>
      <c r="F491" s="4"/>
      <c r="G491" s="4"/>
      <c r="H491" s="5"/>
      <c r="I491" s="5"/>
      <c r="J491" s="6"/>
      <c r="K491" s="5"/>
      <c r="L491" s="3"/>
      <c r="M491" s="6"/>
      <c r="N491" s="5"/>
      <c r="O491" s="5"/>
    </row>
    <row r="492" spans="1:15" ht="15.6">
      <c r="A492" s="36"/>
      <c r="B492" s="4"/>
      <c r="C492" s="5"/>
      <c r="D492" s="4"/>
      <c r="E492" s="4"/>
      <c r="F492" s="4"/>
      <c r="G492" s="4"/>
      <c r="H492" s="5"/>
      <c r="I492" s="5"/>
      <c r="J492" s="6"/>
      <c r="K492" s="5"/>
      <c r="L492" s="3"/>
      <c r="M492" s="6"/>
      <c r="N492" s="5"/>
      <c r="O492" s="5"/>
    </row>
    <row r="493" spans="1:15" ht="15.6">
      <c r="A493" s="36"/>
      <c r="B493" s="4"/>
      <c r="C493" s="5"/>
      <c r="D493" s="4"/>
      <c r="E493" s="4"/>
      <c r="F493" s="4"/>
      <c r="G493" s="4"/>
      <c r="H493" s="5"/>
      <c r="I493" s="5"/>
      <c r="J493" s="6"/>
      <c r="K493" s="5"/>
      <c r="L493" s="3"/>
      <c r="M493" s="6"/>
      <c r="N493" s="5"/>
      <c r="O493" s="5"/>
    </row>
    <row r="494" spans="1:15" ht="15.6">
      <c r="A494" s="36"/>
      <c r="B494" s="4"/>
      <c r="C494" s="5"/>
      <c r="D494" s="4"/>
      <c r="E494" s="4"/>
      <c r="F494" s="4"/>
      <c r="G494" s="4"/>
      <c r="H494" s="5"/>
      <c r="I494" s="5"/>
      <c r="J494" s="6"/>
      <c r="K494" s="5"/>
      <c r="L494" s="3"/>
      <c r="M494" s="6"/>
      <c r="N494" s="5"/>
      <c r="O494" s="5"/>
    </row>
    <row r="495" spans="1:15" ht="15.6">
      <c r="A495" s="36"/>
      <c r="B495" s="4"/>
      <c r="C495" s="5"/>
      <c r="D495" s="4"/>
      <c r="E495" s="4"/>
      <c r="F495" s="4"/>
      <c r="G495" s="4"/>
      <c r="H495" s="5"/>
      <c r="I495" s="5"/>
      <c r="J495" s="6"/>
      <c r="K495" s="5"/>
      <c r="L495" s="3"/>
      <c r="M495" s="6"/>
      <c r="N495" s="5"/>
      <c r="O495" s="5"/>
    </row>
    <row r="496" spans="1:15" ht="15.6">
      <c r="A496" s="36"/>
      <c r="B496" s="4"/>
      <c r="C496" s="5"/>
      <c r="D496" s="4"/>
      <c r="E496" s="4"/>
      <c r="F496" s="4"/>
      <c r="G496" s="4"/>
      <c r="H496" s="5"/>
      <c r="I496" s="5"/>
      <c r="J496" s="6"/>
      <c r="K496" s="5"/>
      <c r="L496" s="3"/>
      <c r="M496" s="6"/>
      <c r="N496" s="5"/>
      <c r="O496" s="5"/>
    </row>
    <row r="497" spans="1:15" ht="15.6">
      <c r="A497" s="36"/>
      <c r="B497" s="4"/>
      <c r="C497" s="5"/>
      <c r="D497" s="4"/>
      <c r="E497" s="4"/>
      <c r="F497" s="4"/>
      <c r="G497" s="4"/>
      <c r="H497" s="5"/>
      <c r="I497" s="5"/>
      <c r="J497" s="6"/>
      <c r="K497" s="5"/>
      <c r="L497" s="3"/>
      <c r="M497" s="6"/>
      <c r="N497" s="5"/>
      <c r="O497" s="5"/>
    </row>
    <row r="498" spans="1:15" ht="15.6">
      <c r="A498" s="36"/>
      <c r="B498" s="4"/>
      <c r="C498" s="5"/>
      <c r="D498" s="4"/>
      <c r="E498" s="4"/>
      <c r="F498" s="4"/>
      <c r="G498" s="4"/>
      <c r="H498" s="5"/>
      <c r="I498" s="5"/>
      <c r="J498" s="6"/>
      <c r="K498" s="5"/>
      <c r="L498" s="3"/>
      <c r="M498" s="6"/>
      <c r="N498" s="5"/>
      <c r="O498" s="5"/>
    </row>
    <row r="499" spans="1:15" ht="15.6">
      <c r="A499" s="36"/>
      <c r="B499" s="4"/>
      <c r="C499" s="5"/>
      <c r="D499" s="4"/>
      <c r="E499" s="4"/>
      <c r="F499" s="4"/>
      <c r="G499" s="4"/>
      <c r="H499" s="5"/>
      <c r="I499" s="5"/>
      <c r="J499" s="6"/>
      <c r="K499" s="5"/>
      <c r="L499" s="3"/>
      <c r="M499" s="6"/>
      <c r="N499" s="5"/>
      <c r="O499" s="5"/>
    </row>
    <row r="500" spans="1:15" ht="15.6">
      <c r="A500" s="36"/>
      <c r="B500" s="4"/>
      <c r="C500" s="5"/>
      <c r="D500" s="4"/>
      <c r="E500" s="4"/>
      <c r="F500" s="4"/>
      <c r="G500" s="4"/>
      <c r="H500" s="5"/>
      <c r="I500" s="5"/>
      <c r="J500" s="6"/>
      <c r="K500" s="5"/>
      <c r="L500" s="3"/>
      <c r="M500" s="6"/>
      <c r="N500" s="5"/>
      <c r="O500" s="5"/>
    </row>
    <row r="501" spans="1:15" ht="15.6">
      <c r="A501" s="36"/>
      <c r="B501" s="4"/>
      <c r="C501" s="5"/>
      <c r="D501" s="4"/>
      <c r="E501" s="4"/>
      <c r="F501" s="4"/>
      <c r="G501" s="4"/>
      <c r="H501" s="5"/>
      <c r="I501" s="5"/>
      <c r="J501" s="6"/>
      <c r="K501" s="5"/>
      <c r="L501" s="3"/>
      <c r="M501" s="6"/>
      <c r="N501" s="5"/>
      <c r="O501" s="5"/>
    </row>
    <row r="502" spans="1:15" ht="15.6">
      <c r="A502" s="36"/>
      <c r="B502" s="4"/>
      <c r="C502" s="5"/>
      <c r="D502" s="4"/>
      <c r="E502" s="4"/>
      <c r="F502" s="4"/>
      <c r="G502" s="4"/>
      <c r="H502" s="5"/>
      <c r="I502" s="5"/>
      <c r="J502" s="6"/>
      <c r="K502" s="5"/>
      <c r="L502" s="3"/>
      <c r="M502" s="6"/>
      <c r="N502" s="5"/>
      <c r="O502" s="5"/>
    </row>
    <row r="503" spans="1:15" ht="15.6">
      <c r="A503" s="36"/>
      <c r="B503" s="4"/>
      <c r="C503" s="5"/>
      <c r="D503" s="4"/>
      <c r="E503" s="4"/>
      <c r="F503" s="4"/>
      <c r="G503" s="4"/>
      <c r="H503" s="5"/>
      <c r="I503" s="5"/>
      <c r="J503" s="6"/>
      <c r="K503" s="5"/>
      <c r="L503" s="3"/>
      <c r="M503" s="6"/>
      <c r="N503" s="5"/>
      <c r="O503" s="5"/>
    </row>
    <row r="504" spans="1:15" ht="15.6">
      <c r="A504" s="36"/>
      <c r="B504" s="4"/>
      <c r="C504" s="5"/>
      <c r="D504" s="4"/>
      <c r="E504" s="4"/>
      <c r="F504" s="4"/>
      <c r="G504" s="4"/>
      <c r="H504" s="5"/>
      <c r="I504" s="5"/>
      <c r="J504" s="6"/>
      <c r="K504" s="5"/>
      <c r="L504" s="3"/>
      <c r="M504" s="6"/>
      <c r="N504" s="5"/>
      <c r="O504" s="5"/>
    </row>
    <row r="505" spans="1:15" ht="15.6">
      <c r="A505" s="36"/>
      <c r="B505" s="4"/>
      <c r="C505" s="5"/>
      <c r="D505" s="4"/>
      <c r="E505" s="4"/>
      <c r="F505" s="4"/>
      <c r="G505" s="4"/>
      <c r="H505" s="5"/>
      <c r="I505" s="5"/>
      <c r="J505" s="6"/>
      <c r="K505" s="5"/>
      <c r="L505" s="3"/>
      <c r="M505" s="6"/>
      <c r="N505" s="5"/>
      <c r="O505" s="5"/>
    </row>
    <row r="506" spans="1:15" ht="15.6">
      <c r="A506" s="36"/>
      <c r="B506" s="4"/>
      <c r="C506" s="5"/>
      <c r="D506" s="4"/>
      <c r="E506" s="4"/>
      <c r="F506" s="4"/>
      <c r="G506" s="4"/>
      <c r="H506" s="5"/>
      <c r="I506" s="5"/>
      <c r="J506" s="6"/>
      <c r="K506" s="5"/>
      <c r="L506" s="3"/>
      <c r="M506" s="6"/>
      <c r="N506" s="5"/>
      <c r="O506" s="5"/>
    </row>
    <row r="507" spans="1:15" ht="15.6">
      <c r="A507" s="36"/>
      <c r="B507" s="4"/>
      <c r="C507" s="5"/>
      <c r="D507" s="4"/>
      <c r="E507" s="4"/>
      <c r="F507" s="4"/>
      <c r="G507" s="4"/>
      <c r="H507" s="5"/>
      <c r="I507" s="5"/>
      <c r="J507" s="6"/>
      <c r="K507" s="5"/>
      <c r="L507" s="3"/>
      <c r="M507" s="6"/>
      <c r="N507" s="5"/>
      <c r="O507" s="5"/>
    </row>
    <row r="508" spans="1:15" ht="15.6">
      <c r="A508" s="36"/>
      <c r="B508" s="4"/>
      <c r="C508" s="5"/>
      <c r="D508" s="4"/>
      <c r="E508" s="4"/>
      <c r="F508" s="4"/>
      <c r="G508" s="4"/>
      <c r="H508" s="5"/>
      <c r="I508" s="5"/>
      <c r="J508" s="6"/>
      <c r="K508" s="5"/>
      <c r="L508" s="3"/>
      <c r="M508" s="6"/>
      <c r="N508" s="5"/>
      <c r="O508" s="5"/>
    </row>
    <row r="509" spans="1:15" ht="15.6">
      <c r="A509" s="36"/>
      <c r="B509" s="4"/>
      <c r="C509" s="5"/>
      <c r="D509" s="4"/>
      <c r="E509" s="4"/>
      <c r="F509" s="4"/>
      <c r="G509" s="4"/>
      <c r="H509" s="5"/>
      <c r="I509" s="5"/>
      <c r="J509" s="6"/>
      <c r="K509" s="5"/>
      <c r="L509" s="3"/>
      <c r="M509" s="6"/>
      <c r="N509" s="5"/>
      <c r="O509" s="5"/>
    </row>
    <row r="510" spans="1:15" ht="15.6">
      <c r="A510" s="36"/>
      <c r="B510" s="4"/>
      <c r="C510" s="5"/>
      <c r="D510" s="4"/>
      <c r="E510" s="4"/>
      <c r="F510" s="4"/>
      <c r="G510" s="4"/>
      <c r="H510" s="5"/>
      <c r="I510" s="5"/>
      <c r="J510" s="6"/>
      <c r="K510" s="5"/>
      <c r="L510" s="3"/>
      <c r="M510" s="6"/>
      <c r="N510" s="5"/>
      <c r="O510" s="5"/>
    </row>
    <row r="511" spans="1:15" ht="15.6">
      <c r="A511" s="36"/>
      <c r="B511" s="4"/>
      <c r="C511" s="5"/>
      <c r="D511" s="4"/>
      <c r="E511" s="4"/>
      <c r="F511" s="4"/>
      <c r="G511" s="4"/>
      <c r="H511" s="5"/>
      <c r="I511" s="5"/>
      <c r="J511" s="6"/>
      <c r="K511" s="5"/>
      <c r="L511" s="3"/>
      <c r="M511" s="6"/>
      <c r="N511" s="5"/>
      <c r="O511" s="5"/>
    </row>
    <row r="512" spans="1:15" ht="15.6">
      <c r="A512" s="36"/>
      <c r="B512" s="4"/>
      <c r="C512" s="5"/>
      <c r="D512" s="4"/>
      <c r="E512" s="4"/>
      <c r="F512" s="4"/>
      <c r="G512" s="4"/>
      <c r="H512" s="5"/>
      <c r="I512" s="5"/>
      <c r="J512" s="6"/>
      <c r="K512" s="5"/>
      <c r="L512" s="3"/>
      <c r="M512" s="6"/>
      <c r="N512" s="5"/>
      <c r="O512" s="5"/>
    </row>
    <row r="513" spans="1:15" ht="15.6">
      <c r="A513" s="36"/>
      <c r="B513" s="4"/>
      <c r="C513" s="5"/>
      <c r="D513" s="4"/>
      <c r="E513" s="4"/>
      <c r="F513" s="4"/>
      <c r="G513" s="4"/>
      <c r="H513" s="5"/>
      <c r="I513" s="5"/>
      <c r="J513" s="6"/>
      <c r="K513" s="5"/>
      <c r="L513" s="3"/>
      <c r="M513" s="6"/>
      <c r="N513" s="5"/>
      <c r="O513" s="5"/>
    </row>
    <row r="514" spans="1:15" ht="15.6">
      <c r="A514" s="36"/>
      <c r="B514" s="4"/>
      <c r="C514" s="5"/>
      <c r="D514" s="4"/>
      <c r="E514" s="4"/>
      <c r="F514" s="4"/>
      <c r="G514" s="4"/>
      <c r="H514" s="5"/>
      <c r="I514" s="5"/>
      <c r="J514" s="6"/>
      <c r="K514" s="5"/>
      <c r="L514" s="3"/>
      <c r="M514" s="6"/>
      <c r="N514" s="5"/>
      <c r="O514" s="5"/>
    </row>
    <row r="515" spans="1:15" ht="15.6">
      <c r="A515" s="36"/>
      <c r="B515" s="4"/>
      <c r="C515" s="5"/>
      <c r="D515" s="4"/>
      <c r="E515" s="4"/>
      <c r="F515" s="4"/>
      <c r="G515" s="4"/>
      <c r="H515" s="5"/>
      <c r="I515" s="5"/>
      <c r="J515" s="6"/>
      <c r="K515" s="5"/>
      <c r="L515" s="3"/>
      <c r="M515" s="6"/>
      <c r="N515" s="5"/>
      <c r="O515" s="5"/>
    </row>
    <row r="516" spans="1:15" ht="15.6">
      <c r="A516" s="36"/>
      <c r="B516" s="4"/>
      <c r="C516" s="5"/>
      <c r="D516" s="4"/>
      <c r="E516" s="4"/>
      <c r="F516" s="4"/>
      <c r="G516" s="4"/>
      <c r="H516" s="5"/>
      <c r="I516" s="5"/>
      <c r="J516" s="6"/>
      <c r="K516" s="5"/>
      <c r="L516" s="3"/>
      <c r="M516" s="6"/>
      <c r="N516" s="5"/>
      <c r="O516" s="5"/>
    </row>
    <row r="517" spans="1:15" ht="15.6">
      <c r="A517" s="36"/>
      <c r="B517" s="4"/>
      <c r="C517" s="5"/>
      <c r="D517" s="4"/>
      <c r="E517" s="4"/>
      <c r="F517" s="4"/>
      <c r="G517" s="4"/>
      <c r="H517" s="5"/>
      <c r="I517" s="5"/>
      <c r="J517" s="6"/>
      <c r="K517" s="5"/>
      <c r="L517" s="3"/>
      <c r="M517" s="6"/>
      <c r="N517" s="5"/>
      <c r="O517" s="5"/>
    </row>
    <row r="518" spans="1:15" ht="15.6">
      <c r="A518" s="36"/>
      <c r="B518" s="4"/>
      <c r="C518" s="5"/>
      <c r="D518" s="4"/>
      <c r="E518" s="4"/>
      <c r="F518" s="4"/>
      <c r="G518" s="4"/>
      <c r="H518" s="5"/>
      <c r="I518" s="5"/>
      <c r="J518" s="6"/>
      <c r="K518" s="5"/>
      <c r="L518" s="3"/>
      <c r="M518" s="6"/>
      <c r="N518" s="5"/>
      <c r="O518" s="5"/>
    </row>
    <row r="519" spans="1:15" ht="15.6">
      <c r="A519" s="36"/>
      <c r="B519" s="4"/>
      <c r="C519" s="5"/>
      <c r="D519" s="4"/>
      <c r="E519" s="4"/>
      <c r="F519" s="4"/>
      <c r="G519" s="4"/>
      <c r="H519" s="5"/>
      <c r="I519" s="5"/>
      <c r="J519" s="6"/>
      <c r="K519" s="5"/>
      <c r="L519" s="3"/>
      <c r="M519" s="6"/>
      <c r="N519" s="5"/>
      <c r="O519" s="5"/>
    </row>
    <row r="520" spans="1:15" ht="15.6">
      <c r="A520" s="36"/>
      <c r="B520" s="4"/>
      <c r="C520" s="5"/>
      <c r="D520" s="4"/>
      <c r="E520" s="4"/>
      <c r="F520" s="4"/>
      <c r="G520" s="4"/>
      <c r="H520" s="5"/>
      <c r="I520" s="5"/>
      <c r="J520" s="6"/>
      <c r="K520" s="5"/>
      <c r="L520" s="3"/>
      <c r="M520" s="6"/>
      <c r="N520" s="5"/>
      <c r="O520" s="5"/>
    </row>
    <row r="521" spans="1:15" ht="15.6">
      <c r="A521" s="36"/>
      <c r="B521" s="4"/>
      <c r="C521" s="5"/>
      <c r="D521" s="4"/>
      <c r="E521" s="4"/>
      <c r="F521" s="4"/>
      <c r="G521" s="4"/>
      <c r="H521" s="5"/>
      <c r="I521" s="5"/>
      <c r="J521" s="6"/>
      <c r="K521" s="5"/>
      <c r="L521" s="3"/>
      <c r="M521" s="6"/>
      <c r="N521" s="5"/>
      <c r="O521" s="5"/>
    </row>
    <row r="522" spans="1:15" ht="15.6">
      <c r="A522" s="36"/>
      <c r="B522" s="4"/>
      <c r="C522" s="5"/>
      <c r="D522" s="4"/>
      <c r="E522" s="4"/>
      <c r="F522" s="4"/>
      <c r="G522" s="4"/>
      <c r="H522" s="5"/>
      <c r="I522" s="5"/>
      <c r="J522" s="6"/>
      <c r="K522" s="5"/>
      <c r="L522" s="3"/>
      <c r="M522" s="6"/>
      <c r="N522" s="5"/>
      <c r="O522" s="5"/>
    </row>
    <row r="523" spans="1:15" ht="15.6">
      <c r="A523" s="36"/>
      <c r="B523" s="4"/>
      <c r="C523" s="5"/>
      <c r="D523" s="4"/>
      <c r="E523" s="4"/>
      <c r="F523" s="4"/>
      <c r="G523" s="4"/>
      <c r="H523" s="5"/>
      <c r="I523" s="5"/>
      <c r="J523" s="6"/>
      <c r="K523" s="5"/>
      <c r="L523" s="3"/>
      <c r="M523" s="6"/>
      <c r="N523" s="5"/>
      <c r="O523" s="5"/>
    </row>
    <row r="524" spans="1:15" ht="15.6">
      <c r="A524" s="36"/>
      <c r="B524" s="4"/>
      <c r="C524" s="5"/>
      <c r="D524" s="4"/>
      <c r="E524" s="4"/>
      <c r="F524" s="4"/>
      <c r="G524" s="4"/>
      <c r="H524" s="5"/>
      <c r="I524" s="5"/>
      <c r="J524" s="6"/>
      <c r="K524" s="5"/>
      <c r="L524" s="3"/>
      <c r="M524" s="6"/>
      <c r="N524" s="5"/>
      <c r="O524" s="5"/>
    </row>
    <row r="525" spans="1:15" ht="15.6">
      <c r="A525" s="36"/>
      <c r="B525" s="4"/>
      <c r="C525" s="5"/>
      <c r="D525" s="4"/>
      <c r="E525" s="4"/>
      <c r="F525" s="4"/>
      <c r="G525" s="4"/>
      <c r="H525" s="5"/>
      <c r="I525" s="5"/>
      <c r="J525" s="6"/>
      <c r="K525" s="5"/>
      <c r="L525" s="3"/>
      <c r="M525" s="6"/>
      <c r="N525" s="5"/>
      <c r="O525" s="5"/>
    </row>
    <row r="526" spans="1:15" ht="15.6">
      <c r="A526" s="36"/>
      <c r="B526" s="4"/>
      <c r="C526" s="5"/>
      <c r="D526" s="4"/>
      <c r="E526" s="4"/>
      <c r="F526" s="4"/>
      <c r="G526" s="4"/>
      <c r="H526" s="5"/>
      <c r="I526" s="5"/>
      <c r="J526" s="6"/>
      <c r="K526" s="5"/>
      <c r="L526" s="3"/>
      <c r="M526" s="6"/>
      <c r="N526" s="5"/>
      <c r="O526" s="5"/>
    </row>
    <row r="527" spans="1:15" ht="15.6">
      <c r="A527" s="36"/>
      <c r="B527" s="4"/>
      <c r="C527" s="5"/>
      <c r="D527" s="4"/>
      <c r="E527" s="4"/>
      <c r="F527" s="4"/>
      <c r="G527" s="4"/>
      <c r="H527" s="5"/>
      <c r="I527" s="5"/>
      <c r="J527" s="6"/>
      <c r="K527" s="5"/>
      <c r="L527" s="3"/>
      <c r="M527" s="6"/>
      <c r="N527" s="5"/>
      <c r="O527" s="5"/>
    </row>
    <row r="528" spans="1:15" ht="15.6">
      <c r="A528" s="36"/>
      <c r="B528" s="4"/>
      <c r="C528" s="5"/>
      <c r="D528" s="4"/>
      <c r="E528" s="4"/>
      <c r="F528" s="4"/>
      <c r="G528" s="4"/>
      <c r="H528" s="5"/>
      <c r="I528" s="5"/>
      <c r="J528" s="6"/>
      <c r="K528" s="5"/>
      <c r="L528" s="3"/>
      <c r="M528" s="6"/>
      <c r="N528" s="5"/>
      <c r="O528" s="5"/>
    </row>
    <row r="529" spans="1:15" ht="15.6">
      <c r="A529" s="36"/>
      <c r="B529" s="4"/>
      <c r="C529" s="5"/>
      <c r="D529" s="4"/>
      <c r="E529" s="4"/>
      <c r="F529" s="4"/>
      <c r="G529" s="4"/>
      <c r="H529" s="5"/>
      <c r="I529" s="5"/>
      <c r="J529" s="6"/>
      <c r="K529" s="5"/>
      <c r="L529" s="3"/>
      <c r="M529" s="6"/>
      <c r="N529" s="5"/>
      <c r="O529" s="5"/>
    </row>
    <row r="530" spans="1:15" ht="15.6">
      <c r="A530" s="36"/>
      <c r="B530" s="4"/>
      <c r="C530" s="5"/>
      <c r="D530" s="4"/>
      <c r="E530" s="4"/>
      <c r="F530" s="4"/>
      <c r="G530" s="4"/>
      <c r="H530" s="5"/>
      <c r="I530" s="5"/>
      <c r="J530" s="6"/>
      <c r="K530" s="5"/>
      <c r="L530" s="3"/>
      <c r="M530" s="6"/>
      <c r="N530" s="5"/>
      <c r="O530" s="5"/>
    </row>
    <row r="531" spans="1:15" ht="15.6">
      <c r="A531" s="36"/>
      <c r="B531" s="4"/>
      <c r="C531" s="5"/>
      <c r="D531" s="4"/>
      <c r="E531" s="4"/>
      <c r="F531" s="4"/>
      <c r="G531" s="4"/>
      <c r="H531" s="5"/>
      <c r="I531" s="5"/>
      <c r="J531" s="6"/>
      <c r="K531" s="5"/>
      <c r="L531" s="3"/>
      <c r="M531" s="6"/>
      <c r="N531" s="5"/>
      <c r="O531" s="5"/>
    </row>
    <row r="532" spans="1:15" ht="15.6">
      <c r="A532" s="36"/>
      <c r="B532" s="4"/>
      <c r="C532" s="5"/>
      <c r="D532" s="4"/>
      <c r="E532" s="4"/>
      <c r="F532" s="4"/>
      <c r="G532" s="4"/>
      <c r="H532" s="5"/>
      <c r="I532" s="5"/>
      <c r="J532" s="6"/>
      <c r="K532" s="5"/>
      <c r="L532" s="3"/>
      <c r="M532" s="6"/>
      <c r="N532" s="5"/>
      <c r="O532" s="5"/>
    </row>
    <row r="533" spans="1:15" ht="15.6">
      <c r="A533" s="36"/>
      <c r="B533" s="4"/>
      <c r="C533" s="5"/>
      <c r="D533" s="4"/>
      <c r="E533" s="4"/>
      <c r="F533" s="4"/>
      <c r="G533" s="4"/>
      <c r="H533" s="5"/>
      <c r="I533" s="5"/>
      <c r="J533" s="6"/>
      <c r="K533" s="5"/>
      <c r="L533" s="3"/>
      <c r="M533" s="6"/>
      <c r="N533" s="5"/>
      <c r="O533" s="5"/>
    </row>
    <row r="534" spans="1:15" ht="15.6">
      <c r="A534" s="36"/>
      <c r="B534" s="4"/>
      <c r="C534" s="5"/>
      <c r="D534" s="4"/>
      <c r="E534" s="4"/>
      <c r="F534" s="4"/>
      <c r="G534" s="4"/>
      <c r="H534" s="5"/>
      <c r="I534" s="5"/>
      <c r="J534" s="6"/>
      <c r="K534" s="5"/>
      <c r="L534" s="3"/>
      <c r="M534" s="6"/>
      <c r="N534" s="5"/>
      <c r="O534" s="5"/>
    </row>
    <row r="535" spans="1:15" ht="15.6">
      <c r="A535" s="36"/>
      <c r="B535" s="4"/>
      <c r="C535" s="5"/>
      <c r="D535" s="4"/>
      <c r="E535" s="4"/>
      <c r="F535" s="4"/>
      <c r="G535" s="4"/>
      <c r="H535" s="5"/>
      <c r="I535" s="5"/>
      <c r="J535" s="6"/>
      <c r="K535" s="5"/>
      <c r="L535" s="3"/>
      <c r="M535" s="6"/>
      <c r="N535" s="5"/>
      <c r="O535" s="5"/>
    </row>
    <row r="536" spans="1:15" ht="15.6">
      <c r="A536" s="36"/>
      <c r="B536" s="4"/>
      <c r="C536" s="5"/>
      <c r="D536" s="4"/>
      <c r="E536" s="4"/>
      <c r="F536" s="4"/>
      <c r="G536" s="4"/>
      <c r="H536" s="5"/>
      <c r="I536" s="5"/>
      <c r="J536" s="6"/>
      <c r="K536" s="5"/>
      <c r="L536" s="3"/>
      <c r="M536" s="6"/>
      <c r="N536" s="5"/>
      <c r="O536" s="5"/>
    </row>
    <row r="537" spans="1:15" ht="15.6">
      <c r="A537" s="36"/>
      <c r="B537" s="4"/>
      <c r="C537" s="5"/>
      <c r="D537" s="4"/>
      <c r="E537" s="4"/>
      <c r="F537" s="4"/>
      <c r="G537" s="4"/>
      <c r="H537" s="5"/>
      <c r="I537" s="5"/>
      <c r="J537" s="6"/>
      <c r="K537" s="5"/>
      <c r="L537" s="3"/>
      <c r="M537" s="6"/>
      <c r="N537" s="5"/>
      <c r="O537" s="5"/>
    </row>
    <row r="538" spans="1:15" ht="15.6">
      <c r="A538" s="36"/>
      <c r="B538" s="4"/>
      <c r="C538" s="5"/>
      <c r="D538" s="4"/>
      <c r="E538" s="4"/>
      <c r="F538" s="4"/>
      <c r="G538" s="4"/>
      <c r="H538" s="5"/>
      <c r="I538" s="5"/>
      <c r="J538" s="6"/>
      <c r="K538" s="5"/>
      <c r="L538" s="3"/>
      <c r="M538" s="6"/>
      <c r="N538" s="5"/>
      <c r="O538" s="5"/>
    </row>
    <row r="539" spans="1:15" ht="15.6">
      <c r="A539" s="36"/>
      <c r="B539" s="4"/>
      <c r="C539" s="5"/>
      <c r="D539" s="4"/>
      <c r="E539" s="4"/>
      <c r="F539" s="4"/>
      <c r="G539" s="4"/>
      <c r="H539" s="5"/>
      <c r="I539" s="5"/>
      <c r="J539" s="6"/>
      <c r="K539" s="5"/>
      <c r="L539" s="3"/>
      <c r="M539" s="6"/>
      <c r="N539" s="5"/>
      <c r="O539" s="5"/>
    </row>
    <row r="540" spans="1:15" ht="15.6">
      <c r="A540" s="36"/>
      <c r="B540" s="4"/>
      <c r="C540" s="5"/>
      <c r="D540" s="4"/>
      <c r="E540" s="4"/>
      <c r="F540" s="4"/>
      <c r="G540" s="4"/>
      <c r="H540" s="5"/>
      <c r="I540" s="5"/>
      <c r="J540" s="6"/>
      <c r="K540" s="5"/>
      <c r="L540" s="3"/>
      <c r="M540" s="6"/>
      <c r="N540" s="5"/>
      <c r="O540" s="5"/>
    </row>
    <row r="541" spans="1:15" ht="15.6">
      <c r="A541" s="36"/>
      <c r="B541" s="4"/>
      <c r="C541" s="5"/>
      <c r="D541" s="4"/>
      <c r="E541" s="4"/>
      <c r="F541" s="4"/>
      <c r="G541" s="4"/>
      <c r="H541" s="5"/>
      <c r="I541" s="5"/>
      <c r="J541" s="6"/>
      <c r="K541" s="5"/>
      <c r="L541" s="3"/>
      <c r="M541" s="6"/>
      <c r="N541" s="5"/>
      <c r="O541" s="5"/>
    </row>
    <row r="542" spans="1:15" ht="15.6">
      <c r="A542" s="36"/>
      <c r="B542" s="4"/>
      <c r="C542" s="5"/>
      <c r="D542" s="4"/>
      <c r="E542" s="4"/>
      <c r="F542" s="4"/>
      <c r="G542" s="4"/>
      <c r="H542" s="5"/>
      <c r="I542" s="5"/>
      <c r="J542" s="6"/>
      <c r="K542" s="5"/>
      <c r="L542" s="3"/>
      <c r="M542" s="6"/>
      <c r="N542" s="5"/>
      <c r="O542" s="5"/>
    </row>
    <row r="543" spans="1:15" ht="15.6">
      <c r="A543" s="36"/>
      <c r="B543" s="4"/>
      <c r="C543" s="5"/>
      <c r="D543" s="4"/>
      <c r="E543" s="4"/>
      <c r="F543" s="4"/>
      <c r="G543" s="4"/>
      <c r="H543" s="5"/>
      <c r="I543" s="5"/>
      <c r="J543" s="6"/>
      <c r="K543" s="5"/>
      <c r="L543" s="3"/>
      <c r="M543" s="6"/>
      <c r="N543" s="5"/>
      <c r="O543" s="5"/>
    </row>
    <row r="544" spans="1:15" ht="15.6">
      <c r="A544" s="36"/>
      <c r="B544" s="4"/>
      <c r="C544" s="5"/>
      <c r="D544" s="4"/>
      <c r="E544" s="4"/>
      <c r="F544" s="4"/>
      <c r="G544" s="4"/>
      <c r="H544" s="5"/>
      <c r="I544" s="5"/>
      <c r="J544" s="6"/>
      <c r="K544" s="5"/>
      <c r="L544" s="3"/>
      <c r="M544" s="6"/>
      <c r="N544" s="5"/>
      <c r="O544" s="5"/>
    </row>
    <row r="545" spans="1:15" ht="15.6">
      <c r="A545" s="36"/>
      <c r="B545" s="4"/>
      <c r="C545" s="5"/>
      <c r="D545" s="4"/>
      <c r="E545" s="4"/>
      <c r="F545" s="4"/>
      <c r="G545" s="4"/>
      <c r="H545" s="5"/>
      <c r="I545" s="5"/>
      <c r="J545" s="6"/>
      <c r="K545" s="5"/>
      <c r="L545" s="3"/>
      <c r="M545" s="6"/>
      <c r="N545" s="5"/>
      <c r="O545" s="5"/>
    </row>
    <row r="546" spans="1:15" ht="15.6">
      <c r="A546" s="36"/>
      <c r="B546" s="4"/>
      <c r="C546" s="5"/>
      <c r="D546" s="4"/>
      <c r="E546" s="4"/>
      <c r="F546" s="4"/>
      <c r="G546" s="4"/>
      <c r="H546" s="5"/>
      <c r="I546" s="5"/>
      <c r="J546" s="6"/>
      <c r="K546" s="5"/>
      <c r="L546" s="3"/>
      <c r="M546" s="6"/>
      <c r="N546" s="5"/>
      <c r="O546" s="5"/>
    </row>
    <row r="547" spans="1:15" ht="15.6">
      <c r="A547" s="36"/>
      <c r="B547" s="4"/>
      <c r="C547" s="5"/>
      <c r="D547" s="4"/>
      <c r="E547" s="4"/>
      <c r="F547" s="4"/>
      <c r="G547" s="4"/>
      <c r="H547" s="5"/>
      <c r="I547" s="5"/>
      <c r="J547" s="6"/>
      <c r="K547" s="5"/>
      <c r="L547" s="3"/>
      <c r="M547" s="6"/>
      <c r="N547" s="5"/>
      <c r="O547" s="5"/>
    </row>
    <row r="548" spans="1:15" ht="15.6">
      <c r="A548" s="36"/>
      <c r="B548" s="4"/>
      <c r="C548" s="5"/>
      <c r="D548" s="4"/>
      <c r="E548" s="4"/>
      <c r="F548" s="4"/>
      <c r="G548" s="4"/>
      <c r="H548" s="5"/>
      <c r="I548" s="5"/>
      <c r="J548" s="6"/>
      <c r="K548" s="5"/>
      <c r="L548" s="3"/>
      <c r="M548" s="6"/>
      <c r="N548" s="5"/>
      <c r="O548" s="5"/>
    </row>
    <row r="549" spans="1:15" ht="15.6">
      <c r="A549" s="36"/>
      <c r="B549" s="4"/>
      <c r="C549" s="5"/>
      <c r="D549" s="4"/>
      <c r="E549" s="4"/>
      <c r="F549" s="4"/>
      <c r="G549" s="4"/>
      <c r="H549" s="5"/>
      <c r="I549" s="5"/>
      <c r="J549" s="6"/>
      <c r="K549" s="5"/>
      <c r="L549" s="3"/>
      <c r="M549" s="6"/>
      <c r="N549" s="5"/>
      <c r="O549" s="5"/>
    </row>
    <row r="550" spans="1:15" ht="15.6">
      <c r="A550" s="36"/>
      <c r="B550" s="4"/>
      <c r="C550" s="5"/>
      <c r="D550" s="4"/>
      <c r="E550" s="4"/>
      <c r="F550" s="4"/>
      <c r="G550" s="4"/>
      <c r="H550" s="5"/>
      <c r="I550" s="5"/>
      <c r="J550" s="6"/>
      <c r="K550" s="5"/>
      <c r="L550" s="3"/>
      <c r="M550" s="6"/>
      <c r="N550" s="5"/>
      <c r="O550" s="5"/>
    </row>
    <row r="551" spans="1:15" ht="15.6">
      <c r="A551" s="36"/>
      <c r="B551" s="4"/>
      <c r="C551" s="5"/>
      <c r="D551" s="4"/>
      <c r="E551" s="4"/>
      <c r="F551" s="4"/>
      <c r="G551" s="4"/>
      <c r="H551" s="5"/>
      <c r="I551" s="5"/>
      <c r="J551" s="6"/>
      <c r="K551" s="5"/>
      <c r="L551" s="3"/>
      <c r="M551" s="6"/>
      <c r="N551" s="5"/>
      <c r="O551" s="5"/>
    </row>
    <row r="552" spans="1:15" ht="15.6">
      <c r="A552" s="36"/>
      <c r="B552" s="4"/>
      <c r="C552" s="5"/>
      <c r="D552" s="4"/>
      <c r="E552" s="4"/>
      <c r="F552" s="4"/>
      <c r="G552" s="4"/>
      <c r="H552" s="5"/>
      <c r="I552" s="5"/>
      <c r="J552" s="6"/>
      <c r="K552" s="5"/>
      <c r="L552" s="3"/>
      <c r="M552" s="6"/>
      <c r="N552" s="5"/>
      <c r="O552" s="5"/>
    </row>
    <row r="553" spans="1:15" ht="15.6">
      <c r="A553" s="36"/>
      <c r="B553" s="4"/>
      <c r="C553" s="5"/>
      <c r="D553" s="4"/>
      <c r="E553" s="4"/>
      <c r="F553" s="4"/>
      <c r="G553" s="4"/>
      <c r="H553" s="5"/>
      <c r="I553" s="5"/>
      <c r="J553" s="6"/>
      <c r="K553" s="5"/>
      <c r="L553" s="3"/>
      <c r="M553" s="6"/>
      <c r="N553" s="5"/>
      <c r="O553" s="5"/>
    </row>
    <row r="554" spans="1:15" ht="15.6">
      <c r="A554" s="36"/>
      <c r="B554" s="4"/>
      <c r="C554" s="5"/>
      <c r="D554" s="4"/>
      <c r="E554" s="4"/>
      <c r="F554" s="4"/>
      <c r="G554" s="4"/>
      <c r="H554" s="5"/>
      <c r="I554" s="5"/>
      <c r="J554" s="6"/>
      <c r="K554" s="5"/>
      <c r="L554" s="3"/>
      <c r="M554" s="6"/>
      <c r="N554" s="5"/>
      <c r="O554" s="5"/>
    </row>
    <row r="555" spans="1:15" ht="15.6">
      <c r="A555" s="36"/>
      <c r="B555" s="4"/>
      <c r="C555" s="5"/>
      <c r="D555" s="4"/>
      <c r="E555" s="4"/>
      <c r="F555" s="4"/>
      <c r="G555" s="4"/>
      <c r="H555" s="5"/>
      <c r="I555" s="5"/>
      <c r="J555" s="6"/>
      <c r="K555" s="5"/>
      <c r="L555" s="3"/>
      <c r="M555" s="6"/>
      <c r="N555" s="5"/>
      <c r="O555" s="5"/>
    </row>
    <row r="556" spans="1:15" ht="15.6">
      <c r="A556" s="36"/>
      <c r="B556" s="4"/>
      <c r="C556" s="5"/>
      <c r="D556" s="4"/>
      <c r="E556" s="4"/>
      <c r="F556" s="4"/>
      <c r="G556" s="4"/>
      <c r="H556" s="5"/>
      <c r="I556" s="5"/>
      <c r="J556" s="6"/>
      <c r="K556" s="5"/>
      <c r="L556" s="3"/>
      <c r="M556" s="6"/>
      <c r="N556" s="5"/>
      <c r="O556" s="5"/>
    </row>
    <row r="557" spans="1:15" ht="15.6">
      <c r="A557" s="36"/>
      <c r="B557" s="4"/>
      <c r="C557" s="5"/>
      <c r="D557" s="4"/>
      <c r="E557" s="4"/>
      <c r="F557" s="4"/>
      <c r="G557" s="4"/>
      <c r="H557" s="5"/>
      <c r="I557" s="5"/>
      <c r="J557" s="6"/>
      <c r="K557" s="5"/>
      <c r="L557" s="3"/>
      <c r="M557" s="6"/>
      <c r="N557" s="5"/>
      <c r="O557" s="5"/>
    </row>
    <row r="558" spans="1:15" ht="15.6">
      <c r="A558" s="36"/>
      <c r="B558" s="4"/>
      <c r="C558" s="5"/>
      <c r="D558" s="4"/>
      <c r="E558" s="4"/>
      <c r="F558" s="4"/>
      <c r="G558" s="4"/>
      <c r="H558" s="5"/>
      <c r="I558" s="5"/>
      <c r="J558" s="6"/>
      <c r="K558" s="5"/>
      <c r="L558" s="3"/>
      <c r="M558" s="6"/>
      <c r="N558" s="5"/>
      <c r="O558" s="5"/>
    </row>
    <row r="559" spans="1:15" ht="15.6">
      <c r="A559" s="36"/>
      <c r="B559" s="4"/>
      <c r="C559" s="5"/>
      <c r="D559" s="4"/>
      <c r="E559" s="4"/>
      <c r="F559" s="4"/>
      <c r="G559" s="4"/>
      <c r="H559" s="5"/>
      <c r="I559" s="5"/>
      <c r="J559" s="6"/>
      <c r="K559" s="5"/>
      <c r="L559" s="3"/>
      <c r="M559" s="6"/>
      <c r="N559" s="5"/>
      <c r="O559" s="5"/>
    </row>
    <row r="560" spans="1:15" ht="15.6">
      <c r="A560" s="36"/>
      <c r="B560" s="4"/>
      <c r="C560" s="5"/>
      <c r="D560" s="4"/>
      <c r="E560" s="4"/>
      <c r="F560" s="4"/>
      <c r="G560" s="4"/>
      <c r="H560" s="5"/>
      <c r="I560" s="5"/>
      <c r="J560" s="6"/>
      <c r="K560" s="5"/>
      <c r="L560" s="3"/>
      <c r="M560" s="6"/>
      <c r="N560" s="5"/>
      <c r="O560" s="5"/>
    </row>
    <row r="561" spans="1:15" ht="15.6">
      <c r="A561" s="36"/>
      <c r="B561" s="4"/>
      <c r="C561" s="5"/>
      <c r="D561" s="4"/>
      <c r="E561" s="4"/>
      <c r="F561" s="4"/>
      <c r="G561" s="4"/>
      <c r="H561" s="5"/>
      <c r="I561" s="5"/>
      <c r="J561" s="6"/>
      <c r="K561" s="5"/>
      <c r="L561" s="3"/>
      <c r="M561" s="6"/>
      <c r="N561" s="5"/>
      <c r="O561" s="5"/>
    </row>
    <row r="562" spans="1:15" ht="15.6">
      <c r="A562" s="36"/>
      <c r="B562" s="4"/>
      <c r="C562" s="5"/>
      <c r="D562" s="4"/>
      <c r="E562" s="4"/>
      <c r="F562" s="4"/>
      <c r="G562" s="4"/>
      <c r="H562" s="5"/>
      <c r="I562" s="5"/>
      <c r="J562" s="6"/>
      <c r="K562" s="5"/>
      <c r="L562" s="3"/>
      <c r="M562" s="6"/>
      <c r="N562" s="5"/>
      <c r="O562" s="5"/>
    </row>
    <row r="563" spans="1:15" ht="15.6">
      <c r="A563" s="36"/>
      <c r="B563" s="4"/>
      <c r="C563" s="5"/>
      <c r="D563" s="4"/>
      <c r="E563" s="4"/>
      <c r="F563" s="4"/>
      <c r="G563" s="4"/>
      <c r="H563" s="5"/>
      <c r="I563" s="5"/>
      <c r="J563" s="6"/>
      <c r="K563" s="5"/>
      <c r="L563" s="3"/>
      <c r="M563" s="6"/>
      <c r="N563" s="5"/>
      <c r="O563" s="5"/>
    </row>
    <row r="564" spans="1:15" ht="15.6">
      <c r="A564" s="36"/>
      <c r="B564" s="4"/>
      <c r="C564" s="5"/>
      <c r="D564" s="4"/>
      <c r="E564" s="4"/>
      <c r="F564" s="4"/>
      <c r="G564" s="4"/>
      <c r="H564" s="5"/>
      <c r="I564" s="5"/>
      <c r="J564" s="6"/>
      <c r="K564" s="5"/>
      <c r="L564" s="3"/>
      <c r="M564" s="6"/>
      <c r="N564" s="5"/>
      <c r="O564" s="5"/>
    </row>
    <row r="565" spans="1:15" ht="15.6">
      <c r="A565" s="36"/>
      <c r="B565" s="4"/>
      <c r="C565" s="5"/>
      <c r="D565" s="4"/>
      <c r="E565" s="4"/>
      <c r="F565" s="4"/>
      <c r="G565" s="4"/>
      <c r="H565" s="5"/>
      <c r="I565" s="5"/>
      <c r="J565" s="6"/>
      <c r="K565" s="5"/>
      <c r="L565" s="3"/>
      <c r="M565" s="6"/>
      <c r="N565" s="5"/>
      <c r="O565" s="5"/>
    </row>
    <row r="566" spans="1:15" ht="15.6">
      <c r="A566" s="36"/>
      <c r="B566" s="4"/>
      <c r="C566" s="5"/>
      <c r="D566" s="4"/>
      <c r="E566" s="4"/>
      <c r="F566" s="4"/>
      <c r="G566" s="4"/>
      <c r="H566" s="5"/>
      <c r="I566" s="5"/>
      <c r="J566" s="6"/>
      <c r="K566" s="5"/>
      <c r="L566" s="3"/>
      <c r="M566" s="6"/>
      <c r="N566" s="5"/>
      <c r="O566" s="5"/>
    </row>
    <row r="567" spans="1:15" ht="15.6">
      <c r="A567" s="36"/>
      <c r="B567" s="4"/>
      <c r="C567" s="5"/>
      <c r="D567" s="4"/>
      <c r="E567" s="4"/>
      <c r="F567" s="4"/>
      <c r="G567" s="4"/>
      <c r="H567" s="5"/>
      <c r="I567" s="5"/>
      <c r="J567" s="6"/>
      <c r="K567" s="5"/>
      <c r="L567" s="3"/>
      <c r="M567" s="6"/>
      <c r="N567" s="5"/>
      <c r="O567" s="5"/>
    </row>
    <row r="568" spans="1:15" ht="15.6">
      <c r="A568" s="36"/>
      <c r="B568" s="4"/>
      <c r="C568" s="5"/>
      <c r="D568" s="4"/>
      <c r="E568" s="4"/>
      <c r="F568" s="4"/>
      <c r="G568" s="4"/>
      <c r="H568" s="5"/>
      <c r="I568" s="5"/>
      <c r="J568" s="6"/>
      <c r="K568" s="5"/>
      <c r="L568" s="3"/>
      <c r="M568" s="6"/>
      <c r="N568" s="5"/>
      <c r="O568" s="5"/>
    </row>
    <row r="569" spans="1:15" ht="15.6">
      <c r="A569" s="36"/>
      <c r="B569" s="4"/>
      <c r="C569" s="5"/>
      <c r="D569" s="4"/>
      <c r="E569" s="4"/>
      <c r="F569" s="4"/>
      <c r="G569" s="4"/>
      <c r="H569" s="5"/>
      <c r="I569" s="5"/>
      <c r="J569" s="6"/>
      <c r="K569" s="5"/>
      <c r="L569" s="3"/>
      <c r="M569" s="6"/>
      <c r="N569" s="5"/>
      <c r="O569" s="5"/>
    </row>
    <row r="570" spans="1:15" ht="15.6">
      <c r="A570" s="36"/>
      <c r="B570" s="4"/>
      <c r="C570" s="5"/>
      <c r="D570" s="4"/>
      <c r="E570" s="4"/>
      <c r="F570" s="4"/>
      <c r="G570" s="4"/>
      <c r="H570" s="5"/>
      <c r="I570" s="5"/>
      <c r="J570" s="6"/>
      <c r="K570" s="5"/>
      <c r="L570" s="3"/>
      <c r="M570" s="6"/>
      <c r="N570" s="5"/>
      <c r="O570" s="5"/>
    </row>
    <row r="571" spans="1:15" ht="15.6">
      <c r="A571" s="36"/>
      <c r="B571" s="4"/>
      <c r="C571" s="5"/>
      <c r="D571" s="4"/>
      <c r="E571" s="4"/>
      <c r="F571" s="4"/>
      <c r="G571" s="4"/>
      <c r="H571" s="5"/>
      <c r="I571" s="5"/>
      <c r="J571" s="6"/>
      <c r="K571" s="5"/>
      <c r="L571" s="3"/>
      <c r="M571" s="6"/>
      <c r="N571" s="5"/>
      <c r="O571" s="5"/>
    </row>
    <row r="572" spans="1:15" ht="15.6">
      <c r="A572" s="36"/>
      <c r="B572" s="4"/>
      <c r="C572" s="5"/>
      <c r="D572" s="4"/>
      <c r="E572" s="4"/>
      <c r="F572" s="4"/>
      <c r="G572" s="4"/>
      <c r="H572" s="5"/>
      <c r="I572" s="5"/>
      <c r="J572" s="6"/>
      <c r="K572" s="5"/>
      <c r="L572" s="3"/>
      <c r="M572" s="6"/>
      <c r="N572" s="5"/>
      <c r="O572" s="5"/>
    </row>
    <row r="573" spans="1:15" ht="15.6">
      <c r="A573" s="36"/>
      <c r="B573" s="4"/>
      <c r="C573" s="5"/>
      <c r="D573" s="4"/>
      <c r="E573" s="4"/>
      <c r="F573" s="4"/>
      <c r="G573" s="4"/>
      <c r="H573" s="5"/>
      <c r="I573" s="5"/>
      <c r="J573" s="6"/>
      <c r="K573" s="5"/>
      <c r="L573" s="3"/>
      <c r="M573" s="6"/>
      <c r="N573" s="5"/>
      <c r="O573" s="5"/>
    </row>
    <row r="574" spans="1:15" ht="15.6">
      <c r="A574" s="36"/>
      <c r="B574" s="4"/>
      <c r="C574" s="5"/>
      <c r="D574" s="4"/>
      <c r="E574" s="4"/>
      <c r="F574" s="4"/>
      <c r="G574" s="4"/>
      <c r="H574" s="5"/>
      <c r="I574" s="5"/>
      <c r="J574" s="6"/>
      <c r="K574" s="5"/>
      <c r="L574" s="3"/>
      <c r="M574" s="6"/>
      <c r="N574" s="5"/>
      <c r="O574" s="5"/>
    </row>
    <row r="575" spans="1:15" ht="15.6">
      <c r="A575" s="36"/>
      <c r="B575" s="4"/>
      <c r="C575" s="5"/>
      <c r="D575" s="4"/>
      <c r="E575" s="4"/>
      <c r="F575" s="4"/>
      <c r="G575" s="4"/>
      <c r="H575" s="5"/>
      <c r="I575" s="5"/>
      <c r="J575" s="6"/>
      <c r="K575" s="5"/>
      <c r="L575" s="3"/>
      <c r="M575" s="6"/>
      <c r="N575" s="5"/>
      <c r="O575" s="5"/>
    </row>
    <row r="576" spans="1:15" ht="15.6">
      <c r="A576" s="36"/>
      <c r="B576" s="4"/>
      <c r="C576" s="5"/>
      <c r="D576" s="4"/>
      <c r="E576" s="4"/>
      <c r="F576" s="4"/>
      <c r="G576" s="4"/>
      <c r="H576" s="5"/>
      <c r="I576" s="5"/>
      <c r="J576" s="6"/>
      <c r="K576" s="5"/>
      <c r="L576" s="3"/>
      <c r="M576" s="6"/>
      <c r="N576" s="5"/>
      <c r="O576" s="5"/>
    </row>
    <row r="577" spans="1:15" ht="15.6">
      <c r="A577" s="36"/>
      <c r="B577" s="4"/>
      <c r="C577" s="5"/>
      <c r="D577" s="4"/>
      <c r="E577" s="4"/>
      <c r="F577" s="4"/>
      <c r="G577" s="4"/>
      <c r="H577" s="5"/>
      <c r="I577" s="5"/>
      <c r="J577" s="6"/>
      <c r="K577" s="5"/>
      <c r="L577" s="3"/>
      <c r="M577" s="6"/>
      <c r="N577" s="5"/>
      <c r="O577" s="5"/>
    </row>
    <row r="578" spans="1:15" ht="15.6">
      <c r="A578" s="36"/>
      <c r="B578" s="4"/>
      <c r="C578" s="5"/>
      <c r="D578" s="4"/>
      <c r="E578" s="4"/>
      <c r="F578" s="4"/>
      <c r="G578" s="4"/>
      <c r="H578" s="5"/>
      <c r="I578" s="5"/>
      <c r="J578" s="6"/>
      <c r="K578" s="5"/>
      <c r="L578" s="3"/>
      <c r="M578" s="6"/>
      <c r="N578" s="5"/>
      <c r="O578" s="5"/>
    </row>
    <row r="579" spans="1:15" ht="15.6">
      <c r="A579" s="36"/>
      <c r="B579" s="4"/>
      <c r="C579" s="5"/>
      <c r="D579" s="4"/>
      <c r="E579" s="4"/>
      <c r="F579" s="4"/>
      <c r="G579" s="4"/>
      <c r="H579" s="5"/>
      <c r="I579" s="5"/>
      <c r="J579" s="6"/>
      <c r="K579" s="5"/>
      <c r="L579" s="3"/>
      <c r="M579" s="6"/>
      <c r="N579" s="5"/>
      <c r="O579" s="5"/>
    </row>
    <row r="580" spans="1:15" ht="15.6">
      <c r="A580" s="36"/>
      <c r="B580" s="4"/>
      <c r="C580" s="5"/>
      <c r="D580" s="4"/>
      <c r="E580" s="4"/>
      <c r="F580" s="4"/>
      <c r="G580" s="4"/>
      <c r="H580" s="5"/>
      <c r="I580" s="5"/>
      <c r="J580" s="6"/>
      <c r="K580" s="5"/>
      <c r="L580" s="3"/>
      <c r="M580" s="6"/>
      <c r="N580" s="5"/>
      <c r="O580" s="5"/>
    </row>
    <row r="581" spans="1:15" ht="15.6">
      <c r="A581" s="36"/>
      <c r="B581" s="4"/>
      <c r="C581" s="5"/>
      <c r="D581" s="4"/>
      <c r="E581" s="4"/>
      <c r="F581" s="4"/>
      <c r="G581" s="4"/>
      <c r="H581" s="5"/>
      <c r="I581" s="5"/>
      <c r="J581" s="6"/>
      <c r="K581" s="5"/>
      <c r="L581" s="3"/>
      <c r="M581" s="6"/>
      <c r="N581" s="5"/>
      <c r="O581" s="5"/>
    </row>
    <row r="582" spans="1:15" ht="15.6">
      <c r="A582" s="36"/>
      <c r="B582" s="4"/>
      <c r="C582" s="5"/>
      <c r="D582" s="4"/>
      <c r="E582" s="4"/>
      <c r="F582" s="4"/>
      <c r="G582" s="4"/>
      <c r="H582" s="5"/>
      <c r="I582" s="5"/>
      <c r="J582" s="6"/>
      <c r="K582" s="5"/>
      <c r="L582" s="3"/>
      <c r="M582" s="6"/>
      <c r="N582" s="5"/>
      <c r="O582" s="5"/>
    </row>
    <row r="583" spans="1:15" ht="15.6">
      <c r="A583" s="36"/>
      <c r="B583" s="4"/>
      <c r="C583" s="5"/>
      <c r="D583" s="4"/>
      <c r="E583" s="4"/>
      <c r="F583" s="4"/>
      <c r="G583" s="4"/>
      <c r="H583" s="5"/>
      <c r="I583" s="5"/>
      <c r="J583" s="6"/>
      <c r="K583" s="5"/>
      <c r="L583" s="3"/>
      <c r="M583" s="6"/>
      <c r="N583" s="5"/>
      <c r="O583" s="5"/>
    </row>
    <row r="584" spans="1:15" ht="15.6">
      <c r="A584" s="36"/>
      <c r="B584" s="4"/>
      <c r="C584" s="5"/>
      <c r="D584" s="4"/>
      <c r="E584" s="4"/>
      <c r="F584" s="4"/>
      <c r="G584" s="4"/>
      <c r="H584" s="5"/>
      <c r="I584" s="5"/>
      <c r="J584" s="6"/>
      <c r="K584" s="5"/>
      <c r="L584" s="3"/>
      <c r="M584" s="6"/>
      <c r="N584" s="5"/>
      <c r="O584" s="5"/>
    </row>
    <row r="585" spans="1:15" ht="15.6">
      <c r="A585" s="36"/>
      <c r="B585" s="4"/>
      <c r="C585" s="5"/>
      <c r="D585" s="4"/>
      <c r="E585" s="4"/>
      <c r="F585" s="4"/>
      <c r="G585" s="4"/>
      <c r="H585" s="5"/>
      <c r="I585" s="5"/>
      <c r="J585" s="6"/>
      <c r="K585" s="5"/>
      <c r="L585" s="3"/>
      <c r="M585" s="6"/>
      <c r="N585" s="5"/>
      <c r="O585" s="5"/>
    </row>
    <row r="586" spans="1:15" ht="15.6">
      <c r="A586" s="36"/>
      <c r="B586" s="4"/>
      <c r="C586" s="5"/>
      <c r="D586" s="4"/>
      <c r="E586" s="4"/>
      <c r="F586" s="4"/>
      <c r="G586" s="4"/>
      <c r="H586" s="5"/>
      <c r="I586" s="5"/>
      <c r="J586" s="6"/>
      <c r="K586" s="5"/>
      <c r="L586" s="3"/>
      <c r="M586" s="6"/>
      <c r="N586" s="5"/>
      <c r="O586" s="5"/>
    </row>
    <row r="587" spans="1:15" ht="15.6">
      <c r="A587" s="36"/>
      <c r="B587" s="4"/>
      <c r="C587" s="5"/>
      <c r="D587" s="4"/>
      <c r="E587" s="4"/>
      <c r="F587" s="4"/>
      <c r="G587" s="4"/>
      <c r="H587" s="5"/>
      <c r="I587" s="5"/>
      <c r="J587" s="6"/>
      <c r="K587" s="5"/>
      <c r="L587" s="3"/>
      <c r="M587" s="6"/>
      <c r="N587" s="5"/>
      <c r="O587" s="5"/>
    </row>
    <row r="588" spans="1:15" ht="15.6">
      <c r="A588" s="36"/>
      <c r="B588" s="4"/>
      <c r="C588" s="5"/>
      <c r="D588" s="4"/>
      <c r="E588" s="4"/>
      <c r="F588" s="4"/>
      <c r="G588" s="4"/>
      <c r="H588" s="5"/>
      <c r="I588" s="5"/>
      <c r="J588" s="6"/>
      <c r="K588" s="5"/>
      <c r="L588" s="3"/>
      <c r="M588" s="6"/>
      <c r="N588" s="5"/>
      <c r="O588" s="5"/>
    </row>
    <row r="589" spans="1:15" ht="15.6">
      <c r="A589" s="36"/>
      <c r="B589" s="4"/>
      <c r="C589" s="5"/>
      <c r="D589" s="4"/>
      <c r="E589" s="4"/>
      <c r="F589" s="4"/>
      <c r="G589" s="4"/>
      <c r="H589" s="5"/>
      <c r="I589" s="5"/>
      <c r="J589" s="6"/>
      <c r="K589" s="5"/>
      <c r="L589" s="3"/>
      <c r="M589" s="6"/>
      <c r="N589" s="5"/>
      <c r="O589" s="5"/>
    </row>
    <row r="590" spans="1:15" ht="15.6">
      <c r="A590" s="36"/>
      <c r="B590" s="4"/>
      <c r="C590" s="5"/>
      <c r="D590" s="4"/>
      <c r="E590" s="4"/>
      <c r="F590" s="4"/>
      <c r="G590" s="4"/>
      <c r="H590" s="5"/>
      <c r="I590" s="5"/>
      <c r="J590" s="6"/>
      <c r="K590" s="5"/>
      <c r="L590" s="3"/>
      <c r="M590" s="6"/>
      <c r="N590" s="5"/>
      <c r="O590" s="5"/>
    </row>
    <row r="591" spans="1:15" ht="15.6">
      <c r="A591" s="36"/>
      <c r="B591" s="4"/>
      <c r="C591" s="5"/>
      <c r="D591" s="4"/>
      <c r="E591" s="4"/>
      <c r="F591" s="4"/>
      <c r="G591" s="4"/>
      <c r="H591" s="5"/>
      <c r="I591" s="5"/>
      <c r="J591" s="6"/>
      <c r="K591" s="5"/>
      <c r="L591" s="3"/>
      <c r="M591" s="6"/>
      <c r="N591" s="5"/>
      <c r="O591" s="5"/>
    </row>
    <row r="592" spans="1:15" ht="15.6">
      <c r="A592" s="36"/>
      <c r="B592" s="4"/>
      <c r="C592" s="5"/>
      <c r="D592" s="4"/>
      <c r="E592" s="4"/>
      <c r="F592" s="4"/>
      <c r="G592" s="4"/>
      <c r="H592" s="5"/>
      <c r="I592" s="5"/>
      <c r="J592" s="6"/>
      <c r="K592" s="5"/>
      <c r="L592" s="3"/>
      <c r="M592" s="6"/>
      <c r="N592" s="5"/>
      <c r="O592" s="5"/>
    </row>
    <row r="593" spans="1:15" ht="15.6">
      <c r="A593" s="36"/>
      <c r="B593" s="4"/>
      <c r="C593" s="5"/>
      <c r="D593" s="4"/>
      <c r="E593" s="4"/>
      <c r="F593" s="4"/>
      <c r="G593" s="4"/>
      <c r="H593" s="5"/>
      <c r="I593" s="5"/>
      <c r="J593" s="6"/>
      <c r="K593" s="5"/>
      <c r="L593" s="3"/>
      <c r="M593" s="6"/>
      <c r="N593" s="5"/>
      <c r="O593" s="5"/>
    </row>
    <row r="594" spans="1:15" ht="15.6">
      <c r="A594" s="36"/>
      <c r="B594" s="4"/>
      <c r="C594" s="5"/>
      <c r="D594" s="4"/>
      <c r="E594" s="4"/>
      <c r="F594" s="4"/>
      <c r="G594" s="4"/>
      <c r="H594" s="5"/>
      <c r="I594" s="5"/>
      <c r="J594" s="6"/>
      <c r="K594" s="5"/>
      <c r="L594" s="3"/>
      <c r="M594" s="6"/>
      <c r="N594" s="5"/>
      <c r="O594" s="5"/>
    </row>
    <row r="595" spans="1:15" ht="15.6">
      <c r="A595" s="36"/>
      <c r="B595" s="4"/>
      <c r="C595" s="5"/>
      <c r="D595" s="4"/>
      <c r="E595" s="4"/>
      <c r="F595" s="4"/>
      <c r="G595" s="4"/>
      <c r="H595" s="5"/>
      <c r="I595" s="5"/>
      <c r="J595" s="6"/>
      <c r="K595" s="5"/>
      <c r="L595" s="3"/>
      <c r="M595" s="6"/>
      <c r="N595" s="5"/>
      <c r="O595" s="5"/>
    </row>
    <row r="596" spans="1:15" ht="15.6">
      <c r="A596" s="36"/>
      <c r="B596" s="4"/>
      <c r="C596" s="5"/>
      <c r="D596" s="4"/>
      <c r="E596" s="4"/>
      <c r="F596" s="4"/>
      <c r="G596" s="4"/>
      <c r="H596" s="5"/>
      <c r="I596" s="5"/>
      <c r="J596" s="6"/>
      <c r="K596" s="5"/>
      <c r="L596" s="3"/>
      <c r="M596" s="6"/>
      <c r="N596" s="5"/>
      <c r="O596" s="5"/>
    </row>
    <row r="597" spans="1:15" ht="15.6">
      <c r="A597" s="36"/>
      <c r="B597" s="4"/>
      <c r="C597" s="5"/>
      <c r="D597" s="4"/>
      <c r="E597" s="4"/>
      <c r="F597" s="4"/>
      <c r="G597" s="4"/>
      <c r="H597" s="5"/>
      <c r="I597" s="5"/>
      <c r="J597" s="6"/>
      <c r="K597" s="5"/>
      <c r="L597" s="3"/>
      <c r="M597" s="6"/>
      <c r="N597" s="5"/>
      <c r="O597" s="5"/>
    </row>
    <row r="598" spans="1:15" ht="15.6">
      <c r="A598" s="36"/>
      <c r="B598" s="4"/>
      <c r="C598" s="5"/>
      <c r="D598" s="4"/>
      <c r="E598" s="4"/>
      <c r="F598" s="4"/>
      <c r="G598" s="4"/>
      <c r="H598" s="5"/>
      <c r="I598" s="5"/>
      <c r="J598" s="6"/>
      <c r="K598" s="5"/>
      <c r="L598" s="3"/>
      <c r="M598" s="6"/>
      <c r="N598" s="5"/>
      <c r="O598" s="5"/>
    </row>
    <row r="599" spans="1:15" ht="15.6">
      <c r="A599" s="36"/>
      <c r="B599" s="4"/>
      <c r="C599" s="5"/>
      <c r="D599" s="4"/>
      <c r="E599" s="4"/>
      <c r="F599" s="4"/>
      <c r="G599" s="4"/>
      <c r="H599" s="5"/>
      <c r="I599" s="5"/>
      <c r="J599" s="6"/>
      <c r="K599" s="5"/>
      <c r="L599" s="3"/>
      <c r="M599" s="6"/>
      <c r="N599" s="5"/>
      <c r="O599" s="5"/>
    </row>
    <row r="600" spans="1:15" ht="15.6">
      <c r="A600" s="36"/>
      <c r="B600" s="4"/>
      <c r="C600" s="5"/>
      <c r="D600" s="4"/>
      <c r="E600" s="4"/>
      <c r="F600" s="4"/>
      <c r="G600" s="4"/>
      <c r="H600" s="5"/>
      <c r="I600" s="5"/>
      <c r="J600" s="6"/>
      <c r="K600" s="5"/>
      <c r="L600" s="3"/>
      <c r="M600" s="6"/>
      <c r="N600" s="5"/>
      <c r="O600" s="5"/>
    </row>
    <row r="601" spans="1:15" ht="15.6">
      <c r="A601" s="36"/>
      <c r="B601" s="4"/>
      <c r="C601" s="5"/>
      <c r="D601" s="4"/>
      <c r="E601" s="4"/>
      <c r="F601" s="4"/>
      <c r="G601" s="4"/>
      <c r="H601" s="5"/>
      <c r="I601" s="5"/>
      <c r="J601" s="6"/>
      <c r="K601" s="5"/>
      <c r="L601" s="3"/>
      <c r="M601" s="6"/>
      <c r="N601" s="5"/>
      <c r="O601" s="5"/>
    </row>
    <row r="602" spans="1:15" ht="15.6">
      <c r="A602" s="36"/>
      <c r="B602" s="4"/>
      <c r="C602" s="5"/>
      <c r="D602" s="4"/>
      <c r="E602" s="4"/>
      <c r="F602" s="4"/>
      <c r="G602" s="4"/>
      <c r="H602" s="5"/>
      <c r="I602" s="5"/>
      <c r="J602" s="6"/>
      <c r="K602" s="5"/>
      <c r="L602" s="3"/>
      <c r="M602" s="6"/>
      <c r="N602" s="5"/>
      <c r="O602" s="5"/>
    </row>
    <row r="603" spans="1:15" ht="15.6">
      <c r="A603" s="36"/>
      <c r="B603" s="4"/>
      <c r="C603" s="5"/>
      <c r="D603" s="4"/>
      <c r="E603" s="4"/>
      <c r="F603" s="4"/>
      <c r="G603" s="4"/>
      <c r="H603" s="5"/>
      <c r="I603" s="5"/>
      <c r="J603" s="6"/>
      <c r="K603" s="5"/>
      <c r="L603" s="3"/>
      <c r="M603" s="6"/>
      <c r="N603" s="5"/>
      <c r="O603" s="5"/>
    </row>
    <row r="604" spans="1:15" ht="15.6">
      <c r="A604" s="36"/>
      <c r="B604" s="4"/>
      <c r="C604" s="5"/>
      <c r="D604" s="4"/>
      <c r="E604" s="4"/>
      <c r="F604" s="4"/>
      <c r="G604" s="4"/>
      <c r="H604" s="5"/>
      <c r="I604" s="5"/>
      <c r="J604" s="6"/>
      <c r="K604" s="5"/>
      <c r="L604" s="3"/>
      <c r="M604" s="6"/>
      <c r="N604" s="5"/>
      <c r="O604" s="5"/>
    </row>
    <row r="605" spans="1:15" ht="15.6">
      <c r="A605" s="36"/>
      <c r="B605" s="4"/>
      <c r="C605" s="5"/>
      <c r="D605" s="4"/>
      <c r="E605" s="4"/>
      <c r="F605" s="4"/>
      <c r="G605" s="4"/>
      <c r="H605" s="5"/>
      <c r="I605" s="5"/>
      <c r="J605" s="6"/>
      <c r="K605" s="5"/>
      <c r="L605" s="3"/>
      <c r="M605" s="6"/>
      <c r="N605" s="5"/>
      <c r="O605" s="5"/>
    </row>
    <row r="606" spans="1:15" ht="15.6">
      <c r="A606" s="36"/>
      <c r="B606" s="4"/>
      <c r="C606" s="5"/>
      <c r="D606" s="4"/>
      <c r="E606" s="4"/>
      <c r="F606" s="4"/>
      <c r="G606" s="4"/>
      <c r="H606" s="5"/>
      <c r="I606" s="5"/>
      <c r="J606" s="6"/>
      <c r="K606" s="5"/>
      <c r="L606" s="3"/>
      <c r="M606" s="6"/>
      <c r="N606" s="5"/>
      <c r="O606" s="5"/>
    </row>
    <row r="607" spans="1:15" ht="15.6">
      <c r="A607" s="36"/>
      <c r="B607" s="4"/>
      <c r="C607" s="5"/>
      <c r="D607" s="4"/>
      <c r="E607" s="4"/>
      <c r="F607" s="4"/>
      <c r="G607" s="4"/>
      <c r="H607" s="5"/>
      <c r="I607" s="5"/>
      <c r="J607" s="6"/>
      <c r="K607" s="5"/>
      <c r="L607" s="3"/>
      <c r="M607" s="6"/>
      <c r="N607" s="5"/>
      <c r="O607" s="5"/>
    </row>
    <row r="608" spans="1:15" ht="15.6">
      <c r="A608" s="36"/>
      <c r="B608" s="4"/>
      <c r="C608" s="5"/>
      <c r="D608" s="4"/>
      <c r="E608" s="4"/>
      <c r="F608" s="4"/>
      <c r="G608" s="4"/>
      <c r="H608" s="5"/>
      <c r="I608" s="5"/>
      <c r="J608" s="6"/>
      <c r="K608" s="5"/>
      <c r="L608" s="3"/>
      <c r="M608" s="6"/>
      <c r="N608" s="5"/>
      <c r="O608" s="5"/>
    </row>
    <row r="609" spans="1:15" ht="15.6">
      <c r="A609" s="36"/>
      <c r="B609" s="4"/>
      <c r="C609" s="5"/>
      <c r="D609" s="4"/>
      <c r="E609" s="4"/>
      <c r="F609" s="4"/>
      <c r="G609" s="4"/>
      <c r="H609" s="5"/>
      <c r="I609" s="5"/>
      <c r="J609" s="6"/>
      <c r="K609" s="5"/>
      <c r="L609" s="3"/>
      <c r="M609" s="6"/>
      <c r="N609" s="5"/>
      <c r="O609" s="5"/>
    </row>
    <row r="610" spans="1:15" ht="15.6">
      <c r="A610" s="36"/>
      <c r="B610" s="4"/>
      <c r="C610" s="5"/>
      <c r="D610" s="4"/>
      <c r="E610" s="4"/>
      <c r="F610" s="4"/>
      <c r="G610" s="4"/>
      <c r="H610" s="5"/>
      <c r="I610" s="5"/>
      <c r="J610" s="6"/>
      <c r="K610" s="5"/>
      <c r="L610" s="3"/>
      <c r="M610" s="6"/>
      <c r="N610" s="5"/>
      <c r="O610" s="5"/>
    </row>
    <row r="611" spans="1:15" ht="15.6">
      <c r="A611" s="36"/>
      <c r="B611" s="4"/>
      <c r="C611" s="5"/>
      <c r="D611" s="4"/>
      <c r="E611" s="4"/>
      <c r="F611" s="4"/>
      <c r="G611" s="4"/>
      <c r="H611" s="5"/>
      <c r="I611" s="5"/>
      <c r="J611" s="6"/>
      <c r="K611" s="5"/>
      <c r="L611" s="3"/>
      <c r="M611" s="6"/>
      <c r="N611" s="5"/>
      <c r="O611" s="5"/>
    </row>
    <row r="612" spans="1:15" ht="15.6">
      <c r="A612" s="36"/>
      <c r="B612" s="4"/>
      <c r="C612" s="5"/>
      <c r="D612" s="4"/>
      <c r="E612" s="4"/>
      <c r="F612" s="4"/>
      <c r="G612" s="4"/>
      <c r="H612" s="5"/>
      <c r="I612" s="5"/>
      <c r="J612" s="6"/>
      <c r="K612" s="5"/>
      <c r="L612" s="3"/>
      <c r="M612" s="6"/>
      <c r="N612" s="5"/>
      <c r="O612" s="5"/>
    </row>
    <row r="613" spans="1:15" ht="15.6">
      <c r="A613" s="36"/>
      <c r="B613" s="4"/>
      <c r="C613" s="5"/>
      <c r="D613" s="4"/>
      <c r="E613" s="4"/>
      <c r="F613" s="4"/>
      <c r="G613" s="4"/>
      <c r="H613" s="5"/>
      <c r="I613" s="5"/>
      <c r="J613" s="6"/>
      <c r="K613" s="5"/>
      <c r="L613" s="3"/>
      <c r="M613" s="6"/>
      <c r="N613" s="5"/>
      <c r="O613" s="5"/>
    </row>
    <row r="614" spans="1:15" ht="15.6">
      <c r="A614" s="36"/>
      <c r="B614" s="4"/>
      <c r="C614" s="5"/>
      <c r="D614" s="4"/>
      <c r="E614" s="4"/>
      <c r="F614" s="4"/>
      <c r="G614" s="4"/>
      <c r="H614" s="5"/>
      <c r="I614" s="5"/>
      <c r="J614" s="6"/>
      <c r="K614" s="5"/>
      <c r="L614" s="3"/>
      <c r="M614" s="6"/>
      <c r="N614" s="5"/>
      <c r="O614" s="5"/>
    </row>
    <row r="615" spans="1:15" ht="15.6">
      <c r="A615" s="36"/>
      <c r="B615" s="4"/>
      <c r="C615" s="5"/>
      <c r="D615" s="4"/>
      <c r="E615" s="4"/>
      <c r="F615" s="4"/>
      <c r="G615" s="4"/>
      <c r="H615" s="5"/>
      <c r="I615" s="5"/>
      <c r="J615" s="6"/>
      <c r="K615" s="5"/>
      <c r="L615" s="3"/>
      <c r="M615" s="6"/>
      <c r="N615" s="5"/>
      <c r="O615" s="5"/>
    </row>
    <row r="616" spans="1:15" ht="15.6">
      <c r="A616" s="36"/>
      <c r="B616" s="4"/>
      <c r="C616" s="5"/>
      <c r="D616" s="4"/>
      <c r="E616" s="4"/>
      <c r="F616" s="4"/>
      <c r="G616" s="4"/>
      <c r="H616" s="5"/>
      <c r="I616" s="5"/>
      <c r="J616" s="6"/>
      <c r="K616" s="5"/>
      <c r="L616" s="3"/>
      <c r="M616" s="6"/>
      <c r="N616" s="5"/>
      <c r="O616" s="5"/>
    </row>
    <row r="617" spans="1:15" ht="15.6">
      <c r="A617" s="36"/>
      <c r="B617" s="4"/>
      <c r="C617" s="5"/>
      <c r="D617" s="4"/>
      <c r="E617" s="4"/>
      <c r="F617" s="4"/>
      <c r="G617" s="4"/>
      <c r="H617" s="5"/>
      <c r="I617" s="5"/>
      <c r="J617" s="6"/>
      <c r="K617" s="5"/>
      <c r="L617" s="3"/>
      <c r="M617" s="6"/>
      <c r="N617" s="5"/>
      <c r="O617" s="5"/>
    </row>
    <row r="618" spans="1:15" ht="15.6">
      <c r="A618" s="36"/>
      <c r="B618" s="4"/>
      <c r="C618" s="5"/>
      <c r="D618" s="4"/>
      <c r="E618" s="4"/>
      <c r="F618" s="4"/>
      <c r="G618" s="4"/>
      <c r="H618" s="5"/>
      <c r="I618" s="5"/>
      <c r="J618" s="6"/>
      <c r="K618" s="5"/>
      <c r="L618" s="3"/>
      <c r="M618" s="6"/>
      <c r="N618" s="5"/>
      <c r="O618" s="5"/>
    </row>
    <row r="619" spans="1:15" ht="15.6">
      <c r="A619" s="36"/>
      <c r="B619" s="4"/>
      <c r="C619" s="5"/>
      <c r="D619" s="4"/>
      <c r="E619" s="4"/>
      <c r="F619" s="4"/>
      <c r="G619" s="4"/>
      <c r="H619" s="5"/>
      <c r="I619" s="5"/>
      <c r="J619" s="6"/>
      <c r="K619" s="5"/>
      <c r="L619" s="3"/>
      <c r="M619" s="6"/>
      <c r="N619" s="5"/>
      <c r="O619" s="5"/>
    </row>
    <row r="620" spans="1:15" ht="15.6">
      <c r="A620" s="36"/>
      <c r="B620" s="4"/>
      <c r="C620" s="5"/>
      <c r="D620" s="4"/>
      <c r="E620" s="4"/>
      <c r="F620" s="4"/>
      <c r="G620" s="4"/>
      <c r="H620" s="5"/>
      <c r="I620" s="5"/>
      <c r="J620" s="6"/>
      <c r="K620" s="5"/>
      <c r="L620" s="3"/>
      <c r="M620" s="6"/>
      <c r="N620" s="5"/>
      <c r="O620" s="5"/>
    </row>
    <row r="621" spans="1:15" ht="15.6">
      <c r="A621" s="36"/>
      <c r="B621" s="4"/>
      <c r="C621" s="5"/>
      <c r="D621" s="4"/>
      <c r="E621" s="4"/>
      <c r="F621" s="4"/>
      <c r="G621" s="4"/>
      <c r="H621" s="5"/>
      <c r="I621" s="5"/>
      <c r="J621" s="6"/>
      <c r="K621" s="5"/>
      <c r="L621" s="3"/>
      <c r="M621" s="6"/>
      <c r="N621" s="5"/>
      <c r="O621" s="5"/>
    </row>
    <row r="622" spans="1:15" ht="15.6">
      <c r="A622" s="36"/>
      <c r="B622" s="4"/>
      <c r="C622" s="5"/>
      <c r="D622" s="4"/>
      <c r="E622" s="4"/>
      <c r="F622" s="4"/>
      <c r="G622" s="4"/>
      <c r="H622" s="5"/>
      <c r="I622" s="5"/>
      <c r="J622" s="6"/>
      <c r="K622" s="5"/>
      <c r="L622" s="3"/>
      <c r="M622" s="6"/>
      <c r="N622" s="5"/>
      <c r="O622" s="5"/>
    </row>
    <row r="623" spans="1:15" ht="15.6">
      <c r="A623" s="36"/>
      <c r="B623" s="4"/>
      <c r="C623" s="5"/>
      <c r="D623" s="4"/>
      <c r="E623" s="4"/>
      <c r="F623" s="4"/>
      <c r="G623" s="4"/>
      <c r="H623" s="5"/>
      <c r="I623" s="5"/>
      <c r="J623" s="6"/>
      <c r="K623" s="5"/>
      <c r="L623" s="3"/>
      <c r="M623" s="6"/>
      <c r="N623" s="5"/>
      <c r="O623" s="5"/>
    </row>
    <row r="624" spans="1:15" ht="15.6">
      <c r="A624" s="36"/>
      <c r="B624" s="4"/>
      <c r="C624" s="5"/>
      <c r="D624" s="4"/>
      <c r="E624" s="4"/>
      <c r="F624" s="4"/>
      <c r="G624" s="4"/>
      <c r="H624" s="5"/>
      <c r="I624" s="5"/>
      <c r="J624" s="6"/>
      <c r="K624" s="5"/>
      <c r="L624" s="3"/>
      <c r="M624" s="6"/>
      <c r="N624" s="5"/>
      <c r="O624" s="5"/>
    </row>
    <row r="625" spans="1:15" ht="15.6">
      <c r="A625" s="36"/>
      <c r="B625" s="4"/>
      <c r="C625" s="5"/>
      <c r="D625" s="4"/>
      <c r="E625" s="4"/>
      <c r="F625" s="4"/>
      <c r="G625" s="4"/>
      <c r="H625" s="5"/>
      <c r="I625" s="5"/>
      <c r="J625" s="6"/>
      <c r="K625" s="5"/>
      <c r="L625" s="3"/>
      <c r="M625" s="6"/>
      <c r="N625" s="5"/>
      <c r="O625" s="5"/>
    </row>
    <row r="626" spans="1:15" ht="15.6">
      <c r="A626" s="36"/>
      <c r="B626" s="4"/>
      <c r="C626" s="5"/>
      <c r="D626" s="4"/>
      <c r="E626" s="4"/>
      <c r="F626" s="4"/>
      <c r="G626" s="4"/>
      <c r="H626" s="5"/>
      <c r="I626" s="5"/>
      <c r="J626" s="6"/>
      <c r="K626" s="5"/>
      <c r="L626" s="3"/>
      <c r="M626" s="6"/>
      <c r="N626" s="5"/>
      <c r="O626" s="5"/>
    </row>
    <row r="627" spans="1:15" ht="15.6">
      <c r="A627" s="36"/>
      <c r="B627" s="4"/>
      <c r="C627" s="5"/>
      <c r="D627" s="4"/>
      <c r="E627" s="4"/>
      <c r="F627" s="4"/>
      <c r="G627" s="4"/>
      <c r="H627" s="5"/>
      <c r="I627" s="5"/>
      <c r="J627" s="6"/>
      <c r="K627" s="5"/>
      <c r="L627" s="3"/>
      <c r="M627" s="6"/>
      <c r="N627" s="5"/>
      <c r="O627" s="5"/>
    </row>
    <row r="628" spans="1:15" ht="15.6">
      <c r="A628" s="36"/>
      <c r="B628" s="4"/>
      <c r="C628" s="5"/>
      <c r="D628" s="4"/>
      <c r="E628" s="4"/>
      <c r="F628" s="4"/>
      <c r="G628" s="4"/>
      <c r="H628" s="5"/>
      <c r="I628" s="5"/>
      <c r="J628" s="6"/>
      <c r="K628" s="5"/>
      <c r="L628" s="3"/>
      <c r="M628" s="6"/>
      <c r="N628" s="5"/>
      <c r="O628" s="5"/>
    </row>
    <row r="629" spans="1:15" ht="15.6">
      <c r="A629" s="36"/>
      <c r="B629" s="4"/>
      <c r="C629" s="5"/>
      <c r="D629" s="4"/>
      <c r="E629" s="4"/>
      <c r="F629" s="4"/>
      <c r="G629" s="4"/>
      <c r="H629" s="5"/>
      <c r="I629" s="5"/>
      <c r="J629" s="6"/>
      <c r="K629" s="5"/>
      <c r="L629" s="3"/>
      <c r="M629" s="6"/>
      <c r="N629" s="5"/>
      <c r="O629" s="5"/>
    </row>
    <row r="630" spans="1:15" ht="15.6">
      <c r="A630" s="36"/>
      <c r="B630" s="4"/>
      <c r="C630" s="5"/>
      <c r="D630" s="4"/>
      <c r="E630" s="4"/>
      <c r="F630" s="4"/>
      <c r="G630" s="4"/>
      <c r="H630" s="5"/>
      <c r="I630" s="5"/>
      <c r="J630" s="6"/>
      <c r="K630" s="5"/>
      <c r="L630" s="3"/>
      <c r="M630" s="6"/>
      <c r="N630" s="5"/>
      <c r="O630" s="5"/>
    </row>
    <row r="631" spans="1:15" ht="15.6">
      <c r="A631" s="36"/>
      <c r="B631" s="4"/>
      <c r="C631" s="5"/>
      <c r="D631" s="4"/>
      <c r="E631" s="4"/>
      <c r="F631" s="4"/>
      <c r="G631" s="4"/>
      <c r="H631" s="5"/>
      <c r="I631" s="5"/>
      <c r="J631" s="6"/>
      <c r="K631" s="5"/>
      <c r="L631" s="3"/>
      <c r="M631" s="6"/>
      <c r="N631" s="5"/>
      <c r="O631" s="5"/>
    </row>
    <row r="632" spans="1:15" ht="15.6">
      <c r="A632" s="36"/>
      <c r="B632" s="4"/>
      <c r="C632" s="5"/>
      <c r="D632" s="4"/>
      <c r="E632" s="4"/>
      <c r="F632" s="4"/>
      <c r="G632" s="4"/>
      <c r="H632" s="5"/>
      <c r="I632" s="5"/>
      <c r="J632" s="6"/>
      <c r="K632" s="5"/>
      <c r="L632" s="3"/>
      <c r="M632" s="6"/>
      <c r="N632" s="5"/>
      <c r="O632" s="5"/>
    </row>
    <row r="633" spans="1:15" ht="15.6">
      <c r="A633" s="36"/>
      <c r="B633" s="4"/>
      <c r="C633" s="5"/>
      <c r="D633" s="4"/>
      <c r="E633" s="4"/>
      <c r="F633" s="4"/>
      <c r="G633" s="4"/>
      <c r="H633" s="5"/>
      <c r="I633" s="5"/>
      <c r="J633" s="6"/>
      <c r="K633" s="5"/>
      <c r="L633" s="3"/>
      <c r="M633" s="6"/>
      <c r="N633" s="5"/>
      <c r="O633" s="5"/>
    </row>
    <row r="634" spans="1:15" ht="15.6">
      <c r="A634" s="36"/>
      <c r="B634" s="4"/>
      <c r="C634" s="5"/>
      <c r="D634" s="4"/>
      <c r="E634" s="4"/>
      <c r="F634" s="4"/>
      <c r="G634" s="4"/>
      <c r="H634" s="5"/>
      <c r="I634" s="5"/>
      <c r="J634" s="6"/>
      <c r="K634" s="5"/>
      <c r="L634" s="3"/>
      <c r="M634" s="6"/>
      <c r="N634" s="5"/>
      <c r="O634" s="5"/>
    </row>
    <row r="635" spans="1:15" ht="15.6">
      <c r="A635" s="36"/>
      <c r="B635" s="4"/>
      <c r="C635" s="5"/>
      <c r="D635" s="4"/>
      <c r="E635" s="4"/>
      <c r="F635" s="4"/>
      <c r="G635" s="4"/>
      <c r="H635" s="5"/>
      <c r="I635" s="5"/>
      <c r="J635" s="6"/>
      <c r="K635" s="5"/>
      <c r="L635" s="3"/>
      <c r="M635" s="6"/>
      <c r="N635" s="5"/>
      <c r="O635" s="5"/>
    </row>
    <row r="636" spans="1:15" ht="15.6">
      <c r="A636" s="36"/>
      <c r="B636" s="4"/>
      <c r="C636" s="5"/>
      <c r="D636" s="4"/>
      <c r="E636" s="4"/>
      <c r="F636" s="4"/>
      <c r="G636" s="4"/>
      <c r="H636" s="5"/>
      <c r="I636" s="5"/>
      <c r="J636" s="6"/>
      <c r="K636" s="5"/>
      <c r="L636" s="3"/>
      <c r="M636" s="6"/>
      <c r="N636" s="5"/>
      <c r="O636" s="5"/>
    </row>
    <row r="637" spans="1:15" ht="15.6">
      <c r="A637" s="36"/>
      <c r="B637" s="4"/>
      <c r="C637" s="5"/>
      <c r="D637" s="4"/>
      <c r="E637" s="4"/>
      <c r="F637" s="4"/>
      <c r="G637" s="4"/>
      <c r="H637" s="5"/>
      <c r="I637" s="5"/>
      <c r="J637" s="6"/>
      <c r="K637" s="5"/>
      <c r="L637" s="3"/>
      <c r="M637" s="6"/>
      <c r="N637" s="5"/>
      <c r="O637" s="5"/>
    </row>
    <row r="638" spans="1:15" ht="15.6">
      <c r="A638" s="36"/>
      <c r="B638" s="4"/>
      <c r="C638" s="5"/>
      <c r="D638" s="4"/>
      <c r="E638" s="4"/>
      <c r="F638" s="4"/>
      <c r="G638" s="4"/>
      <c r="H638" s="5"/>
      <c r="I638" s="5"/>
      <c r="J638" s="6"/>
      <c r="K638" s="5"/>
      <c r="L638" s="3"/>
      <c r="M638" s="6"/>
      <c r="N638" s="5"/>
      <c r="O638" s="5"/>
    </row>
    <row r="639" spans="1:15" ht="15.6">
      <c r="A639" s="36"/>
      <c r="B639" s="4"/>
      <c r="C639" s="5"/>
      <c r="D639" s="4"/>
      <c r="E639" s="4"/>
      <c r="F639" s="4"/>
      <c r="G639" s="4"/>
      <c r="H639" s="5"/>
      <c r="I639" s="5"/>
      <c r="J639" s="6"/>
      <c r="K639" s="5"/>
      <c r="L639" s="3"/>
      <c r="M639" s="6"/>
      <c r="N639" s="5"/>
      <c r="O639" s="5"/>
    </row>
    <row r="640" spans="1:15" ht="15.6">
      <c r="A640" s="36"/>
      <c r="B640" s="4"/>
      <c r="C640" s="5"/>
      <c r="D640" s="4"/>
      <c r="E640" s="4"/>
      <c r="F640" s="4"/>
      <c r="G640" s="4"/>
      <c r="H640" s="5"/>
      <c r="I640" s="5"/>
      <c r="J640" s="6"/>
      <c r="K640" s="5"/>
      <c r="L640" s="3"/>
      <c r="M640" s="6"/>
      <c r="N640" s="5"/>
      <c r="O640" s="5"/>
    </row>
    <row r="641" spans="1:15" ht="15.6">
      <c r="A641" s="36"/>
      <c r="B641" s="4"/>
      <c r="C641" s="5"/>
      <c r="D641" s="4"/>
      <c r="E641" s="4"/>
      <c r="F641" s="4"/>
      <c r="G641" s="4"/>
      <c r="H641" s="5"/>
      <c r="I641" s="5"/>
      <c r="J641" s="6"/>
      <c r="K641" s="5"/>
      <c r="L641" s="3"/>
      <c r="M641" s="6"/>
      <c r="N641" s="5"/>
      <c r="O641" s="5"/>
    </row>
    <row r="642" spans="1:15" ht="15.6">
      <c r="A642" s="36"/>
      <c r="B642" s="4"/>
      <c r="C642" s="5"/>
      <c r="D642" s="4"/>
      <c r="E642" s="4"/>
      <c r="F642" s="4"/>
      <c r="G642" s="4"/>
      <c r="H642" s="5"/>
      <c r="I642" s="5"/>
      <c r="J642" s="6"/>
      <c r="K642" s="5"/>
      <c r="L642" s="3"/>
      <c r="M642" s="6"/>
      <c r="N642" s="5"/>
      <c r="O642" s="5"/>
    </row>
    <row r="643" spans="1:15" ht="15.6">
      <c r="A643" s="36"/>
      <c r="B643" s="4"/>
      <c r="C643" s="5"/>
      <c r="D643" s="4"/>
      <c r="E643" s="4"/>
      <c r="F643" s="4"/>
      <c r="G643" s="4"/>
      <c r="H643" s="5"/>
      <c r="I643" s="5"/>
      <c r="J643" s="6"/>
      <c r="K643" s="5"/>
      <c r="L643" s="3"/>
      <c r="M643" s="6"/>
      <c r="N643" s="5"/>
      <c r="O643" s="5"/>
    </row>
    <row r="644" spans="1:15" ht="15.6">
      <c r="A644" s="36"/>
      <c r="B644" s="4"/>
      <c r="C644" s="5"/>
      <c r="D644" s="4"/>
      <c r="E644" s="4"/>
      <c r="F644" s="4"/>
      <c r="G644" s="4"/>
      <c r="H644" s="5"/>
      <c r="I644" s="5"/>
      <c r="J644" s="6"/>
      <c r="K644" s="5"/>
      <c r="L644" s="3"/>
      <c r="M644" s="6"/>
      <c r="N644" s="5"/>
      <c r="O644" s="5"/>
    </row>
    <row r="645" spans="1:15" ht="15.6">
      <c r="A645" s="36"/>
      <c r="B645" s="4"/>
      <c r="C645" s="5"/>
      <c r="D645" s="4"/>
      <c r="E645" s="4"/>
      <c r="F645" s="4"/>
      <c r="G645" s="4"/>
      <c r="H645" s="5"/>
      <c r="I645" s="5"/>
      <c r="J645" s="6"/>
      <c r="K645" s="5"/>
      <c r="L645" s="3"/>
      <c r="M645" s="6"/>
      <c r="N645" s="5"/>
      <c r="O645" s="5"/>
    </row>
    <row r="646" spans="1:15" ht="15.6">
      <c r="A646" s="36"/>
      <c r="B646" s="4"/>
      <c r="C646" s="5"/>
      <c r="D646" s="4"/>
      <c r="E646" s="4"/>
      <c r="F646" s="4"/>
      <c r="G646" s="4"/>
      <c r="H646" s="5"/>
      <c r="I646" s="5"/>
      <c r="J646" s="6"/>
      <c r="K646" s="5"/>
      <c r="L646" s="3"/>
      <c r="M646" s="6"/>
      <c r="N646" s="5"/>
      <c r="O646" s="5"/>
    </row>
    <row r="647" spans="1:15" ht="15.6">
      <c r="A647" s="36"/>
      <c r="B647" s="4"/>
      <c r="C647" s="5"/>
      <c r="D647" s="4"/>
      <c r="E647" s="4"/>
      <c r="F647" s="4"/>
      <c r="G647" s="4"/>
      <c r="H647" s="5"/>
      <c r="I647" s="5"/>
      <c r="J647" s="6"/>
      <c r="K647" s="5"/>
      <c r="L647" s="3"/>
      <c r="M647" s="6"/>
      <c r="N647" s="5"/>
      <c r="O647" s="5"/>
    </row>
    <row r="648" spans="1:15" ht="15.6">
      <c r="A648" s="36"/>
      <c r="B648" s="4"/>
      <c r="C648" s="5"/>
      <c r="D648" s="4"/>
      <c r="E648" s="4"/>
      <c r="F648" s="4"/>
      <c r="G648" s="4"/>
      <c r="H648" s="5"/>
      <c r="I648" s="5"/>
      <c r="J648" s="6"/>
      <c r="K648" s="5"/>
      <c r="L648" s="3"/>
      <c r="M648" s="6"/>
      <c r="N648" s="5"/>
      <c r="O648" s="5"/>
    </row>
    <row r="649" spans="1:15" ht="15.6">
      <c r="A649" s="36"/>
      <c r="B649" s="4"/>
      <c r="C649" s="5"/>
      <c r="D649" s="4"/>
      <c r="E649" s="4"/>
      <c r="F649" s="4"/>
      <c r="G649" s="4"/>
      <c r="H649" s="5"/>
      <c r="I649" s="5"/>
      <c r="J649" s="6"/>
      <c r="K649" s="5"/>
      <c r="L649" s="3"/>
      <c r="M649" s="6"/>
      <c r="N649" s="5"/>
      <c r="O649" s="5"/>
    </row>
    <row r="650" spans="1:15" ht="15.6">
      <c r="A650" s="36"/>
      <c r="B650" s="4"/>
      <c r="C650" s="5"/>
      <c r="D650" s="4"/>
      <c r="E650" s="4"/>
      <c r="F650" s="4"/>
      <c r="G650" s="4"/>
      <c r="H650" s="5"/>
      <c r="I650" s="5"/>
      <c r="J650" s="6"/>
      <c r="K650" s="5"/>
      <c r="L650" s="3"/>
      <c r="M650" s="6"/>
      <c r="N650" s="5"/>
      <c r="O650" s="5"/>
    </row>
    <row r="651" spans="1:15" ht="15.6">
      <c r="A651" s="36"/>
      <c r="B651" s="4"/>
      <c r="C651" s="5"/>
      <c r="D651" s="4"/>
      <c r="E651" s="4"/>
      <c r="F651" s="4"/>
      <c r="G651" s="4"/>
      <c r="H651" s="5"/>
      <c r="I651" s="5"/>
      <c r="J651" s="6"/>
      <c r="K651" s="5"/>
      <c r="L651" s="3"/>
      <c r="M651" s="6"/>
      <c r="N651" s="5"/>
      <c r="O651" s="5"/>
    </row>
    <row r="652" spans="1:15" ht="15.6">
      <c r="A652" s="36"/>
      <c r="B652" s="4"/>
      <c r="C652" s="5"/>
      <c r="D652" s="4"/>
      <c r="E652" s="4"/>
      <c r="F652" s="4"/>
      <c r="G652" s="4"/>
      <c r="H652" s="5"/>
      <c r="I652" s="5"/>
      <c r="J652" s="6"/>
      <c r="K652" s="5"/>
      <c r="L652" s="3"/>
      <c r="M652" s="6"/>
      <c r="N652" s="5"/>
      <c r="O652" s="5"/>
    </row>
    <row r="653" spans="1:15" ht="15.6">
      <c r="A653" s="36"/>
      <c r="B653" s="4"/>
      <c r="C653" s="5"/>
      <c r="D653" s="4"/>
      <c r="E653" s="4"/>
      <c r="F653" s="4"/>
      <c r="G653" s="4"/>
      <c r="H653" s="5"/>
      <c r="I653" s="5"/>
      <c r="J653" s="6"/>
      <c r="K653" s="5"/>
      <c r="L653" s="3"/>
      <c r="M653" s="6"/>
      <c r="N653" s="5"/>
      <c r="O653" s="5"/>
    </row>
    <row r="654" spans="1:15" ht="15.6">
      <c r="A654" s="36"/>
      <c r="B654" s="4"/>
      <c r="C654" s="5"/>
      <c r="D654" s="4"/>
      <c r="E654" s="4"/>
      <c r="F654" s="4"/>
      <c r="G654" s="4"/>
      <c r="H654" s="5"/>
      <c r="I654" s="5"/>
      <c r="J654" s="6"/>
      <c r="K654" s="5"/>
      <c r="L654" s="3"/>
      <c r="M654" s="6"/>
      <c r="N654" s="5"/>
      <c r="O654" s="5"/>
    </row>
    <row r="655" spans="1:15" ht="15.6">
      <c r="A655" s="36"/>
      <c r="B655" s="4"/>
      <c r="C655" s="5"/>
      <c r="D655" s="4"/>
      <c r="E655" s="4"/>
      <c r="F655" s="4"/>
      <c r="G655" s="4"/>
      <c r="H655" s="5"/>
      <c r="I655" s="5"/>
      <c r="J655" s="6"/>
      <c r="K655" s="5"/>
      <c r="L655" s="3"/>
      <c r="M655" s="6"/>
      <c r="N655" s="5"/>
      <c r="O655" s="5"/>
    </row>
    <row r="656" spans="1:15" ht="15.6">
      <c r="A656" s="36"/>
      <c r="B656" s="4"/>
      <c r="C656" s="5"/>
      <c r="D656" s="4"/>
      <c r="E656" s="4"/>
      <c r="F656" s="4"/>
      <c r="G656" s="4"/>
      <c r="H656" s="5"/>
      <c r="I656" s="5"/>
      <c r="J656" s="6"/>
      <c r="K656" s="5"/>
      <c r="L656" s="3"/>
      <c r="M656" s="6"/>
      <c r="N656" s="5"/>
      <c r="O656" s="5"/>
    </row>
    <row r="657" spans="1:15" ht="15.6">
      <c r="A657" s="36"/>
      <c r="B657" s="4"/>
      <c r="C657" s="5"/>
      <c r="D657" s="4"/>
      <c r="E657" s="4"/>
      <c r="F657" s="4"/>
      <c r="G657" s="4"/>
      <c r="H657" s="5"/>
      <c r="I657" s="5"/>
      <c r="J657" s="6"/>
      <c r="K657" s="5"/>
      <c r="L657" s="3"/>
      <c r="M657" s="6"/>
      <c r="N657" s="5"/>
      <c r="O657" s="5"/>
    </row>
    <row r="658" spans="1:15" ht="15.6">
      <c r="A658" s="36"/>
      <c r="B658" s="4"/>
      <c r="C658" s="5"/>
      <c r="D658" s="4"/>
      <c r="E658" s="4"/>
      <c r="F658" s="4"/>
      <c r="G658" s="4"/>
      <c r="H658" s="5"/>
      <c r="I658" s="5"/>
      <c r="J658" s="6"/>
      <c r="K658" s="5"/>
      <c r="L658" s="3"/>
      <c r="M658" s="6"/>
      <c r="N658" s="5"/>
      <c r="O658" s="5"/>
    </row>
    <row r="659" spans="1:15" ht="15.6">
      <c r="A659" s="36"/>
      <c r="B659" s="4"/>
      <c r="C659" s="5"/>
      <c r="D659" s="4"/>
      <c r="E659" s="4"/>
      <c r="F659" s="4"/>
      <c r="G659" s="4"/>
      <c r="H659" s="5"/>
      <c r="I659" s="5"/>
      <c r="J659" s="6"/>
      <c r="K659" s="5"/>
      <c r="L659" s="3"/>
      <c r="M659" s="6"/>
      <c r="N659" s="5"/>
      <c r="O659" s="5"/>
    </row>
    <row r="660" spans="1:15" ht="15.6">
      <c r="A660" s="36"/>
      <c r="B660" s="4"/>
      <c r="C660" s="5"/>
      <c r="D660" s="4"/>
      <c r="E660" s="4"/>
      <c r="F660" s="4"/>
      <c r="G660" s="4"/>
      <c r="H660" s="5"/>
      <c r="I660" s="5"/>
      <c r="J660" s="6"/>
      <c r="K660" s="5"/>
      <c r="L660" s="3"/>
      <c r="M660" s="6"/>
      <c r="N660" s="5"/>
      <c r="O660" s="5"/>
    </row>
    <row r="661" spans="1:15" ht="15.6">
      <c r="A661" s="36"/>
      <c r="B661" s="4"/>
      <c r="C661" s="5"/>
      <c r="D661" s="4"/>
      <c r="E661" s="4"/>
      <c r="F661" s="4"/>
      <c r="G661" s="4"/>
      <c r="H661" s="5"/>
      <c r="I661" s="5"/>
      <c r="J661" s="6"/>
      <c r="K661" s="5"/>
      <c r="L661" s="3"/>
      <c r="M661" s="6"/>
      <c r="N661" s="5"/>
      <c r="O661" s="5"/>
    </row>
    <row r="662" spans="1:15" ht="15.6">
      <c r="A662" s="36"/>
      <c r="B662" s="4"/>
      <c r="C662" s="5"/>
      <c r="D662" s="4"/>
      <c r="E662" s="4"/>
      <c r="F662" s="4"/>
      <c r="G662" s="4"/>
      <c r="H662" s="5"/>
      <c r="I662" s="5"/>
      <c r="J662" s="6"/>
      <c r="K662" s="5"/>
      <c r="L662" s="3"/>
      <c r="M662" s="6"/>
      <c r="N662" s="5"/>
      <c r="O662" s="5"/>
    </row>
    <row r="663" spans="1:15" ht="15.6">
      <c r="A663" s="36"/>
      <c r="B663" s="4"/>
      <c r="C663" s="5"/>
      <c r="D663" s="4"/>
      <c r="E663" s="4"/>
      <c r="F663" s="4"/>
      <c r="G663" s="4"/>
      <c r="H663" s="5"/>
      <c r="I663" s="5"/>
      <c r="J663" s="6"/>
      <c r="K663" s="5"/>
      <c r="L663" s="3"/>
      <c r="M663" s="6"/>
      <c r="N663" s="5"/>
      <c r="O663" s="5"/>
    </row>
    <row r="664" spans="1:15" ht="15.6">
      <c r="A664" s="36"/>
      <c r="B664" s="4"/>
      <c r="C664" s="5"/>
      <c r="D664" s="4"/>
      <c r="E664" s="4"/>
      <c r="F664" s="4"/>
      <c r="G664" s="4"/>
      <c r="H664" s="5"/>
      <c r="I664" s="5"/>
      <c r="J664" s="6"/>
      <c r="K664" s="5"/>
      <c r="L664" s="3"/>
      <c r="M664" s="6"/>
      <c r="N664" s="5"/>
      <c r="O664" s="5"/>
    </row>
    <row r="665" spans="1:15" ht="15.6">
      <c r="A665" s="36"/>
      <c r="B665" s="4"/>
      <c r="C665" s="5"/>
      <c r="D665" s="4"/>
      <c r="E665" s="4"/>
      <c r="F665" s="4"/>
      <c r="G665" s="4"/>
      <c r="H665" s="5"/>
      <c r="I665" s="5"/>
      <c r="J665" s="6"/>
      <c r="K665" s="5"/>
      <c r="L665" s="3"/>
      <c r="M665" s="6"/>
      <c r="N665" s="5"/>
      <c r="O665" s="5"/>
    </row>
    <row r="666" spans="1:15" ht="15.6">
      <c r="A666" s="36"/>
      <c r="B666" s="4"/>
      <c r="C666" s="5"/>
      <c r="D666" s="4"/>
      <c r="E666" s="4"/>
      <c r="F666" s="4"/>
      <c r="G666" s="4"/>
      <c r="H666" s="5"/>
      <c r="I666" s="5"/>
      <c r="J666" s="6"/>
      <c r="K666" s="5"/>
      <c r="L666" s="3"/>
      <c r="M666" s="6"/>
      <c r="N666" s="5"/>
      <c r="O666" s="5"/>
    </row>
    <row r="667" spans="1:15" ht="15.6">
      <c r="A667" s="36"/>
      <c r="B667" s="4"/>
      <c r="C667" s="5"/>
      <c r="D667" s="4"/>
      <c r="E667" s="4"/>
      <c r="F667" s="4"/>
      <c r="G667" s="4"/>
      <c r="H667" s="5"/>
      <c r="I667" s="5"/>
      <c r="J667" s="6"/>
      <c r="K667" s="5"/>
      <c r="L667" s="3"/>
      <c r="M667" s="6"/>
      <c r="N667" s="5"/>
      <c r="O667" s="5"/>
    </row>
    <row r="668" spans="1:15" ht="15.6">
      <c r="A668" s="36"/>
      <c r="B668" s="4"/>
      <c r="C668" s="5"/>
      <c r="D668" s="4"/>
      <c r="E668" s="4"/>
      <c r="F668" s="4"/>
      <c r="G668" s="4"/>
      <c r="H668" s="5"/>
      <c r="I668" s="5"/>
      <c r="J668" s="6"/>
      <c r="K668" s="5"/>
      <c r="L668" s="3"/>
      <c r="M668" s="6"/>
      <c r="N668" s="5"/>
      <c r="O668" s="5"/>
    </row>
    <row r="669" spans="1:15" ht="15.6">
      <c r="A669" s="36"/>
      <c r="B669" s="4"/>
      <c r="C669" s="5"/>
      <c r="D669" s="4"/>
      <c r="E669" s="4"/>
      <c r="F669" s="4"/>
      <c r="G669" s="4"/>
      <c r="H669" s="5"/>
      <c r="I669" s="5"/>
      <c r="J669" s="6"/>
      <c r="K669" s="5"/>
      <c r="L669" s="3"/>
      <c r="M669" s="6"/>
      <c r="N669" s="5"/>
      <c r="O669" s="5"/>
    </row>
    <row r="670" spans="1:15" ht="15.6">
      <c r="A670" s="36"/>
      <c r="B670" s="4"/>
      <c r="C670" s="5"/>
      <c r="D670" s="4"/>
      <c r="E670" s="4"/>
      <c r="F670" s="4"/>
      <c r="G670" s="4"/>
      <c r="H670" s="5"/>
      <c r="I670" s="5"/>
      <c r="J670" s="6"/>
      <c r="K670" s="5"/>
      <c r="L670" s="3"/>
      <c r="M670" s="6"/>
      <c r="N670" s="5"/>
      <c r="O670" s="5"/>
    </row>
    <row r="671" spans="1:15" ht="15.6">
      <c r="A671" s="36"/>
      <c r="B671" s="4"/>
      <c r="C671" s="5"/>
      <c r="D671" s="4"/>
      <c r="E671" s="4"/>
      <c r="F671" s="4"/>
      <c r="G671" s="4"/>
      <c r="H671" s="5"/>
      <c r="I671" s="5"/>
      <c r="J671" s="6"/>
      <c r="K671" s="5"/>
      <c r="L671" s="3"/>
      <c r="M671" s="6"/>
      <c r="N671" s="5"/>
      <c r="O671" s="5"/>
    </row>
    <row r="672" spans="1:15" ht="15.6">
      <c r="A672" s="36"/>
      <c r="B672" s="4"/>
      <c r="C672" s="5"/>
      <c r="D672" s="4"/>
      <c r="E672" s="4"/>
      <c r="F672" s="4"/>
      <c r="G672" s="4"/>
      <c r="H672" s="5"/>
      <c r="I672" s="5"/>
      <c r="J672" s="6"/>
      <c r="K672" s="5"/>
      <c r="L672" s="3"/>
      <c r="M672" s="6"/>
      <c r="N672" s="5"/>
      <c r="O672" s="5"/>
    </row>
    <row r="673" spans="1:15" ht="15.6">
      <c r="A673" s="36"/>
      <c r="B673" s="4"/>
      <c r="C673" s="5"/>
      <c r="D673" s="4"/>
      <c r="E673" s="4"/>
      <c r="F673" s="4"/>
      <c r="G673" s="4"/>
      <c r="H673" s="5"/>
      <c r="I673" s="5"/>
      <c r="J673" s="6"/>
      <c r="K673" s="5"/>
      <c r="L673" s="3"/>
      <c r="M673" s="6"/>
      <c r="N673" s="5"/>
      <c r="O673" s="5"/>
    </row>
    <row r="674" spans="1:15" ht="15.6">
      <c r="A674" s="36"/>
      <c r="B674" s="4"/>
      <c r="C674" s="5"/>
      <c r="D674" s="4"/>
      <c r="E674" s="4"/>
      <c r="F674" s="4"/>
      <c r="G674" s="4"/>
      <c r="H674" s="5"/>
      <c r="I674" s="5"/>
      <c r="J674" s="6"/>
      <c r="K674" s="5"/>
      <c r="L674" s="3"/>
      <c r="M674" s="6"/>
      <c r="N674" s="5"/>
      <c r="O674" s="5"/>
    </row>
    <row r="675" spans="1:15" ht="15.6">
      <c r="A675" s="36"/>
      <c r="B675" s="4"/>
      <c r="C675" s="5"/>
      <c r="D675" s="4"/>
      <c r="E675" s="4"/>
      <c r="F675" s="4"/>
      <c r="G675" s="4"/>
      <c r="H675" s="5"/>
      <c r="I675" s="5"/>
      <c r="J675" s="6"/>
      <c r="K675" s="5"/>
      <c r="L675" s="3"/>
      <c r="M675" s="6"/>
      <c r="N675" s="5"/>
      <c r="O675" s="5"/>
    </row>
    <row r="676" spans="1:15" ht="15.6">
      <c r="A676" s="36"/>
      <c r="B676" s="4"/>
      <c r="C676" s="5"/>
      <c r="D676" s="4"/>
      <c r="E676" s="4"/>
      <c r="F676" s="4"/>
      <c r="G676" s="4"/>
      <c r="H676" s="5"/>
      <c r="I676" s="5"/>
      <c r="J676" s="6"/>
      <c r="K676" s="5"/>
      <c r="L676" s="3"/>
      <c r="M676" s="6"/>
      <c r="N676" s="5"/>
      <c r="O676" s="5"/>
    </row>
    <row r="677" spans="1:15" ht="15.6">
      <c r="A677" s="36"/>
      <c r="B677" s="4"/>
      <c r="C677" s="5"/>
      <c r="D677" s="4"/>
      <c r="E677" s="4"/>
      <c r="F677" s="4"/>
      <c r="G677" s="4"/>
      <c r="H677" s="5"/>
      <c r="I677" s="5"/>
      <c r="J677" s="6"/>
      <c r="K677" s="5"/>
      <c r="L677" s="3"/>
      <c r="M677" s="6"/>
      <c r="N677" s="5"/>
      <c r="O677" s="5"/>
    </row>
    <row r="678" spans="1:15" ht="15.6">
      <c r="A678" s="36"/>
      <c r="B678" s="4"/>
      <c r="C678" s="5"/>
      <c r="D678" s="4"/>
      <c r="E678" s="4"/>
      <c r="F678" s="4"/>
      <c r="G678" s="4"/>
      <c r="H678" s="5"/>
      <c r="I678" s="5"/>
      <c r="J678" s="6"/>
      <c r="K678" s="5"/>
      <c r="L678" s="3"/>
      <c r="M678" s="6"/>
      <c r="N678" s="5"/>
      <c r="O678" s="5"/>
    </row>
    <row r="679" spans="1:15" ht="15.6">
      <c r="A679" s="36"/>
      <c r="B679" s="4"/>
      <c r="C679" s="5"/>
      <c r="D679" s="4"/>
      <c r="E679" s="4"/>
      <c r="F679" s="4"/>
      <c r="G679" s="4"/>
      <c r="H679" s="5"/>
      <c r="I679" s="5"/>
      <c r="J679" s="6"/>
      <c r="K679" s="5"/>
      <c r="L679" s="3"/>
      <c r="M679" s="6"/>
      <c r="N679" s="5"/>
      <c r="O679" s="5"/>
    </row>
    <row r="680" spans="1:15" ht="15.6">
      <c r="A680" s="36"/>
      <c r="B680" s="4"/>
      <c r="C680" s="5"/>
      <c r="D680" s="4"/>
      <c r="E680" s="4"/>
      <c r="F680" s="4"/>
      <c r="G680" s="4"/>
      <c r="H680" s="5"/>
      <c r="I680" s="5"/>
      <c r="J680" s="6"/>
      <c r="K680" s="5"/>
      <c r="L680" s="3"/>
      <c r="M680" s="6"/>
      <c r="N680" s="5"/>
      <c r="O680" s="5"/>
    </row>
    <row r="681" spans="1:15" ht="15.6">
      <c r="A681" s="36"/>
      <c r="B681" s="4"/>
      <c r="C681" s="5"/>
      <c r="D681" s="4"/>
      <c r="E681" s="4"/>
      <c r="F681" s="4"/>
      <c r="G681" s="4"/>
      <c r="H681" s="5"/>
      <c r="I681" s="5"/>
      <c r="J681" s="6"/>
      <c r="K681" s="5"/>
      <c r="L681" s="3"/>
      <c r="M681" s="6"/>
      <c r="N681" s="5"/>
      <c r="O681" s="5"/>
    </row>
    <row r="682" spans="1:15" ht="15.6">
      <c r="A682" s="36"/>
      <c r="B682" s="4"/>
      <c r="C682" s="5"/>
      <c r="D682" s="4"/>
      <c r="E682" s="4"/>
      <c r="F682" s="4"/>
      <c r="G682" s="4"/>
      <c r="H682" s="5"/>
      <c r="I682" s="5"/>
      <c r="J682" s="6"/>
      <c r="K682" s="5"/>
      <c r="L682" s="3"/>
      <c r="M682" s="6"/>
      <c r="N682" s="5"/>
      <c r="O682" s="5"/>
    </row>
    <row r="683" spans="1:15" ht="15.6">
      <c r="A683" s="36"/>
      <c r="B683" s="4"/>
      <c r="C683" s="5"/>
      <c r="D683" s="4"/>
      <c r="E683" s="4"/>
      <c r="F683" s="4"/>
      <c r="G683" s="4"/>
      <c r="H683" s="5"/>
      <c r="I683" s="5"/>
      <c r="J683" s="6"/>
      <c r="K683" s="5"/>
      <c r="L683" s="3"/>
      <c r="M683" s="6"/>
      <c r="N683" s="5"/>
      <c r="O683" s="5"/>
    </row>
    <row r="684" spans="1:15" ht="15.6">
      <c r="A684" s="36"/>
      <c r="B684" s="4"/>
      <c r="C684" s="5"/>
      <c r="D684" s="4"/>
      <c r="E684" s="4"/>
      <c r="F684" s="4"/>
      <c r="G684" s="4"/>
      <c r="H684" s="5"/>
      <c r="I684" s="5"/>
      <c r="J684" s="6"/>
      <c r="K684" s="5"/>
      <c r="L684" s="3"/>
      <c r="M684" s="6"/>
      <c r="N684" s="5"/>
      <c r="O684" s="5"/>
    </row>
    <row r="685" spans="1:15" ht="15.6">
      <c r="A685" s="36"/>
      <c r="B685" s="4"/>
      <c r="C685" s="5"/>
      <c r="D685" s="4"/>
      <c r="E685" s="4"/>
      <c r="F685" s="4"/>
      <c r="G685" s="4"/>
      <c r="H685" s="5"/>
      <c r="I685" s="5"/>
      <c r="J685" s="6"/>
      <c r="K685" s="5"/>
      <c r="L685" s="3"/>
      <c r="M685" s="6"/>
      <c r="N685" s="5"/>
      <c r="O685" s="5"/>
    </row>
    <row r="686" spans="1:15" ht="15.6">
      <c r="A686" s="36"/>
      <c r="B686" s="4"/>
      <c r="C686" s="5"/>
      <c r="D686" s="4"/>
      <c r="E686" s="4"/>
      <c r="F686" s="4"/>
      <c r="G686" s="4"/>
      <c r="H686" s="5"/>
      <c r="I686" s="5"/>
      <c r="J686" s="6"/>
      <c r="K686" s="5"/>
      <c r="L686" s="3"/>
      <c r="M686" s="6"/>
      <c r="N686" s="5"/>
      <c r="O686" s="5"/>
    </row>
    <row r="687" spans="1:15" ht="15.6">
      <c r="A687" s="36"/>
      <c r="B687" s="4"/>
      <c r="C687" s="5"/>
      <c r="D687" s="4"/>
      <c r="E687" s="4"/>
      <c r="F687" s="4"/>
      <c r="G687" s="4"/>
      <c r="H687" s="5"/>
      <c r="I687" s="5"/>
      <c r="J687" s="6"/>
      <c r="K687" s="5"/>
      <c r="L687" s="3"/>
      <c r="M687" s="6"/>
      <c r="N687" s="5"/>
      <c r="O687" s="5"/>
    </row>
    <row r="688" spans="1:15" ht="15.6">
      <c r="A688" s="36"/>
      <c r="B688" s="4"/>
      <c r="C688" s="5"/>
      <c r="D688" s="4"/>
      <c r="E688" s="4"/>
      <c r="F688" s="4"/>
      <c r="G688" s="4"/>
      <c r="H688" s="5"/>
      <c r="I688" s="5"/>
      <c r="J688" s="6"/>
      <c r="K688" s="5"/>
      <c r="L688" s="3"/>
      <c r="M688" s="6"/>
      <c r="N688" s="5"/>
      <c r="O688" s="5"/>
    </row>
    <row r="689" spans="1:15" ht="15.6">
      <c r="A689" s="36"/>
      <c r="B689" s="4"/>
      <c r="C689" s="5"/>
      <c r="D689" s="4"/>
      <c r="E689" s="4"/>
      <c r="F689" s="4"/>
      <c r="G689" s="4"/>
      <c r="H689" s="5"/>
      <c r="I689" s="5"/>
      <c r="J689" s="6"/>
      <c r="K689" s="5"/>
      <c r="L689" s="3"/>
      <c r="M689" s="6"/>
      <c r="N689" s="5"/>
      <c r="O689" s="5"/>
    </row>
    <row r="690" spans="1:15" ht="15.6">
      <c r="A690" s="36"/>
      <c r="B690" s="4"/>
      <c r="C690" s="5"/>
      <c r="D690" s="4"/>
      <c r="E690" s="4"/>
      <c r="F690" s="4"/>
      <c r="G690" s="4"/>
      <c r="H690" s="5"/>
      <c r="I690" s="5"/>
      <c r="J690" s="6"/>
      <c r="K690" s="5"/>
      <c r="L690" s="3"/>
      <c r="M690" s="6"/>
      <c r="N690" s="5"/>
      <c r="O690" s="5"/>
    </row>
    <row r="691" spans="1:15" ht="15.6">
      <c r="A691" s="36"/>
      <c r="B691" s="4"/>
      <c r="C691" s="5"/>
      <c r="D691" s="4"/>
      <c r="E691" s="4"/>
      <c r="F691" s="4"/>
      <c r="G691" s="4"/>
      <c r="H691" s="5"/>
      <c r="I691" s="5"/>
      <c r="J691" s="6"/>
      <c r="K691" s="5"/>
      <c r="L691" s="3"/>
      <c r="M691" s="6"/>
      <c r="N691" s="5"/>
      <c r="O691" s="5"/>
    </row>
    <row r="692" spans="1:15" ht="15.6">
      <c r="A692" s="36"/>
      <c r="B692" s="4"/>
      <c r="C692" s="5"/>
      <c r="D692" s="4"/>
      <c r="E692" s="4"/>
      <c r="F692" s="4"/>
      <c r="G692" s="4"/>
      <c r="H692" s="5"/>
      <c r="I692" s="5"/>
      <c r="J692" s="6"/>
      <c r="K692" s="5"/>
      <c r="L692" s="3"/>
      <c r="M692" s="6"/>
      <c r="N692" s="5"/>
      <c r="O692" s="5"/>
    </row>
    <row r="693" spans="1:15" ht="15.6">
      <c r="A693" s="36"/>
      <c r="B693" s="4"/>
      <c r="C693" s="5"/>
      <c r="D693" s="4"/>
      <c r="E693" s="4"/>
      <c r="F693" s="4"/>
      <c r="G693" s="4"/>
      <c r="H693" s="5"/>
      <c r="I693" s="5"/>
      <c r="J693" s="6"/>
      <c r="K693" s="5"/>
      <c r="L693" s="3"/>
      <c r="M693" s="6"/>
      <c r="N693" s="5"/>
      <c r="O693" s="5"/>
    </row>
    <row r="694" spans="1:15" ht="15.6">
      <c r="A694" s="36"/>
      <c r="B694" s="4"/>
      <c r="C694" s="5"/>
      <c r="D694" s="4"/>
      <c r="E694" s="4"/>
      <c r="F694" s="4"/>
      <c r="G694" s="4"/>
      <c r="H694" s="5"/>
      <c r="I694" s="5"/>
      <c r="J694" s="6"/>
      <c r="K694" s="5"/>
      <c r="L694" s="3"/>
      <c r="M694" s="6"/>
      <c r="N694" s="5"/>
      <c r="O694" s="5"/>
    </row>
    <row r="695" spans="1:15" ht="15.6">
      <c r="A695" s="36"/>
      <c r="B695" s="4"/>
      <c r="C695" s="5"/>
      <c r="D695" s="4"/>
      <c r="E695" s="4"/>
      <c r="F695" s="4"/>
      <c r="G695" s="4"/>
      <c r="H695" s="5"/>
      <c r="I695" s="5"/>
      <c r="J695" s="6"/>
      <c r="K695" s="5"/>
      <c r="L695" s="3"/>
      <c r="M695" s="6"/>
      <c r="N695" s="5"/>
      <c r="O695" s="5"/>
    </row>
    <row r="696" spans="1:15" ht="15.6">
      <c r="A696" s="36"/>
      <c r="B696" s="4"/>
      <c r="C696" s="5"/>
      <c r="D696" s="4"/>
      <c r="E696" s="4"/>
      <c r="F696" s="4"/>
      <c r="G696" s="4"/>
      <c r="H696" s="5"/>
      <c r="I696" s="5"/>
      <c r="J696" s="6"/>
      <c r="K696" s="5"/>
      <c r="L696" s="3"/>
      <c r="M696" s="6"/>
      <c r="N696" s="5"/>
      <c r="O696" s="5"/>
    </row>
    <row r="697" spans="1:15" ht="15.6">
      <c r="A697" s="36"/>
      <c r="B697" s="4"/>
      <c r="C697" s="5"/>
      <c r="D697" s="4"/>
      <c r="E697" s="4"/>
      <c r="F697" s="4"/>
      <c r="G697" s="4"/>
      <c r="H697" s="5"/>
      <c r="I697" s="5"/>
      <c r="J697" s="6"/>
      <c r="K697" s="5"/>
      <c r="L697" s="3"/>
      <c r="M697" s="6"/>
      <c r="N697" s="5"/>
      <c r="O697" s="5"/>
    </row>
    <row r="698" spans="1:15" ht="15.6">
      <c r="A698" s="36"/>
      <c r="B698" s="4"/>
      <c r="C698" s="5"/>
      <c r="D698" s="4"/>
      <c r="E698" s="4"/>
      <c r="F698" s="4"/>
      <c r="G698" s="4"/>
      <c r="H698" s="5"/>
      <c r="I698" s="5"/>
      <c r="J698" s="6"/>
      <c r="K698" s="5"/>
      <c r="L698" s="3"/>
      <c r="M698" s="6"/>
      <c r="N698" s="5"/>
      <c r="O698" s="5"/>
    </row>
    <row r="699" spans="1:15" ht="15.6">
      <c r="A699" s="36"/>
      <c r="B699" s="4"/>
      <c r="C699" s="5"/>
      <c r="D699" s="4"/>
      <c r="E699" s="4"/>
      <c r="F699" s="4"/>
      <c r="G699" s="4"/>
      <c r="H699" s="5"/>
      <c r="I699" s="5"/>
      <c r="J699" s="6"/>
      <c r="K699" s="5"/>
      <c r="L699" s="3"/>
      <c r="M699" s="6"/>
      <c r="N699" s="5"/>
      <c r="O699" s="5"/>
    </row>
    <row r="700" spans="1:15" ht="15.6">
      <c r="A700" s="36"/>
      <c r="B700" s="4"/>
      <c r="C700" s="5"/>
      <c r="D700" s="4"/>
      <c r="E700" s="4"/>
      <c r="F700" s="4"/>
      <c r="G700" s="4"/>
      <c r="H700" s="5"/>
      <c r="I700" s="5"/>
      <c r="J700" s="6"/>
      <c r="K700" s="5"/>
      <c r="L700" s="3"/>
      <c r="M700" s="6"/>
      <c r="N700" s="5"/>
      <c r="O700" s="5"/>
    </row>
    <row r="701" spans="1:15" ht="15.6">
      <c r="A701" s="36"/>
      <c r="B701" s="4"/>
      <c r="C701" s="5"/>
      <c r="D701" s="4"/>
      <c r="E701" s="4"/>
      <c r="F701" s="4"/>
      <c r="G701" s="4"/>
      <c r="H701" s="5"/>
      <c r="I701" s="5"/>
      <c r="J701" s="6"/>
      <c r="K701" s="5"/>
      <c r="L701" s="3"/>
      <c r="M701" s="6"/>
      <c r="N701" s="5"/>
      <c r="O701" s="5"/>
    </row>
    <row r="702" spans="1:15" ht="15.6">
      <c r="A702" s="36"/>
      <c r="B702" s="4"/>
      <c r="C702" s="5"/>
      <c r="D702" s="4"/>
      <c r="E702" s="4"/>
      <c r="F702" s="4"/>
      <c r="G702" s="4"/>
      <c r="H702" s="5"/>
      <c r="I702" s="5"/>
      <c r="J702" s="6"/>
      <c r="K702" s="5"/>
      <c r="L702" s="3"/>
      <c r="M702" s="6"/>
      <c r="N702" s="5"/>
      <c r="O702" s="5"/>
    </row>
    <row r="703" spans="1:15" ht="15.6">
      <c r="A703" s="36"/>
      <c r="B703" s="4"/>
      <c r="C703" s="5"/>
      <c r="D703" s="4"/>
      <c r="E703" s="4"/>
      <c r="F703" s="4"/>
      <c r="G703" s="4"/>
      <c r="H703" s="5"/>
      <c r="I703" s="5"/>
      <c r="J703" s="6"/>
      <c r="K703" s="5"/>
      <c r="L703" s="3"/>
      <c r="M703" s="6"/>
      <c r="N703" s="5"/>
      <c r="O703" s="5"/>
    </row>
    <row r="704" spans="1:15" ht="15.6">
      <c r="A704" s="36"/>
      <c r="B704" s="4"/>
      <c r="C704" s="5"/>
      <c r="D704" s="4"/>
      <c r="E704" s="4"/>
      <c r="F704" s="4"/>
      <c r="G704" s="4"/>
      <c r="H704" s="5"/>
      <c r="I704" s="5"/>
      <c r="J704" s="6"/>
      <c r="K704" s="5"/>
      <c r="L704" s="3"/>
      <c r="M704" s="6"/>
      <c r="N704" s="5"/>
      <c r="O704" s="5"/>
    </row>
    <row r="705" spans="1:15" ht="15.6">
      <c r="A705" s="36"/>
      <c r="B705" s="4"/>
      <c r="C705" s="5"/>
      <c r="D705" s="4"/>
      <c r="E705" s="4"/>
      <c r="F705" s="4"/>
      <c r="G705" s="4"/>
      <c r="H705" s="5"/>
      <c r="I705" s="5"/>
      <c r="J705" s="6"/>
      <c r="K705" s="5"/>
      <c r="L705" s="3"/>
      <c r="M705" s="6"/>
      <c r="N705" s="5"/>
      <c r="O705" s="5"/>
    </row>
    <row r="706" spans="1:15" ht="15.6">
      <c r="A706" s="36"/>
      <c r="B706" s="4"/>
      <c r="C706" s="5"/>
      <c r="D706" s="4"/>
      <c r="E706" s="4"/>
      <c r="F706" s="4"/>
      <c r="G706" s="4"/>
      <c r="H706" s="5"/>
      <c r="I706" s="5"/>
      <c r="J706" s="6"/>
      <c r="K706" s="5"/>
      <c r="L706" s="3"/>
      <c r="M706" s="6"/>
      <c r="N706" s="5"/>
      <c r="O706" s="5"/>
    </row>
    <row r="707" spans="1:15" ht="15.6">
      <c r="A707" s="36"/>
      <c r="B707" s="4"/>
      <c r="C707" s="5"/>
      <c r="D707" s="4"/>
      <c r="E707" s="4"/>
      <c r="F707" s="4"/>
      <c r="G707" s="4"/>
      <c r="H707" s="5"/>
      <c r="I707" s="5"/>
      <c r="J707" s="6"/>
      <c r="K707" s="5"/>
      <c r="L707" s="3"/>
      <c r="M707" s="6"/>
      <c r="N707" s="5"/>
      <c r="O707" s="5"/>
    </row>
    <row r="708" spans="1:15" ht="15.6">
      <c r="A708" s="36"/>
      <c r="B708" s="4"/>
      <c r="C708" s="5"/>
      <c r="D708" s="4"/>
      <c r="E708" s="4"/>
      <c r="F708" s="4"/>
      <c r="G708" s="4"/>
      <c r="H708" s="5"/>
      <c r="I708" s="5"/>
      <c r="J708" s="6"/>
      <c r="K708" s="5"/>
      <c r="L708" s="3"/>
      <c r="M708" s="6"/>
      <c r="N708" s="5"/>
      <c r="O708" s="5"/>
    </row>
    <row r="709" spans="1:15" ht="15.6">
      <c r="A709" s="36"/>
      <c r="B709" s="4"/>
      <c r="C709" s="5"/>
      <c r="D709" s="4"/>
      <c r="E709" s="4"/>
      <c r="F709" s="4"/>
      <c r="G709" s="4"/>
      <c r="H709" s="5"/>
      <c r="I709" s="5"/>
      <c r="J709" s="6"/>
      <c r="K709" s="5"/>
      <c r="L709" s="3"/>
      <c r="M709" s="6"/>
      <c r="N709" s="5"/>
      <c r="O709" s="5"/>
    </row>
    <row r="710" spans="1:15" ht="15.6">
      <c r="A710" s="36"/>
      <c r="B710" s="4"/>
      <c r="C710" s="5"/>
      <c r="D710" s="4"/>
      <c r="E710" s="4"/>
      <c r="F710" s="4"/>
      <c r="G710" s="4"/>
      <c r="H710" s="5"/>
      <c r="I710" s="5"/>
      <c r="J710" s="6"/>
      <c r="K710" s="5"/>
      <c r="L710" s="3"/>
      <c r="M710" s="6"/>
      <c r="N710" s="5"/>
      <c r="O710" s="5"/>
    </row>
    <row r="711" spans="1:15" ht="15.6">
      <c r="A711" s="36"/>
      <c r="B711" s="4"/>
      <c r="C711" s="5"/>
      <c r="D711" s="4"/>
      <c r="E711" s="4"/>
      <c r="F711" s="4"/>
      <c r="G711" s="4"/>
      <c r="H711" s="5"/>
      <c r="I711" s="5"/>
      <c r="J711" s="6"/>
      <c r="K711" s="5"/>
      <c r="L711" s="3"/>
      <c r="M711" s="6"/>
      <c r="N711" s="5"/>
      <c r="O711" s="5"/>
    </row>
    <row r="712" spans="1:15" ht="15.6">
      <c r="A712" s="36"/>
      <c r="B712" s="4"/>
      <c r="C712" s="5"/>
      <c r="D712" s="4"/>
      <c r="E712" s="4"/>
      <c r="F712" s="4"/>
      <c r="G712" s="4"/>
      <c r="H712" s="5"/>
      <c r="I712" s="5"/>
      <c r="J712" s="6"/>
      <c r="K712" s="5"/>
      <c r="L712" s="3"/>
      <c r="M712" s="6"/>
      <c r="N712" s="5"/>
      <c r="O712" s="5"/>
    </row>
    <row r="713" spans="1:15" ht="15.6">
      <c r="A713" s="36"/>
      <c r="B713" s="4"/>
      <c r="C713" s="5"/>
      <c r="D713" s="4"/>
      <c r="E713" s="4"/>
      <c r="F713" s="4"/>
      <c r="G713" s="4"/>
      <c r="H713" s="5"/>
      <c r="I713" s="5"/>
      <c r="J713" s="6"/>
      <c r="K713" s="5"/>
      <c r="L713" s="3"/>
      <c r="M713" s="6"/>
      <c r="N713" s="5"/>
      <c r="O713" s="5"/>
    </row>
    <row r="714" spans="1:15" ht="15.6">
      <c r="A714" s="36"/>
      <c r="B714" s="4"/>
      <c r="C714" s="5"/>
      <c r="D714" s="4"/>
      <c r="E714" s="4"/>
      <c r="F714" s="4"/>
      <c r="G714" s="4"/>
      <c r="H714" s="5"/>
      <c r="I714" s="5"/>
      <c r="J714" s="6"/>
      <c r="K714" s="5"/>
      <c r="L714" s="3"/>
      <c r="M714" s="6"/>
      <c r="N714" s="5"/>
      <c r="O714" s="5"/>
    </row>
    <row r="715" spans="1:15" ht="15.6">
      <c r="A715" s="36"/>
      <c r="B715" s="4"/>
      <c r="C715" s="5"/>
      <c r="D715" s="4"/>
      <c r="E715" s="4"/>
      <c r="F715" s="4"/>
      <c r="G715" s="4"/>
      <c r="H715" s="5"/>
      <c r="I715" s="5"/>
      <c r="J715" s="6"/>
      <c r="K715" s="5"/>
      <c r="L715" s="3"/>
      <c r="M715" s="6"/>
      <c r="N715" s="5"/>
      <c r="O715" s="5"/>
    </row>
    <row r="716" spans="1:15" ht="15.6">
      <c r="A716" s="36"/>
      <c r="B716" s="4"/>
      <c r="C716" s="5"/>
      <c r="D716" s="4"/>
      <c r="E716" s="4"/>
      <c r="F716" s="4"/>
      <c r="G716" s="4"/>
      <c r="H716" s="5"/>
      <c r="I716" s="5"/>
      <c r="J716" s="6"/>
      <c r="K716" s="5"/>
      <c r="L716" s="3"/>
      <c r="M716" s="6"/>
      <c r="N716" s="5"/>
      <c r="O716" s="5"/>
    </row>
    <row r="717" spans="1:15" ht="15.6">
      <c r="A717" s="36"/>
      <c r="B717" s="4"/>
      <c r="C717" s="5"/>
      <c r="D717" s="4"/>
      <c r="E717" s="4"/>
      <c r="F717" s="4"/>
      <c r="G717" s="4"/>
      <c r="H717" s="5"/>
      <c r="I717" s="5"/>
      <c r="J717" s="6"/>
      <c r="K717" s="5"/>
      <c r="L717" s="3"/>
      <c r="M717" s="6"/>
      <c r="N717" s="5"/>
      <c r="O717" s="5"/>
    </row>
    <row r="718" spans="1:15" ht="15.6">
      <c r="A718" s="36"/>
      <c r="B718" s="4"/>
      <c r="C718" s="5"/>
      <c r="D718" s="4"/>
      <c r="E718" s="4"/>
      <c r="F718" s="4"/>
      <c r="G718" s="4"/>
      <c r="H718" s="5"/>
      <c r="I718" s="5"/>
      <c r="J718" s="6"/>
      <c r="K718" s="5"/>
      <c r="L718" s="3"/>
      <c r="M718" s="6"/>
      <c r="N718" s="5"/>
      <c r="O718" s="5"/>
    </row>
    <row r="719" spans="1:15" ht="15.6">
      <c r="A719" s="36"/>
      <c r="B719" s="4"/>
      <c r="C719" s="5"/>
      <c r="D719" s="4"/>
      <c r="E719" s="4"/>
      <c r="F719" s="4"/>
      <c r="G719" s="4"/>
      <c r="H719" s="5"/>
      <c r="I719" s="5"/>
      <c r="J719" s="6"/>
      <c r="K719" s="5"/>
      <c r="L719" s="3"/>
      <c r="M719" s="6"/>
      <c r="N719" s="5"/>
      <c r="O719" s="5"/>
    </row>
    <row r="720" spans="1:15" ht="15.6">
      <c r="A720" s="36"/>
      <c r="B720" s="4"/>
      <c r="C720" s="5"/>
      <c r="D720" s="4"/>
      <c r="E720" s="4"/>
      <c r="F720" s="4"/>
      <c r="G720" s="4"/>
      <c r="H720" s="5"/>
      <c r="I720" s="5"/>
      <c r="J720" s="6"/>
      <c r="K720" s="5"/>
      <c r="L720" s="3"/>
      <c r="M720" s="6"/>
      <c r="N720" s="5"/>
      <c r="O720" s="5"/>
    </row>
    <row r="721" spans="1:15" ht="15.6">
      <c r="A721" s="36"/>
      <c r="B721" s="4"/>
      <c r="C721" s="5"/>
      <c r="D721" s="4"/>
      <c r="E721" s="4"/>
      <c r="F721" s="4"/>
      <c r="G721" s="4"/>
      <c r="H721" s="5"/>
      <c r="I721" s="5"/>
      <c r="J721" s="6"/>
      <c r="K721" s="5"/>
      <c r="L721" s="3"/>
      <c r="M721" s="6"/>
      <c r="N721" s="5"/>
      <c r="O721" s="5"/>
    </row>
    <row r="722" spans="1:15" ht="15.6">
      <c r="A722" s="36"/>
      <c r="B722" s="4"/>
      <c r="C722" s="5"/>
      <c r="D722" s="4"/>
      <c r="E722" s="4"/>
      <c r="F722" s="4"/>
      <c r="G722" s="4"/>
      <c r="H722" s="5"/>
      <c r="I722" s="5"/>
      <c r="J722" s="6"/>
      <c r="K722" s="5"/>
      <c r="L722" s="3"/>
      <c r="M722" s="6"/>
      <c r="N722" s="5"/>
      <c r="O722" s="5"/>
    </row>
    <row r="723" spans="1:15" ht="15.6">
      <c r="A723" s="36"/>
      <c r="B723" s="4"/>
      <c r="C723" s="5"/>
      <c r="D723" s="4"/>
      <c r="E723" s="4"/>
      <c r="F723" s="4"/>
      <c r="G723" s="4"/>
      <c r="H723" s="5"/>
      <c r="I723" s="5"/>
      <c r="J723" s="6"/>
      <c r="K723" s="5"/>
      <c r="L723" s="3"/>
      <c r="M723" s="6"/>
      <c r="N723" s="5"/>
      <c r="O723" s="5"/>
    </row>
    <row r="724" spans="1:15" ht="15.6">
      <c r="A724" s="36"/>
      <c r="B724" s="4"/>
      <c r="C724" s="5"/>
      <c r="D724" s="4"/>
      <c r="E724" s="4"/>
      <c r="F724" s="4"/>
      <c r="G724" s="4"/>
      <c r="H724" s="5"/>
      <c r="I724" s="5"/>
      <c r="J724" s="6"/>
      <c r="K724" s="5"/>
      <c r="L724" s="3"/>
      <c r="M724" s="6"/>
      <c r="N724" s="5"/>
      <c r="O724" s="5"/>
    </row>
    <row r="725" spans="1:15" ht="15.6">
      <c r="A725" s="36"/>
      <c r="B725" s="4"/>
      <c r="C725" s="5"/>
      <c r="D725" s="4"/>
      <c r="E725" s="4"/>
      <c r="F725" s="4"/>
      <c r="G725" s="4"/>
      <c r="H725" s="5"/>
      <c r="I725" s="5"/>
      <c r="J725" s="6"/>
      <c r="K725" s="5"/>
      <c r="L725" s="3"/>
      <c r="M725" s="6"/>
      <c r="N725" s="5"/>
      <c r="O725" s="5"/>
    </row>
    <row r="726" spans="1:15" ht="15.6">
      <c r="A726" s="36"/>
      <c r="B726" s="4"/>
      <c r="C726" s="5"/>
      <c r="D726" s="4"/>
      <c r="E726" s="4"/>
      <c r="F726" s="4"/>
      <c r="G726" s="4"/>
      <c r="H726" s="5"/>
      <c r="I726" s="5"/>
      <c r="J726" s="6"/>
      <c r="K726" s="5"/>
      <c r="L726" s="3"/>
      <c r="M726" s="6"/>
      <c r="N726" s="5"/>
      <c r="O726" s="5"/>
    </row>
    <row r="727" spans="1:15" ht="15.6">
      <c r="A727" s="36"/>
      <c r="B727" s="4"/>
      <c r="C727" s="5"/>
      <c r="D727" s="4"/>
      <c r="E727" s="4"/>
      <c r="F727" s="4"/>
      <c r="G727" s="4"/>
      <c r="H727" s="5"/>
      <c r="I727" s="5"/>
      <c r="J727" s="6"/>
      <c r="K727" s="5"/>
      <c r="L727" s="3"/>
      <c r="M727" s="6"/>
      <c r="N727" s="5"/>
      <c r="O727" s="5"/>
    </row>
    <row r="728" spans="1:15" ht="15.6">
      <c r="A728" s="36"/>
      <c r="B728" s="4"/>
      <c r="C728" s="5"/>
      <c r="D728" s="4"/>
      <c r="E728" s="4"/>
      <c r="F728" s="4"/>
      <c r="G728" s="4"/>
      <c r="H728" s="5"/>
      <c r="I728" s="5"/>
      <c r="J728" s="6"/>
      <c r="K728" s="5"/>
      <c r="L728" s="3"/>
      <c r="M728" s="6"/>
      <c r="N728" s="5"/>
      <c r="O728" s="5"/>
    </row>
    <row r="729" spans="1:15" ht="15.6">
      <c r="A729" s="36"/>
      <c r="B729" s="4"/>
      <c r="C729" s="5"/>
      <c r="D729" s="4"/>
      <c r="E729" s="4"/>
      <c r="F729" s="4"/>
      <c r="G729" s="4"/>
      <c r="H729" s="5"/>
      <c r="I729" s="5"/>
      <c r="J729" s="6"/>
      <c r="K729" s="5"/>
      <c r="L729" s="3"/>
      <c r="M729" s="6"/>
      <c r="N729" s="5"/>
      <c r="O729" s="5"/>
    </row>
    <row r="730" spans="1:15" ht="15.6">
      <c r="A730" s="36"/>
      <c r="B730" s="4"/>
      <c r="C730" s="5"/>
      <c r="D730" s="4"/>
      <c r="E730" s="4"/>
      <c r="F730" s="4"/>
      <c r="G730" s="4"/>
      <c r="H730" s="5"/>
      <c r="I730" s="5"/>
      <c r="J730" s="6"/>
      <c r="K730" s="5"/>
      <c r="L730" s="3"/>
      <c r="M730" s="6"/>
      <c r="N730" s="5"/>
      <c r="O730" s="5"/>
    </row>
    <row r="731" spans="1:15" ht="15.6">
      <c r="A731" s="36"/>
      <c r="B731" s="4"/>
      <c r="C731" s="5"/>
      <c r="D731" s="4"/>
      <c r="E731" s="4"/>
      <c r="F731" s="4"/>
      <c r="G731" s="4"/>
      <c r="H731" s="5"/>
      <c r="I731" s="5"/>
      <c r="J731" s="6"/>
      <c r="K731" s="5"/>
      <c r="L731" s="3"/>
      <c r="M731" s="6"/>
      <c r="N731" s="5"/>
      <c r="O731" s="5"/>
    </row>
    <row r="732" spans="1:15" ht="15.6">
      <c r="A732" s="36"/>
      <c r="B732" s="4"/>
      <c r="C732" s="5"/>
      <c r="D732" s="4"/>
      <c r="E732" s="4"/>
      <c r="F732" s="4"/>
      <c r="G732" s="4"/>
      <c r="H732" s="5"/>
      <c r="I732" s="5"/>
      <c r="J732" s="6"/>
      <c r="K732" s="5"/>
      <c r="L732" s="3"/>
      <c r="M732" s="6"/>
      <c r="N732" s="5"/>
      <c r="O732" s="5"/>
    </row>
    <row r="733" spans="1:15" ht="15.6">
      <c r="A733" s="36"/>
      <c r="B733" s="4"/>
      <c r="C733" s="5"/>
      <c r="D733" s="4"/>
      <c r="E733" s="4"/>
      <c r="F733" s="4"/>
      <c r="G733" s="4"/>
      <c r="H733" s="5"/>
      <c r="I733" s="5"/>
      <c r="J733" s="6"/>
      <c r="K733" s="5"/>
      <c r="L733" s="3"/>
      <c r="M733" s="6"/>
      <c r="N733" s="5"/>
      <c r="O733" s="5"/>
    </row>
    <row r="734" spans="1:15" ht="15.6">
      <c r="A734" s="36"/>
      <c r="B734" s="4"/>
      <c r="C734" s="5"/>
      <c r="D734" s="4"/>
      <c r="E734" s="4"/>
      <c r="F734" s="4"/>
      <c r="G734" s="4"/>
      <c r="H734" s="5"/>
      <c r="I734" s="5"/>
      <c r="J734" s="6"/>
      <c r="K734" s="5"/>
      <c r="L734" s="3"/>
      <c r="M734" s="6"/>
      <c r="N734" s="5"/>
      <c r="O734" s="5"/>
    </row>
    <row r="735" spans="1:15" ht="15.6">
      <c r="A735" s="36"/>
      <c r="B735" s="4"/>
      <c r="C735" s="5"/>
      <c r="D735" s="4"/>
      <c r="E735" s="4"/>
      <c r="F735" s="4"/>
      <c r="G735" s="4"/>
      <c r="H735" s="5"/>
      <c r="I735" s="5"/>
      <c r="J735" s="6"/>
      <c r="K735" s="5"/>
      <c r="L735" s="3"/>
      <c r="M735" s="6"/>
      <c r="N735" s="5"/>
      <c r="O735" s="5"/>
    </row>
    <row r="736" spans="1:15" ht="15.6">
      <c r="A736" s="36"/>
      <c r="B736" s="4"/>
      <c r="C736" s="5"/>
      <c r="D736" s="4"/>
      <c r="E736" s="4"/>
      <c r="F736" s="4"/>
      <c r="G736" s="4"/>
      <c r="H736" s="5"/>
      <c r="I736" s="5"/>
      <c r="J736" s="6"/>
      <c r="K736" s="5"/>
      <c r="L736" s="3"/>
      <c r="M736" s="6"/>
      <c r="N736" s="5"/>
      <c r="O736" s="5"/>
    </row>
    <row r="737" spans="1:15" ht="15.6">
      <c r="A737" s="36"/>
      <c r="B737" s="4"/>
      <c r="C737" s="5"/>
      <c r="D737" s="4"/>
      <c r="E737" s="4"/>
      <c r="F737" s="4"/>
      <c r="G737" s="4"/>
      <c r="H737" s="5"/>
      <c r="I737" s="5"/>
      <c r="J737" s="6"/>
      <c r="K737" s="5"/>
      <c r="L737" s="3"/>
      <c r="M737" s="6"/>
      <c r="N737" s="5"/>
      <c r="O737" s="5"/>
    </row>
    <row r="738" spans="1:15" ht="15.6">
      <c r="A738" s="36"/>
      <c r="B738" s="4"/>
      <c r="C738" s="5"/>
      <c r="D738" s="4"/>
      <c r="E738" s="4"/>
      <c r="F738" s="4"/>
      <c r="G738" s="4"/>
      <c r="H738" s="5"/>
      <c r="I738" s="5"/>
      <c r="J738" s="6"/>
      <c r="K738" s="5"/>
      <c r="L738" s="3"/>
      <c r="M738" s="6"/>
      <c r="N738" s="5"/>
      <c r="O738" s="5"/>
    </row>
    <row r="739" spans="1:15" ht="15.6">
      <c r="A739" s="36"/>
      <c r="B739" s="4"/>
      <c r="C739" s="5"/>
      <c r="D739" s="4"/>
      <c r="E739" s="4"/>
      <c r="F739" s="4"/>
      <c r="G739" s="4"/>
      <c r="H739" s="5"/>
      <c r="I739" s="5"/>
      <c r="J739" s="6"/>
      <c r="K739" s="5"/>
      <c r="L739" s="3"/>
      <c r="M739" s="6"/>
      <c r="N739" s="5"/>
      <c r="O739" s="5"/>
    </row>
    <row r="740" spans="1:15" ht="15.6">
      <c r="A740" s="36"/>
      <c r="B740" s="4"/>
      <c r="C740" s="5"/>
      <c r="D740" s="4"/>
      <c r="E740" s="4"/>
      <c r="F740" s="4"/>
      <c r="G740" s="4"/>
      <c r="H740" s="5"/>
      <c r="I740" s="5"/>
      <c r="J740" s="6"/>
      <c r="K740" s="5"/>
      <c r="L740" s="3"/>
      <c r="M740" s="6"/>
      <c r="N740" s="5"/>
      <c r="O740" s="5"/>
    </row>
    <row r="741" spans="1:15" ht="15.6">
      <c r="A741" s="36"/>
      <c r="B741" s="4"/>
      <c r="C741" s="5"/>
      <c r="D741" s="4"/>
      <c r="E741" s="4"/>
      <c r="F741" s="4"/>
      <c r="G741" s="4"/>
      <c r="H741" s="5"/>
      <c r="I741" s="5"/>
      <c r="J741" s="6"/>
      <c r="K741" s="5"/>
      <c r="L741" s="3"/>
      <c r="M741" s="6"/>
      <c r="N741" s="5"/>
      <c r="O741" s="5"/>
    </row>
    <row r="742" spans="1:15" ht="15.6">
      <c r="A742" s="36"/>
      <c r="B742" s="4"/>
      <c r="C742" s="5"/>
      <c r="D742" s="4"/>
      <c r="E742" s="4"/>
      <c r="F742" s="4"/>
      <c r="G742" s="4"/>
      <c r="H742" s="5"/>
      <c r="I742" s="5"/>
      <c r="J742" s="6"/>
      <c r="K742" s="5"/>
      <c r="L742" s="3"/>
      <c r="M742" s="6"/>
      <c r="N742" s="5"/>
      <c r="O742" s="5"/>
    </row>
    <row r="743" spans="1:15" ht="15.6">
      <c r="A743" s="36"/>
      <c r="B743" s="4"/>
      <c r="C743" s="5"/>
      <c r="D743" s="4"/>
      <c r="E743" s="4"/>
      <c r="F743" s="4"/>
      <c r="G743" s="4"/>
      <c r="H743" s="5"/>
      <c r="I743" s="5"/>
      <c r="J743" s="6"/>
      <c r="K743" s="5"/>
      <c r="L743" s="3"/>
      <c r="M743" s="6"/>
      <c r="N743" s="5"/>
      <c r="O743" s="5"/>
    </row>
    <row r="744" spans="1:15" ht="15.6">
      <c r="A744" s="36"/>
      <c r="B744" s="4"/>
      <c r="C744" s="5"/>
      <c r="D744" s="4"/>
      <c r="E744" s="4"/>
      <c r="F744" s="4"/>
      <c r="G744" s="4"/>
      <c r="H744" s="5"/>
      <c r="I744" s="5"/>
      <c r="J744" s="6"/>
      <c r="K744" s="5"/>
      <c r="L744" s="3"/>
      <c r="M744" s="6"/>
      <c r="N744" s="5"/>
      <c r="O744" s="5"/>
    </row>
    <row r="745" spans="1:15" ht="15.6">
      <c r="A745" s="36"/>
      <c r="B745" s="4"/>
      <c r="C745" s="5"/>
      <c r="D745" s="4"/>
      <c r="E745" s="4"/>
      <c r="F745" s="4"/>
      <c r="G745" s="4"/>
      <c r="H745" s="5"/>
      <c r="I745" s="5"/>
      <c r="J745" s="6"/>
      <c r="K745" s="5"/>
      <c r="L745" s="3"/>
      <c r="M745" s="6"/>
      <c r="N745" s="5"/>
      <c r="O745" s="5"/>
    </row>
    <row r="746" spans="1:15" ht="15.6">
      <c r="A746" s="36"/>
      <c r="B746" s="4"/>
      <c r="C746" s="5"/>
      <c r="D746" s="4"/>
      <c r="E746" s="4"/>
      <c r="F746" s="4"/>
      <c r="G746" s="4"/>
      <c r="H746" s="5"/>
      <c r="I746" s="5"/>
      <c r="J746" s="6"/>
      <c r="K746" s="5"/>
      <c r="L746" s="3"/>
      <c r="M746" s="6"/>
      <c r="N746" s="5"/>
      <c r="O746" s="5"/>
    </row>
    <row r="747" spans="1:15" ht="15.6">
      <c r="A747" s="36"/>
      <c r="B747" s="4"/>
      <c r="C747" s="5"/>
      <c r="D747" s="4"/>
      <c r="E747" s="4"/>
      <c r="F747" s="4"/>
      <c r="G747" s="4"/>
      <c r="H747" s="5"/>
      <c r="I747" s="5"/>
      <c r="J747" s="6"/>
      <c r="K747" s="5"/>
      <c r="L747" s="3"/>
      <c r="M747" s="6"/>
      <c r="N747" s="5"/>
      <c r="O747" s="5"/>
    </row>
    <row r="748" spans="1:15" ht="15.6">
      <c r="A748" s="36"/>
      <c r="B748" s="4"/>
      <c r="C748" s="5"/>
      <c r="D748" s="4"/>
      <c r="E748" s="4"/>
      <c r="F748" s="4"/>
      <c r="G748" s="4"/>
      <c r="H748" s="5"/>
      <c r="I748" s="5"/>
      <c r="J748" s="6"/>
      <c r="K748" s="5"/>
      <c r="L748" s="3"/>
      <c r="M748" s="6"/>
      <c r="N748" s="5"/>
      <c r="O748" s="5"/>
    </row>
    <row r="749" spans="1:15" ht="15.6">
      <c r="A749" s="36"/>
      <c r="B749" s="4"/>
      <c r="C749" s="5"/>
      <c r="D749" s="4"/>
      <c r="E749" s="4"/>
      <c r="F749" s="4"/>
      <c r="G749" s="4"/>
      <c r="H749" s="5"/>
      <c r="I749" s="5"/>
      <c r="J749" s="6"/>
      <c r="K749" s="5"/>
      <c r="L749" s="3"/>
      <c r="M749" s="6"/>
      <c r="N749" s="5"/>
      <c r="O749" s="5"/>
    </row>
    <row r="750" spans="1:15" ht="15.6">
      <c r="A750" s="36"/>
      <c r="B750" s="4"/>
      <c r="C750" s="5"/>
      <c r="D750" s="4"/>
      <c r="E750" s="4"/>
      <c r="F750" s="4"/>
      <c r="G750" s="4"/>
      <c r="H750" s="5"/>
      <c r="I750" s="5"/>
      <c r="J750" s="6"/>
      <c r="K750" s="5"/>
      <c r="L750" s="3"/>
      <c r="M750" s="6"/>
      <c r="N750" s="5"/>
      <c r="O750" s="5"/>
    </row>
    <row r="751" spans="1:15" ht="15.6">
      <c r="A751" s="36"/>
      <c r="B751" s="4"/>
      <c r="C751" s="5"/>
      <c r="D751" s="4"/>
      <c r="E751" s="4"/>
      <c r="F751" s="4"/>
      <c r="G751" s="4"/>
      <c r="H751" s="5"/>
      <c r="I751" s="5"/>
      <c r="J751" s="6"/>
      <c r="K751" s="5"/>
      <c r="L751" s="3"/>
      <c r="M751" s="6"/>
      <c r="N751" s="5"/>
      <c r="O751" s="5"/>
    </row>
    <row r="752" spans="1:15" ht="15.6">
      <c r="A752" s="36"/>
      <c r="B752" s="4"/>
      <c r="C752" s="5"/>
      <c r="D752" s="4"/>
      <c r="E752" s="4"/>
      <c r="F752" s="4"/>
      <c r="G752" s="4"/>
      <c r="H752" s="5"/>
      <c r="I752" s="5"/>
      <c r="J752" s="6"/>
      <c r="K752" s="5"/>
      <c r="L752" s="3"/>
      <c r="M752" s="6"/>
      <c r="N752" s="5"/>
      <c r="O752" s="5"/>
    </row>
    <row r="753" spans="1:15" ht="15.6">
      <c r="A753" s="36"/>
      <c r="B753" s="4"/>
      <c r="C753" s="5"/>
      <c r="D753" s="4"/>
      <c r="E753" s="4"/>
      <c r="F753" s="4"/>
      <c r="G753" s="4"/>
      <c r="H753" s="5"/>
      <c r="I753" s="5"/>
      <c r="J753" s="6"/>
      <c r="K753" s="5"/>
      <c r="L753" s="3"/>
      <c r="M753" s="6"/>
      <c r="N753" s="5"/>
      <c r="O753" s="5"/>
    </row>
    <row r="754" spans="1:15" ht="15.6">
      <c r="A754" s="36"/>
      <c r="B754" s="4"/>
      <c r="C754" s="5"/>
      <c r="D754" s="4"/>
      <c r="E754" s="4"/>
      <c r="F754" s="4"/>
      <c r="G754" s="4"/>
      <c r="H754" s="5"/>
      <c r="I754" s="5"/>
      <c r="J754" s="6"/>
      <c r="K754" s="5"/>
      <c r="L754" s="3"/>
      <c r="M754" s="6"/>
      <c r="N754" s="5"/>
      <c r="O754" s="5"/>
    </row>
    <row r="755" spans="1:15" ht="15.6">
      <c r="A755" s="36"/>
      <c r="B755" s="4"/>
      <c r="C755" s="5"/>
      <c r="D755" s="4"/>
      <c r="E755" s="4"/>
      <c r="F755" s="4"/>
      <c r="G755" s="4"/>
      <c r="H755" s="5"/>
      <c r="I755" s="5"/>
      <c r="J755" s="6"/>
      <c r="K755" s="5"/>
      <c r="L755" s="3"/>
      <c r="M755" s="6"/>
      <c r="N755" s="5"/>
      <c r="O755" s="5"/>
    </row>
    <row r="756" spans="1:15" ht="15.6">
      <c r="A756" s="36"/>
      <c r="B756" s="4"/>
      <c r="C756" s="5"/>
      <c r="D756" s="4"/>
      <c r="E756" s="4"/>
      <c r="F756" s="4"/>
      <c r="G756" s="4"/>
      <c r="H756" s="5"/>
      <c r="I756" s="5"/>
      <c r="J756" s="6"/>
      <c r="K756" s="5"/>
      <c r="L756" s="3"/>
      <c r="M756" s="6"/>
      <c r="N756" s="5"/>
      <c r="O756" s="5"/>
    </row>
    <row r="757" spans="1:15" ht="15.6">
      <c r="A757" s="36"/>
      <c r="B757" s="4"/>
      <c r="C757" s="5"/>
      <c r="D757" s="4"/>
      <c r="E757" s="4"/>
      <c r="F757" s="4"/>
      <c r="G757" s="4"/>
      <c r="H757" s="5"/>
      <c r="I757" s="5"/>
      <c r="J757" s="6"/>
      <c r="K757" s="5"/>
      <c r="L757" s="3"/>
      <c r="M757" s="6"/>
      <c r="N757" s="5"/>
      <c r="O757" s="5"/>
    </row>
    <row r="758" spans="1:15" ht="15.6">
      <c r="A758" s="36"/>
      <c r="B758" s="4"/>
      <c r="C758" s="5"/>
      <c r="D758" s="4"/>
      <c r="E758" s="4"/>
      <c r="F758" s="4"/>
      <c r="G758" s="4"/>
      <c r="H758" s="5"/>
      <c r="I758" s="5"/>
      <c r="J758" s="6"/>
      <c r="K758" s="5"/>
      <c r="L758" s="3"/>
      <c r="M758" s="6"/>
      <c r="N758" s="5"/>
      <c r="O758" s="5"/>
    </row>
    <row r="759" spans="1:15" ht="15.6">
      <c r="A759" s="36"/>
      <c r="B759" s="4"/>
      <c r="C759" s="5"/>
      <c r="D759" s="4"/>
      <c r="E759" s="4"/>
      <c r="F759" s="4"/>
      <c r="G759" s="4"/>
      <c r="H759" s="5"/>
      <c r="I759" s="5"/>
      <c r="J759" s="6"/>
      <c r="K759" s="5"/>
      <c r="L759" s="3"/>
      <c r="M759" s="6"/>
      <c r="N759" s="5"/>
      <c r="O759" s="5"/>
    </row>
    <row r="760" spans="1:15" ht="15.6">
      <c r="A760" s="36"/>
      <c r="B760" s="4"/>
      <c r="C760" s="5"/>
      <c r="D760" s="4"/>
      <c r="E760" s="4"/>
      <c r="F760" s="4"/>
      <c r="G760" s="4"/>
      <c r="H760" s="5"/>
      <c r="I760" s="5"/>
      <c r="J760" s="6"/>
      <c r="K760" s="5"/>
      <c r="L760" s="3"/>
      <c r="M760" s="6"/>
      <c r="N760" s="5"/>
      <c r="O760" s="5"/>
    </row>
    <row r="761" spans="1:15" ht="15.6">
      <c r="A761" s="36"/>
      <c r="B761" s="4"/>
      <c r="C761" s="5"/>
      <c r="D761" s="4"/>
      <c r="E761" s="4"/>
      <c r="F761" s="4"/>
      <c r="G761" s="4"/>
      <c r="H761" s="5"/>
      <c r="I761" s="5"/>
      <c r="J761" s="6"/>
      <c r="K761" s="5"/>
      <c r="L761" s="3"/>
      <c r="M761" s="6"/>
      <c r="N761" s="5"/>
      <c r="O761" s="5"/>
    </row>
    <row r="762" spans="1:15" ht="15.6">
      <c r="A762" s="36"/>
      <c r="B762" s="4"/>
      <c r="C762" s="5"/>
      <c r="D762" s="4"/>
      <c r="E762" s="4"/>
      <c r="F762" s="4"/>
      <c r="G762" s="4"/>
      <c r="H762" s="5"/>
      <c r="I762" s="5"/>
      <c r="J762" s="6"/>
      <c r="K762" s="5"/>
      <c r="L762" s="3"/>
      <c r="M762" s="6"/>
      <c r="N762" s="5"/>
      <c r="O762" s="5"/>
    </row>
    <row r="763" spans="1:15" ht="15.6">
      <c r="A763" s="36"/>
      <c r="B763" s="4"/>
      <c r="C763" s="5"/>
      <c r="D763" s="4"/>
      <c r="E763" s="4"/>
      <c r="F763" s="4"/>
      <c r="G763" s="4"/>
      <c r="H763" s="5"/>
      <c r="I763" s="5"/>
      <c r="J763" s="6"/>
      <c r="K763" s="5"/>
      <c r="L763" s="3"/>
      <c r="M763" s="6"/>
      <c r="N763" s="5"/>
      <c r="O763" s="5"/>
    </row>
    <row r="764" spans="1:15" ht="15.6">
      <c r="A764" s="36"/>
      <c r="B764" s="4"/>
      <c r="C764" s="5"/>
      <c r="D764" s="4"/>
      <c r="E764" s="4"/>
      <c r="F764" s="4"/>
      <c r="G764" s="4"/>
      <c r="H764" s="5"/>
      <c r="I764" s="5"/>
      <c r="J764" s="6"/>
      <c r="K764" s="5"/>
      <c r="L764" s="3"/>
      <c r="M764" s="6"/>
      <c r="N764" s="5"/>
      <c r="O764" s="5"/>
    </row>
    <row r="765" spans="1:15" ht="15.6">
      <c r="A765" s="36"/>
      <c r="B765" s="4"/>
      <c r="C765" s="5"/>
      <c r="D765" s="4"/>
      <c r="E765" s="4"/>
      <c r="F765" s="4"/>
      <c r="G765" s="4"/>
      <c r="H765" s="5"/>
      <c r="I765" s="5"/>
      <c r="J765" s="6"/>
      <c r="K765" s="5"/>
      <c r="L765" s="3"/>
      <c r="M765" s="6"/>
      <c r="N765" s="5"/>
      <c r="O765" s="5"/>
    </row>
    <row r="766" spans="1:15" ht="15.6">
      <c r="A766" s="36"/>
      <c r="B766" s="4"/>
      <c r="C766" s="5"/>
      <c r="D766" s="4"/>
      <c r="E766" s="4"/>
      <c r="F766" s="4"/>
      <c r="G766" s="4"/>
      <c r="H766" s="5"/>
      <c r="I766" s="5"/>
      <c r="J766" s="6"/>
      <c r="K766" s="5"/>
      <c r="L766" s="3"/>
      <c r="M766" s="6"/>
      <c r="N766" s="5"/>
      <c r="O766" s="5"/>
    </row>
    <row r="767" spans="1:15" ht="15.6">
      <c r="A767" s="36"/>
      <c r="B767" s="4"/>
      <c r="C767" s="5"/>
      <c r="D767" s="4"/>
      <c r="E767" s="4"/>
      <c r="F767" s="4"/>
      <c r="G767" s="4"/>
      <c r="H767" s="5"/>
      <c r="I767" s="5"/>
      <c r="J767" s="6"/>
      <c r="K767" s="5"/>
      <c r="L767" s="3"/>
      <c r="M767" s="6"/>
      <c r="N767" s="5"/>
      <c r="O767" s="5"/>
    </row>
    <row r="768" spans="1:15" ht="15.6">
      <c r="A768" s="36"/>
      <c r="B768" s="4"/>
      <c r="C768" s="5"/>
      <c r="D768" s="4"/>
      <c r="E768" s="4"/>
      <c r="F768" s="4"/>
      <c r="G768" s="4"/>
      <c r="H768" s="5"/>
      <c r="I768" s="5"/>
      <c r="J768" s="6"/>
      <c r="K768" s="5"/>
      <c r="L768" s="3"/>
      <c r="M768" s="6"/>
      <c r="N768" s="5"/>
      <c r="O768" s="5"/>
    </row>
    <row r="769" spans="1:15" ht="15.6">
      <c r="A769" s="36"/>
      <c r="B769" s="4"/>
      <c r="C769" s="5"/>
      <c r="D769" s="4"/>
      <c r="E769" s="4"/>
      <c r="F769" s="4"/>
      <c r="G769" s="4"/>
      <c r="H769" s="5"/>
      <c r="I769" s="5"/>
      <c r="J769" s="6"/>
      <c r="K769" s="5"/>
      <c r="L769" s="3"/>
      <c r="M769" s="6"/>
      <c r="N769" s="5"/>
      <c r="O769" s="5"/>
    </row>
    <row r="770" spans="1:15" ht="15.6">
      <c r="A770" s="36"/>
      <c r="B770" s="4"/>
      <c r="C770" s="5"/>
      <c r="D770" s="4"/>
      <c r="E770" s="4"/>
      <c r="F770" s="4"/>
      <c r="G770" s="4"/>
      <c r="H770" s="5"/>
      <c r="I770" s="5"/>
      <c r="J770" s="6"/>
      <c r="K770" s="5"/>
      <c r="L770" s="3"/>
      <c r="M770" s="6"/>
      <c r="N770" s="5"/>
      <c r="O770" s="5"/>
    </row>
    <row r="771" spans="1:15" ht="15.6">
      <c r="A771" s="36"/>
      <c r="B771" s="4"/>
      <c r="C771" s="5"/>
      <c r="D771" s="4"/>
      <c r="E771" s="4"/>
      <c r="F771" s="4"/>
      <c r="G771" s="4"/>
      <c r="H771" s="5"/>
      <c r="I771" s="5"/>
      <c r="J771" s="6"/>
      <c r="K771" s="5"/>
      <c r="L771" s="3"/>
      <c r="M771" s="6"/>
      <c r="N771" s="5"/>
      <c r="O771" s="5"/>
    </row>
    <row r="772" spans="1:15" ht="15.6">
      <c r="A772" s="36"/>
      <c r="B772" s="4"/>
      <c r="C772" s="5"/>
      <c r="D772" s="4"/>
      <c r="E772" s="4"/>
      <c r="F772" s="4"/>
      <c r="G772" s="4"/>
      <c r="H772" s="5"/>
      <c r="I772" s="5"/>
      <c r="J772" s="6"/>
      <c r="K772" s="5"/>
      <c r="L772" s="3"/>
      <c r="M772" s="6"/>
      <c r="N772" s="5"/>
      <c r="O772" s="5"/>
    </row>
    <row r="773" spans="1:15" ht="15.6">
      <c r="A773" s="36"/>
      <c r="B773" s="4"/>
      <c r="C773" s="5"/>
      <c r="D773" s="4"/>
      <c r="E773" s="4"/>
      <c r="F773" s="4"/>
      <c r="G773" s="4"/>
      <c r="H773" s="5"/>
      <c r="I773" s="5"/>
      <c r="J773" s="6"/>
      <c r="K773" s="5"/>
      <c r="L773" s="3"/>
      <c r="M773" s="6"/>
      <c r="N773" s="5"/>
      <c r="O773" s="5"/>
    </row>
    <row r="774" spans="1:15" ht="15.6">
      <c r="A774" s="36"/>
      <c r="B774" s="4"/>
      <c r="C774" s="5"/>
      <c r="D774" s="4"/>
      <c r="E774" s="4"/>
      <c r="F774" s="4"/>
      <c r="G774" s="4"/>
      <c r="H774" s="5"/>
      <c r="I774" s="5"/>
      <c r="J774" s="6"/>
      <c r="K774" s="5"/>
      <c r="L774" s="3"/>
      <c r="M774" s="6"/>
      <c r="N774" s="5"/>
      <c r="O774" s="5"/>
    </row>
    <row r="775" spans="1:15" ht="15.6">
      <c r="A775" s="36"/>
      <c r="B775" s="4"/>
      <c r="C775" s="5"/>
      <c r="D775" s="4"/>
      <c r="E775" s="4"/>
      <c r="F775" s="4"/>
      <c r="G775" s="4"/>
      <c r="H775" s="5"/>
      <c r="I775" s="5"/>
      <c r="J775" s="6"/>
      <c r="K775" s="5"/>
      <c r="L775" s="3"/>
      <c r="M775" s="6"/>
      <c r="N775" s="5"/>
      <c r="O775" s="5"/>
    </row>
    <row r="776" spans="1:15" ht="15.6">
      <c r="A776" s="36"/>
      <c r="B776" s="4"/>
      <c r="C776" s="5"/>
      <c r="D776" s="4"/>
      <c r="E776" s="4"/>
      <c r="F776" s="4"/>
      <c r="G776" s="4"/>
      <c r="H776" s="5"/>
      <c r="I776" s="5"/>
      <c r="J776" s="6"/>
      <c r="K776" s="5"/>
      <c r="L776" s="3"/>
      <c r="M776" s="6"/>
      <c r="N776" s="5"/>
      <c r="O776" s="5"/>
    </row>
    <row r="777" spans="1:15" ht="15.6">
      <c r="A777" s="36"/>
      <c r="B777" s="4"/>
      <c r="C777" s="5"/>
      <c r="D777" s="4"/>
      <c r="E777" s="4"/>
      <c r="F777" s="4"/>
      <c r="G777" s="4"/>
      <c r="H777" s="5"/>
      <c r="I777" s="5"/>
      <c r="J777" s="6"/>
      <c r="K777" s="5"/>
      <c r="L777" s="3"/>
      <c r="M777" s="6"/>
      <c r="N777" s="5"/>
      <c r="O777" s="5"/>
    </row>
    <row r="778" spans="1:15" ht="15.6">
      <c r="A778" s="36"/>
      <c r="B778" s="4"/>
      <c r="C778" s="5"/>
      <c r="D778" s="4"/>
      <c r="E778" s="4"/>
      <c r="F778" s="4"/>
      <c r="G778" s="4"/>
      <c r="H778" s="5"/>
      <c r="I778" s="5"/>
      <c r="J778" s="6"/>
      <c r="K778" s="5"/>
      <c r="L778" s="3"/>
      <c r="M778" s="6"/>
      <c r="N778" s="5"/>
      <c r="O778" s="5"/>
    </row>
    <row r="779" spans="1:15" ht="15.6">
      <c r="A779" s="36"/>
      <c r="B779" s="4"/>
      <c r="C779" s="5"/>
      <c r="D779" s="4"/>
      <c r="E779" s="4"/>
      <c r="F779" s="4"/>
      <c r="G779" s="4"/>
      <c r="H779" s="5"/>
      <c r="I779" s="5"/>
      <c r="J779" s="6"/>
      <c r="K779" s="5"/>
      <c r="L779" s="3"/>
      <c r="M779" s="6"/>
      <c r="N779" s="5"/>
      <c r="O779" s="5"/>
    </row>
    <row r="780" spans="1:15" ht="15.6">
      <c r="A780" s="36"/>
      <c r="B780" s="4"/>
      <c r="C780" s="5"/>
      <c r="D780" s="4"/>
      <c r="E780" s="4"/>
      <c r="F780" s="4"/>
      <c r="G780" s="4"/>
      <c r="H780" s="5"/>
      <c r="I780" s="5"/>
      <c r="J780" s="6"/>
      <c r="K780" s="5"/>
      <c r="L780" s="3"/>
      <c r="M780" s="6"/>
      <c r="N780" s="5"/>
      <c r="O780" s="5"/>
    </row>
    <row r="781" spans="1:15" ht="15.6">
      <c r="A781" s="36"/>
      <c r="B781" s="4"/>
      <c r="C781" s="5"/>
      <c r="D781" s="4"/>
      <c r="E781" s="4"/>
      <c r="F781" s="4"/>
      <c r="G781" s="4"/>
      <c r="H781" s="5"/>
      <c r="I781" s="5"/>
      <c r="J781" s="6"/>
      <c r="K781" s="5"/>
      <c r="L781" s="3"/>
      <c r="M781" s="6"/>
      <c r="N781" s="5"/>
      <c r="O781" s="5"/>
    </row>
    <row r="782" spans="1:15" ht="15.6">
      <c r="A782" s="36"/>
      <c r="B782" s="4"/>
      <c r="C782" s="5"/>
      <c r="D782" s="4"/>
      <c r="E782" s="4"/>
      <c r="F782" s="4"/>
      <c r="G782" s="4"/>
      <c r="H782" s="5"/>
      <c r="I782" s="5"/>
      <c r="J782" s="6"/>
      <c r="K782" s="5"/>
      <c r="L782" s="3"/>
      <c r="M782" s="6"/>
      <c r="N782" s="5"/>
      <c r="O782" s="5"/>
    </row>
    <row r="783" spans="1:15" ht="15.6">
      <c r="A783" s="36"/>
      <c r="B783" s="4"/>
      <c r="C783" s="5"/>
      <c r="D783" s="4"/>
      <c r="E783" s="4"/>
      <c r="F783" s="4"/>
      <c r="G783" s="4"/>
      <c r="H783" s="5"/>
      <c r="I783" s="5"/>
      <c r="J783" s="6"/>
      <c r="K783" s="5"/>
      <c r="L783" s="3"/>
      <c r="M783" s="6"/>
      <c r="N783" s="5"/>
      <c r="O783" s="5"/>
    </row>
    <row r="784" spans="1:15" ht="15.6">
      <c r="A784" s="36"/>
      <c r="B784" s="4"/>
      <c r="C784" s="5"/>
      <c r="D784" s="4"/>
      <c r="E784" s="4"/>
      <c r="F784" s="4"/>
      <c r="G784" s="4"/>
      <c r="H784" s="5"/>
      <c r="I784" s="5"/>
      <c r="J784" s="6"/>
      <c r="K784" s="5"/>
      <c r="L784" s="3"/>
      <c r="M784" s="6"/>
      <c r="N784" s="5"/>
      <c r="O784" s="5"/>
    </row>
    <row r="785" spans="1:15" ht="15.6">
      <c r="A785" s="36"/>
      <c r="B785" s="4"/>
      <c r="C785" s="5"/>
      <c r="D785" s="4"/>
      <c r="E785" s="4"/>
      <c r="F785" s="4"/>
      <c r="G785" s="4"/>
      <c r="H785" s="5"/>
      <c r="I785" s="5"/>
      <c r="J785" s="6"/>
      <c r="K785" s="5"/>
      <c r="L785" s="3"/>
      <c r="M785" s="6"/>
      <c r="N785" s="5"/>
      <c r="O785" s="5"/>
    </row>
    <row r="786" spans="1:15" ht="15.6">
      <c r="A786" s="36"/>
      <c r="B786" s="4"/>
      <c r="C786" s="5"/>
      <c r="D786" s="4"/>
      <c r="E786" s="4"/>
      <c r="F786" s="4"/>
      <c r="G786" s="4"/>
      <c r="H786" s="5"/>
      <c r="I786" s="5"/>
      <c r="J786" s="6"/>
      <c r="K786" s="5"/>
      <c r="L786" s="3"/>
      <c r="M786" s="6"/>
      <c r="N786" s="5"/>
      <c r="O786" s="5"/>
    </row>
    <row r="787" spans="1:15" ht="15.6">
      <c r="A787" s="36"/>
      <c r="B787" s="4"/>
      <c r="C787" s="5"/>
      <c r="D787" s="4"/>
      <c r="E787" s="4"/>
      <c r="F787" s="4"/>
      <c r="G787" s="4"/>
      <c r="H787" s="5"/>
      <c r="I787" s="5"/>
      <c r="J787" s="6"/>
      <c r="K787" s="5"/>
      <c r="L787" s="3"/>
      <c r="M787" s="6"/>
      <c r="N787" s="5"/>
      <c r="O787" s="5"/>
    </row>
    <row r="788" spans="1:15" ht="15.6">
      <c r="A788" s="36"/>
      <c r="B788" s="4"/>
      <c r="C788" s="5"/>
      <c r="D788" s="4"/>
      <c r="E788" s="4"/>
      <c r="F788" s="4"/>
      <c r="G788" s="4"/>
      <c r="H788" s="5"/>
      <c r="I788" s="5"/>
      <c r="J788" s="6"/>
      <c r="K788" s="5"/>
      <c r="L788" s="3"/>
      <c r="M788" s="6"/>
      <c r="N788" s="5"/>
      <c r="O788" s="5"/>
    </row>
    <row r="789" spans="1:15" ht="15.6">
      <c r="A789" s="36"/>
      <c r="B789" s="4"/>
      <c r="C789" s="5"/>
      <c r="D789" s="4"/>
      <c r="E789" s="4"/>
      <c r="F789" s="4"/>
      <c r="G789" s="4"/>
      <c r="H789" s="5"/>
      <c r="I789" s="5"/>
      <c r="J789" s="6"/>
      <c r="K789" s="5"/>
      <c r="L789" s="3"/>
      <c r="M789" s="6"/>
      <c r="N789" s="5"/>
      <c r="O789" s="5"/>
    </row>
    <row r="790" spans="1:15" ht="15.6">
      <c r="A790" s="36"/>
      <c r="B790" s="4"/>
      <c r="C790" s="5"/>
      <c r="D790" s="4"/>
      <c r="E790" s="4"/>
      <c r="F790" s="4"/>
      <c r="G790" s="4"/>
      <c r="H790" s="5"/>
      <c r="I790" s="5"/>
      <c r="J790" s="6"/>
      <c r="K790" s="5"/>
      <c r="L790" s="3"/>
      <c r="M790" s="6"/>
      <c r="N790" s="5"/>
      <c r="O790" s="5"/>
    </row>
    <row r="791" spans="1:15" ht="15.6">
      <c r="A791" s="36"/>
      <c r="B791" s="4"/>
      <c r="C791" s="5"/>
      <c r="D791" s="4"/>
      <c r="E791" s="4"/>
      <c r="F791" s="4"/>
      <c r="G791" s="4"/>
      <c r="H791" s="5"/>
      <c r="I791" s="5"/>
      <c r="J791" s="6"/>
      <c r="K791" s="5"/>
      <c r="L791" s="3"/>
      <c r="M791" s="6"/>
      <c r="N791" s="5"/>
      <c r="O791" s="5"/>
    </row>
    <row r="792" spans="1:15" ht="15.6">
      <c r="A792" s="36"/>
      <c r="B792" s="4"/>
      <c r="C792" s="5"/>
      <c r="D792" s="4"/>
      <c r="E792" s="4"/>
      <c r="F792" s="4"/>
      <c r="G792" s="4"/>
      <c r="H792" s="5"/>
      <c r="I792" s="5"/>
      <c r="J792" s="6"/>
      <c r="K792" s="5"/>
      <c r="L792" s="3"/>
      <c r="M792" s="6"/>
      <c r="N792" s="5"/>
      <c r="O792" s="5"/>
    </row>
    <row r="793" spans="1:15" ht="15.6">
      <c r="A793" s="36"/>
      <c r="B793" s="4"/>
      <c r="C793" s="5"/>
      <c r="D793" s="4"/>
      <c r="E793" s="4"/>
      <c r="F793" s="4"/>
      <c r="G793" s="4"/>
      <c r="H793" s="5"/>
      <c r="I793" s="5"/>
      <c r="J793" s="6"/>
      <c r="K793" s="5"/>
      <c r="L793" s="3"/>
      <c r="M793" s="6"/>
      <c r="N793" s="5"/>
      <c r="O793" s="5"/>
    </row>
    <row r="794" spans="1:15" ht="15.6">
      <c r="A794" s="36"/>
      <c r="B794" s="4"/>
      <c r="C794" s="5"/>
      <c r="D794" s="4"/>
      <c r="E794" s="4"/>
      <c r="F794" s="4"/>
      <c r="G794" s="4"/>
      <c r="H794" s="5"/>
      <c r="I794" s="5"/>
      <c r="J794" s="6"/>
      <c r="K794" s="5"/>
      <c r="L794" s="3"/>
      <c r="M794" s="6"/>
      <c r="N794" s="5"/>
      <c r="O794" s="5"/>
    </row>
    <row r="795" spans="1:15" ht="15.6">
      <c r="A795" s="36"/>
      <c r="B795" s="4"/>
      <c r="C795" s="5"/>
      <c r="D795" s="4"/>
      <c r="E795" s="4"/>
      <c r="F795" s="4"/>
      <c r="G795" s="4"/>
      <c r="H795" s="5"/>
      <c r="I795" s="5"/>
      <c r="J795" s="6"/>
      <c r="K795" s="5"/>
      <c r="L795" s="3"/>
      <c r="M795" s="6"/>
      <c r="N795" s="5"/>
      <c r="O795" s="5"/>
    </row>
    <row r="796" spans="1:15" ht="15.6">
      <c r="A796" s="36"/>
      <c r="B796" s="4"/>
      <c r="C796" s="5"/>
      <c r="D796" s="4"/>
      <c r="E796" s="4"/>
      <c r="F796" s="4"/>
      <c r="G796" s="4"/>
      <c r="H796" s="5"/>
      <c r="I796" s="5"/>
      <c r="J796" s="6"/>
      <c r="K796" s="5"/>
      <c r="L796" s="3"/>
      <c r="M796" s="6"/>
      <c r="N796" s="5"/>
      <c r="O796" s="5"/>
    </row>
    <row r="797" spans="1:15" ht="15.6">
      <c r="A797" s="36"/>
      <c r="B797" s="4"/>
      <c r="C797" s="5"/>
      <c r="D797" s="4"/>
      <c r="E797" s="4"/>
      <c r="F797" s="4"/>
      <c r="G797" s="4"/>
      <c r="H797" s="5"/>
      <c r="I797" s="5"/>
      <c r="J797" s="6"/>
      <c r="K797" s="5"/>
      <c r="L797" s="3"/>
      <c r="M797" s="6"/>
      <c r="N797" s="5"/>
      <c r="O797" s="5"/>
    </row>
    <row r="798" spans="1:15" ht="15.6">
      <c r="A798" s="36"/>
      <c r="B798" s="4"/>
      <c r="C798" s="5"/>
      <c r="D798" s="4"/>
      <c r="E798" s="4"/>
      <c r="F798" s="4"/>
      <c r="G798" s="4"/>
      <c r="H798" s="5"/>
      <c r="I798" s="5"/>
      <c r="J798" s="6"/>
      <c r="K798" s="5"/>
      <c r="L798" s="3"/>
      <c r="M798" s="6"/>
      <c r="N798" s="5"/>
      <c r="O798" s="5"/>
    </row>
    <row r="799" spans="1:15" ht="15.6">
      <c r="A799" s="36"/>
      <c r="B799" s="4"/>
      <c r="C799" s="5"/>
      <c r="D799" s="4"/>
      <c r="E799" s="4"/>
      <c r="F799" s="4"/>
      <c r="G799" s="4"/>
      <c r="H799" s="5"/>
      <c r="I799" s="5"/>
      <c r="J799" s="6"/>
      <c r="K799" s="5"/>
      <c r="L799" s="3"/>
      <c r="M799" s="6"/>
      <c r="N799" s="5"/>
      <c r="O799" s="5"/>
    </row>
    <row r="800" spans="1:15" ht="15.6">
      <c r="A800" s="36"/>
      <c r="B800" s="4"/>
      <c r="C800" s="5"/>
      <c r="D800" s="4"/>
      <c r="E800" s="4"/>
      <c r="F800" s="4"/>
      <c r="G800" s="4"/>
      <c r="H800" s="5"/>
      <c r="I800" s="5"/>
      <c r="J800" s="6"/>
      <c r="K800" s="5"/>
      <c r="L800" s="3"/>
      <c r="M800" s="6"/>
      <c r="N800" s="5"/>
      <c r="O800" s="5"/>
    </row>
    <row r="801" spans="1:15" ht="15.6">
      <c r="A801" s="36"/>
      <c r="B801" s="4"/>
      <c r="C801" s="5"/>
      <c r="D801" s="4"/>
      <c r="E801" s="4"/>
      <c r="F801" s="4"/>
      <c r="G801" s="4"/>
      <c r="H801" s="5"/>
      <c r="I801" s="5"/>
      <c r="J801" s="6"/>
      <c r="K801" s="5"/>
      <c r="L801" s="3"/>
      <c r="M801" s="6"/>
      <c r="N801" s="5"/>
      <c r="O801" s="5"/>
    </row>
    <row r="802" spans="1:15" ht="15.6">
      <c r="A802" s="36"/>
      <c r="B802" s="4"/>
      <c r="C802" s="5"/>
      <c r="D802" s="4"/>
      <c r="E802" s="4"/>
      <c r="F802" s="4"/>
      <c r="G802" s="4"/>
      <c r="H802" s="5"/>
      <c r="I802" s="5"/>
      <c r="J802" s="6"/>
      <c r="K802" s="5"/>
      <c r="L802" s="3"/>
      <c r="M802" s="6"/>
      <c r="N802" s="5"/>
      <c r="O802" s="5"/>
    </row>
    <row r="803" spans="1:15" ht="15.6">
      <c r="A803" s="36"/>
      <c r="B803" s="4"/>
      <c r="C803" s="5"/>
      <c r="D803" s="4"/>
      <c r="E803" s="4"/>
      <c r="F803" s="4"/>
      <c r="G803" s="4"/>
      <c r="H803" s="5"/>
      <c r="I803" s="5"/>
      <c r="J803" s="6"/>
      <c r="K803" s="5"/>
      <c r="L803" s="3"/>
      <c r="M803" s="6"/>
      <c r="N803" s="5"/>
      <c r="O803" s="5"/>
    </row>
    <row r="804" spans="1:15" ht="15.6">
      <c r="A804" s="36"/>
      <c r="B804" s="4"/>
      <c r="C804" s="5"/>
      <c r="D804" s="4"/>
      <c r="E804" s="4"/>
      <c r="F804" s="4"/>
      <c r="G804" s="4"/>
      <c r="H804" s="5"/>
      <c r="I804" s="5"/>
      <c r="J804" s="6"/>
      <c r="K804" s="5"/>
      <c r="L804" s="3"/>
      <c r="M804" s="6"/>
      <c r="N804" s="5"/>
      <c r="O804" s="5"/>
    </row>
    <row r="805" spans="1:15" ht="15.6">
      <c r="A805" s="36"/>
      <c r="B805" s="4"/>
      <c r="C805" s="5"/>
      <c r="D805" s="4"/>
      <c r="E805" s="4"/>
      <c r="F805" s="4"/>
      <c r="G805" s="4"/>
      <c r="H805" s="5"/>
      <c r="I805" s="5"/>
      <c r="J805" s="6"/>
      <c r="K805" s="5"/>
      <c r="L805" s="3"/>
      <c r="M805" s="6"/>
      <c r="N805" s="5"/>
      <c r="O805" s="5"/>
    </row>
    <row r="806" spans="1:15" ht="15.6">
      <c r="A806" s="36"/>
      <c r="B806" s="4"/>
      <c r="C806" s="5"/>
      <c r="D806" s="4"/>
      <c r="E806" s="4"/>
      <c r="F806" s="4"/>
      <c r="G806" s="4"/>
      <c r="H806" s="5"/>
      <c r="I806" s="5"/>
      <c r="J806" s="6"/>
      <c r="K806" s="5"/>
      <c r="L806" s="3"/>
      <c r="M806" s="6"/>
      <c r="N806" s="5"/>
      <c r="O806" s="5"/>
    </row>
    <row r="807" spans="1:15" ht="15.6">
      <c r="A807" s="36"/>
      <c r="B807" s="4"/>
      <c r="C807" s="5"/>
      <c r="D807" s="4"/>
      <c r="E807" s="4"/>
      <c r="F807" s="4"/>
      <c r="G807" s="4"/>
      <c r="H807" s="5"/>
      <c r="I807" s="5"/>
      <c r="J807" s="6"/>
      <c r="K807" s="5"/>
      <c r="L807" s="3"/>
      <c r="M807" s="6"/>
      <c r="N807" s="5"/>
      <c r="O807" s="5"/>
    </row>
    <row r="808" spans="1:15" ht="15.6">
      <c r="A808" s="36"/>
      <c r="B808" s="4"/>
      <c r="C808" s="5"/>
      <c r="D808" s="4"/>
      <c r="E808" s="4"/>
      <c r="F808" s="4"/>
      <c r="G808" s="4"/>
      <c r="H808" s="5"/>
      <c r="I808" s="5"/>
      <c r="J808" s="6"/>
      <c r="K808" s="5"/>
      <c r="L808" s="3"/>
      <c r="M808" s="6"/>
      <c r="N808" s="5"/>
      <c r="O808" s="5"/>
    </row>
    <row r="809" spans="1:15" ht="15.6">
      <c r="A809" s="36"/>
      <c r="B809" s="4"/>
      <c r="C809" s="5"/>
      <c r="D809" s="4"/>
      <c r="E809" s="4"/>
      <c r="F809" s="4"/>
      <c r="G809" s="4"/>
      <c r="H809" s="5"/>
      <c r="I809" s="5"/>
      <c r="J809" s="6"/>
      <c r="K809" s="5"/>
      <c r="L809" s="3"/>
      <c r="M809" s="6"/>
      <c r="N809" s="5"/>
      <c r="O809" s="5"/>
    </row>
    <row r="810" spans="1:15" ht="15.6">
      <c r="A810" s="36"/>
      <c r="B810" s="4"/>
      <c r="C810" s="5"/>
      <c r="D810" s="4"/>
      <c r="E810" s="4"/>
      <c r="F810" s="4"/>
      <c r="G810" s="4"/>
      <c r="H810" s="5"/>
      <c r="I810" s="5"/>
      <c r="J810" s="6"/>
      <c r="K810" s="5"/>
      <c r="L810" s="3"/>
      <c r="M810" s="6"/>
      <c r="N810" s="5"/>
      <c r="O810" s="5"/>
    </row>
    <row r="811" spans="1:15" ht="15.6">
      <c r="A811" s="36"/>
      <c r="B811" s="4"/>
      <c r="C811" s="5"/>
      <c r="D811" s="4"/>
      <c r="E811" s="4"/>
      <c r="F811" s="4"/>
      <c r="G811" s="4"/>
      <c r="H811" s="5"/>
      <c r="I811" s="5"/>
      <c r="J811" s="6"/>
      <c r="K811" s="5"/>
      <c r="L811" s="3"/>
      <c r="M811" s="6"/>
      <c r="N811" s="5"/>
      <c r="O811" s="5"/>
    </row>
    <row r="812" spans="1:15" ht="15.6">
      <c r="A812" s="36"/>
      <c r="B812" s="4"/>
      <c r="C812" s="5"/>
      <c r="D812" s="4"/>
      <c r="E812" s="4"/>
      <c r="F812" s="4"/>
      <c r="G812" s="4"/>
      <c r="H812" s="5"/>
      <c r="I812" s="5"/>
      <c r="J812" s="6"/>
      <c r="K812" s="5"/>
      <c r="L812" s="3"/>
      <c r="M812" s="6"/>
      <c r="N812" s="5"/>
      <c r="O812" s="5"/>
    </row>
    <row r="813" spans="1:15" ht="15.6">
      <c r="A813" s="36"/>
      <c r="B813" s="4"/>
      <c r="C813" s="5"/>
      <c r="D813" s="4"/>
      <c r="E813" s="4"/>
      <c r="F813" s="4"/>
      <c r="G813" s="4"/>
      <c r="H813" s="5"/>
      <c r="I813" s="5"/>
      <c r="J813" s="6"/>
      <c r="K813" s="5"/>
      <c r="L813" s="3"/>
      <c r="M813" s="6"/>
      <c r="N813" s="5"/>
      <c r="O813" s="5"/>
    </row>
    <row r="814" spans="1:15" ht="15.6">
      <c r="A814" s="36"/>
      <c r="B814" s="4"/>
      <c r="C814" s="5"/>
      <c r="D814" s="4"/>
      <c r="E814" s="4"/>
      <c r="F814" s="4"/>
      <c r="G814" s="4"/>
      <c r="H814" s="5"/>
      <c r="I814" s="5"/>
      <c r="J814" s="6"/>
      <c r="K814" s="5"/>
      <c r="L814" s="3"/>
      <c r="M814" s="6"/>
      <c r="N814" s="5"/>
      <c r="O814" s="5"/>
    </row>
    <row r="815" spans="1:15" ht="15.6">
      <c r="A815" s="36"/>
      <c r="B815" s="4"/>
      <c r="C815" s="5"/>
      <c r="D815" s="4"/>
      <c r="E815" s="4"/>
      <c r="F815" s="4"/>
      <c r="G815" s="4"/>
      <c r="H815" s="5"/>
      <c r="I815" s="5"/>
      <c r="J815" s="6"/>
      <c r="K815" s="5"/>
      <c r="L815" s="3"/>
      <c r="M815" s="6"/>
      <c r="N815" s="5"/>
      <c r="O815" s="5"/>
    </row>
    <row r="816" spans="1:15" ht="15.6">
      <c r="A816" s="36"/>
      <c r="B816" s="4"/>
      <c r="C816" s="5"/>
      <c r="D816" s="4"/>
      <c r="E816" s="4"/>
      <c r="F816" s="4"/>
      <c r="G816" s="4"/>
      <c r="H816" s="5"/>
      <c r="I816" s="5"/>
      <c r="J816" s="6"/>
      <c r="K816" s="5"/>
      <c r="L816" s="3"/>
      <c r="M816" s="6"/>
      <c r="N816" s="5"/>
      <c r="O816" s="5"/>
    </row>
    <row r="817" spans="1:15" ht="15.6">
      <c r="A817" s="36"/>
      <c r="B817" s="4"/>
      <c r="C817" s="5"/>
      <c r="D817" s="4"/>
      <c r="E817" s="4"/>
      <c r="F817" s="4"/>
      <c r="G817" s="4"/>
      <c r="H817" s="5"/>
      <c r="I817" s="5"/>
      <c r="J817" s="6"/>
      <c r="K817" s="5"/>
      <c r="L817" s="3"/>
      <c r="M817" s="6"/>
      <c r="N817" s="5"/>
      <c r="O817" s="5"/>
    </row>
    <row r="818" spans="1:15" ht="15.6">
      <c r="A818" s="36"/>
      <c r="B818" s="4"/>
      <c r="C818" s="5"/>
      <c r="D818" s="4"/>
      <c r="E818" s="4"/>
      <c r="F818" s="4"/>
      <c r="G818" s="4"/>
      <c r="H818" s="5"/>
      <c r="I818" s="5"/>
      <c r="J818" s="6"/>
      <c r="K818" s="5"/>
      <c r="L818" s="3"/>
      <c r="M818" s="6"/>
      <c r="N818" s="5"/>
      <c r="O818" s="5"/>
    </row>
    <row r="819" spans="1:15" ht="15.6">
      <c r="A819" s="36"/>
      <c r="B819" s="4"/>
      <c r="C819" s="5"/>
      <c r="D819" s="4"/>
      <c r="E819" s="4"/>
      <c r="F819" s="4"/>
      <c r="G819" s="4"/>
      <c r="H819" s="5"/>
      <c r="I819" s="5"/>
      <c r="J819" s="6"/>
      <c r="K819" s="5"/>
      <c r="L819" s="3"/>
      <c r="M819" s="6"/>
      <c r="N819" s="5"/>
      <c r="O819" s="5"/>
    </row>
    <row r="820" spans="1:15" ht="15.6">
      <c r="A820" s="36"/>
      <c r="B820" s="4"/>
      <c r="C820" s="5"/>
      <c r="D820" s="4"/>
      <c r="E820" s="4"/>
      <c r="F820" s="4"/>
      <c r="G820" s="4"/>
      <c r="H820" s="5"/>
      <c r="I820" s="5"/>
      <c r="J820" s="6"/>
      <c r="K820" s="5"/>
      <c r="L820" s="3"/>
      <c r="M820" s="6"/>
      <c r="N820" s="5"/>
      <c r="O820" s="5"/>
    </row>
    <row r="821" spans="1:15" ht="15.6">
      <c r="A821" s="36"/>
      <c r="B821" s="4"/>
      <c r="C821" s="5"/>
      <c r="D821" s="4"/>
      <c r="E821" s="4"/>
      <c r="F821" s="4"/>
      <c r="G821" s="4"/>
      <c r="H821" s="5"/>
      <c r="I821" s="5"/>
      <c r="J821" s="6"/>
      <c r="K821" s="5"/>
      <c r="L821" s="3"/>
      <c r="M821" s="6"/>
      <c r="N821" s="5"/>
      <c r="O821" s="5"/>
    </row>
    <row r="822" spans="1:15" ht="15.6">
      <c r="A822" s="36"/>
      <c r="B822" s="4"/>
      <c r="C822" s="5"/>
      <c r="D822" s="4"/>
      <c r="E822" s="4"/>
      <c r="F822" s="4"/>
      <c r="G822" s="4"/>
      <c r="H822" s="5"/>
      <c r="I822" s="5"/>
      <c r="J822" s="6"/>
      <c r="K822" s="5"/>
      <c r="L822" s="3"/>
      <c r="M822" s="6"/>
      <c r="N822" s="5"/>
      <c r="O822" s="5"/>
    </row>
    <row r="823" spans="1:15" ht="15.6">
      <c r="A823" s="36"/>
      <c r="B823" s="4"/>
      <c r="C823" s="5"/>
      <c r="D823" s="4"/>
      <c r="E823" s="4"/>
      <c r="F823" s="4"/>
      <c r="G823" s="4"/>
      <c r="H823" s="5"/>
      <c r="I823" s="5"/>
      <c r="J823" s="6"/>
      <c r="K823" s="5"/>
      <c r="L823" s="3"/>
      <c r="M823" s="6"/>
      <c r="N823" s="5"/>
      <c r="O823" s="5"/>
    </row>
    <row r="824" spans="1:15" ht="15.6">
      <c r="A824" s="36"/>
      <c r="B824" s="4"/>
      <c r="C824" s="5"/>
      <c r="D824" s="4"/>
      <c r="E824" s="4"/>
      <c r="F824" s="4"/>
      <c r="G824" s="4"/>
      <c r="H824" s="5"/>
      <c r="I824" s="5"/>
      <c r="J824" s="6"/>
      <c r="K824" s="5"/>
      <c r="L824" s="3"/>
      <c r="M824" s="6"/>
      <c r="N824" s="5"/>
      <c r="O824" s="5"/>
    </row>
    <row r="825" spans="1:15" ht="15.6">
      <c r="A825" s="36"/>
      <c r="B825" s="4"/>
      <c r="C825" s="5"/>
      <c r="D825" s="4"/>
      <c r="E825" s="4"/>
      <c r="F825" s="4"/>
      <c r="G825" s="4"/>
      <c r="H825" s="5"/>
      <c r="I825" s="5"/>
      <c r="J825" s="6"/>
      <c r="K825" s="5"/>
      <c r="L825" s="3"/>
      <c r="M825" s="6"/>
      <c r="N825" s="5"/>
      <c r="O825" s="5"/>
    </row>
    <row r="826" spans="1:15" ht="15.6">
      <c r="A826" s="36"/>
      <c r="B826" s="4"/>
      <c r="C826" s="5"/>
      <c r="D826" s="4"/>
      <c r="E826" s="4"/>
      <c r="F826" s="4"/>
      <c r="G826" s="4"/>
      <c r="H826" s="5"/>
      <c r="I826" s="5"/>
      <c r="J826" s="6"/>
      <c r="K826" s="5"/>
      <c r="L826" s="3"/>
      <c r="M826" s="6"/>
      <c r="N826" s="5"/>
      <c r="O826" s="5"/>
    </row>
    <row r="827" spans="1:15" ht="15.6">
      <c r="A827" s="36"/>
      <c r="B827" s="4"/>
      <c r="C827" s="5"/>
      <c r="D827" s="4"/>
      <c r="E827" s="4"/>
      <c r="F827" s="4"/>
      <c r="G827" s="4"/>
      <c r="H827" s="5"/>
      <c r="I827" s="5"/>
      <c r="J827" s="6"/>
      <c r="K827" s="5"/>
      <c r="L827" s="3"/>
      <c r="M827" s="6"/>
      <c r="N827" s="5"/>
      <c r="O827" s="5"/>
    </row>
    <row r="828" spans="1:15" ht="15.6">
      <c r="A828" s="36"/>
      <c r="B828" s="4"/>
      <c r="C828" s="5"/>
      <c r="D828" s="4"/>
      <c r="E828" s="4"/>
      <c r="F828" s="4"/>
      <c r="G828" s="4"/>
      <c r="H828" s="5"/>
      <c r="I828" s="5"/>
      <c r="J828" s="6"/>
      <c r="K828" s="5"/>
      <c r="L828" s="3"/>
      <c r="M828" s="6"/>
      <c r="N828" s="5"/>
      <c r="O828" s="5"/>
    </row>
    <row r="829" spans="1:15" ht="15.6">
      <c r="A829" s="36"/>
      <c r="B829" s="4"/>
      <c r="C829" s="5"/>
      <c r="D829" s="4"/>
      <c r="E829" s="4"/>
      <c r="F829" s="4"/>
      <c r="G829" s="4"/>
      <c r="H829" s="5"/>
      <c r="I829" s="5"/>
      <c r="J829" s="6"/>
      <c r="K829" s="5"/>
      <c r="L829" s="3"/>
      <c r="M829" s="6"/>
      <c r="N829" s="5"/>
      <c r="O829" s="5"/>
    </row>
    <row r="830" spans="1:15" ht="15.6">
      <c r="A830" s="36"/>
      <c r="B830" s="4"/>
      <c r="C830" s="5"/>
      <c r="D830" s="4"/>
      <c r="E830" s="4"/>
      <c r="F830" s="4"/>
      <c r="G830" s="4"/>
      <c r="H830" s="5"/>
      <c r="I830" s="5"/>
      <c r="J830" s="6"/>
      <c r="K830" s="5"/>
      <c r="L830" s="3"/>
      <c r="M830" s="6"/>
      <c r="N830" s="5"/>
      <c r="O830" s="5"/>
    </row>
    <row r="831" spans="1:15" ht="15.6">
      <c r="A831" s="36"/>
      <c r="B831" s="4"/>
      <c r="C831" s="5"/>
      <c r="D831" s="4"/>
      <c r="E831" s="4"/>
      <c r="F831" s="4"/>
      <c r="G831" s="4"/>
      <c r="H831" s="5"/>
      <c r="I831" s="5"/>
      <c r="J831" s="6"/>
      <c r="K831" s="5"/>
      <c r="L831" s="3"/>
      <c r="M831" s="6"/>
      <c r="N831" s="5"/>
      <c r="O831" s="5"/>
    </row>
    <row r="832" spans="1:15" ht="15.6">
      <c r="A832" s="36"/>
      <c r="B832" s="4"/>
      <c r="C832" s="5"/>
      <c r="D832" s="4"/>
      <c r="E832" s="4"/>
      <c r="F832" s="4"/>
      <c r="G832" s="4"/>
      <c r="H832" s="5"/>
      <c r="I832" s="5"/>
      <c r="J832" s="6"/>
      <c r="K832" s="5"/>
      <c r="L832" s="3"/>
      <c r="M832" s="6"/>
      <c r="N832" s="5"/>
      <c r="O832" s="5"/>
    </row>
    <row r="833" spans="1:15" ht="15.6">
      <c r="A833" s="36"/>
      <c r="B833" s="4"/>
      <c r="C833" s="5"/>
      <c r="D833" s="4"/>
      <c r="E833" s="4"/>
      <c r="F833" s="4"/>
      <c r="G833" s="4"/>
      <c r="H833" s="5"/>
      <c r="I833" s="5"/>
      <c r="J833" s="6"/>
      <c r="K833" s="5"/>
      <c r="L833" s="3"/>
      <c r="M833" s="6"/>
      <c r="N833" s="5"/>
      <c r="O833" s="5"/>
    </row>
    <row r="834" spans="1:15" ht="15.6">
      <c r="A834" s="36"/>
      <c r="B834" s="4"/>
      <c r="C834" s="5"/>
      <c r="D834" s="4"/>
      <c r="E834" s="4"/>
      <c r="F834" s="4"/>
      <c r="G834" s="4"/>
      <c r="H834" s="5"/>
      <c r="I834" s="5"/>
      <c r="J834" s="6"/>
      <c r="K834" s="5"/>
      <c r="L834" s="3"/>
      <c r="M834" s="6"/>
      <c r="N834" s="5"/>
      <c r="O834" s="5"/>
    </row>
    <row r="835" spans="1:15" ht="15.6">
      <c r="A835" s="36"/>
      <c r="B835" s="4"/>
      <c r="C835" s="5"/>
      <c r="D835" s="4"/>
      <c r="E835" s="4"/>
      <c r="F835" s="4"/>
      <c r="G835" s="4"/>
      <c r="H835" s="5"/>
      <c r="I835" s="5"/>
      <c r="J835" s="6"/>
      <c r="K835" s="5"/>
      <c r="L835" s="3"/>
      <c r="M835" s="6"/>
      <c r="N835" s="5"/>
      <c r="O835" s="5"/>
    </row>
    <row r="836" spans="1:15" ht="15.6">
      <c r="A836" s="36"/>
      <c r="B836" s="4"/>
      <c r="C836" s="5"/>
      <c r="D836" s="4"/>
      <c r="E836" s="4"/>
      <c r="F836" s="4"/>
      <c r="G836" s="4"/>
      <c r="H836" s="5"/>
      <c r="I836" s="5"/>
      <c r="J836" s="6"/>
      <c r="K836" s="5"/>
      <c r="L836" s="3"/>
      <c r="M836" s="6"/>
      <c r="N836" s="5"/>
      <c r="O836" s="5"/>
    </row>
    <row r="837" spans="1:15" ht="15.6">
      <c r="A837" s="36"/>
      <c r="B837" s="4"/>
      <c r="C837" s="5"/>
      <c r="D837" s="4"/>
      <c r="E837" s="4"/>
      <c r="F837" s="4"/>
      <c r="G837" s="4"/>
      <c r="H837" s="5"/>
      <c r="I837" s="5"/>
      <c r="J837" s="6"/>
      <c r="K837" s="5"/>
      <c r="L837" s="3"/>
      <c r="M837" s="6"/>
      <c r="N837" s="5"/>
      <c r="O837" s="5"/>
    </row>
    <row r="838" spans="1:15" ht="15.6">
      <c r="A838" s="36"/>
      <c r="B838" s="4"/>
      <c r="C838" s="5"/>
      <c r="D838" s="4"/>
      <c r="E838" s="4"/>
      <c r="F838" s="4"/>
      <c r="G838" s="4"/>
      <c r="H838" s="5"/>
      <c r="I838" s="5"/>
      <c r="J838" s="6"/>
      <c r="K838" s="5"/>
      <c r="L838" s="3"/>
      <c r="M838" s="6"/>
      <c r="N838" s="5"/>
      <c r="O838" s="5"/>
    </row>
    <row r="839" spans="1:15" ht="15.6">
      <c r="A839" s="36"/>
      <c r="B839" s="4"/>
      <c r="C839" s="5"/>
      <c r="D839" s="4"/>
      <c r="E839" s="4"/>
      <c r="F839" s="4"/>
      <c r="G839" s="4"/>
      <c r="H839" s="5"/>
      <c r="I839" s="5"/>
      <c r="J839" s="6"/>
      <c r="K839" s="5"/>
      <c r="L839" s="3"/>
      <c r="M839" s="6"/>
      <c r="N839" s="5"/>
      <c r="O839" s="5"/>
    </row>
    <row r="840" spans="1:15" ht="15.6">
      <c r="A840" s="36"/>
      <c r="B840" s="4"/>
      <c r="C840" s="5"/>
      <c r="D840" s="4"/>
      <c r="E840" s="4"/>
      <c r="F840" s="4"/>
      <c r="G840" s="4"/>
      <c r="H840" s="5"/>
      <c r="I840" s="5"/>
      <c r="J840" s="6"/>
      <c r="K840" s="5"/>
      <c r="L840" s="3"/>
      <c r="M840" s="6"/>
      <c r="N840" s="5"/>
      <c r="O840" s="5"/>
    </row>
    <row r="841" spans="1:15" ht="15.6">
      <c r="A841" s="36"/>
      <c r="B841" s="4"/>
      <c r="C841" s="5"/>
      <c r="D841" s="4"/>
      <c r="E841" s="4"/>
      <c r="F841" s="4"/>
      <c r="G841" s="4"/>
      <c r="H841" s="5"/>
      <c r="I841" s="5"/>
      <c r="J841" s="6"/>
      <c r="K841" s="5"/>
      <c r="L841" s="3"/>
      <c r="M841" s="6"/>
      <c r="N841" s="5"/>
      <c r="O841" s="5"/>
    </row>
    <row r="842" spans="1:15" ht="15.6">
      <c r="A842" s="36"/>
      <c r="B842" s="4"/>
      <c r="C842" s="5"/>
      <c r="D842" s="4"/>
      <c r="E842" s="4"/>
      <c r="F842" s="4"/>
      <c r="G842" s="4"/>
      <c r="H842" s="5"/>
      <c r="I842" s="5"/>
      <c r="J842" s="6"/>
      <c r="K842" s="5"/>
      <c r="L842" s="3"/>
      <c r="M842" s="6"/>
      <c r="N842" s="5"/>
      <c r="O842" s="5"/>
    </row>
    <row r="843" spans="1:15" ht="15.6">
      <c r="A843" s="36"/>
      <c r="B843" s="4"/>
      <c r="C843" s="5"/>
      <c r="D843" s="4"/>
      <c r="E843" s="4"/>
      <c r="F843" s="4"/>
      <c r="G843" s="4"/>
      <c r="H843" s="5"/>
      <c r="I843" s="5"/>
      <c r="J843" s="6"/>
      <c r="K843" s="5"/>
      <c r="L843" s="3"/>
      <c r="M843" s="6"/>
      <c r="N843" s="5"/>
      <c r="O843" s="5"/>
    </row>
    <row r="844" spans="1:15" ht="15.6">
      <c r="A844" s="36"/>
      <c r="B844" s="4"/>
      <c r="C844" s="5"/>
      <c r="D844" s="4"/>
      <c r="E844" s="4"/>
      <c r="F844" s="4"/>
      <c r="G844" s="4"/>
      <c r="H844" s="5"/>
      <c r="I844" s="5"/>
      <c r="J844" s="6"/>
      <c r="K844" s="5"/>
      <c r="L844" s="3"/>
      <c r="M844" s="6"/>
      <c r="N844" s="5"/>
      <c r="O844" s="5"/>
    </row>
    <row r="845" spans="1:15" ht="15.6">
      <c r="A845" s="36"/>
      <c r="B845" s="4"/>
      <c r="C845" s="5"/>
      <c r="D845" s="4"/>
      <c r="E845" s="4"/>
      <c r="F845" s="4"/>
      <c r="G845" s="4"/>
      <c r="H845" s="5"/>
      <c r="I845" s="5"/>
      <c r="J845" s="6"/>
      <c r="K845" s="5"/>
      <c r="L845" s="3"/>
      <c r="M845" s="6"/>
      <c r="N845" s="5"/>
      <c r="O845" s="5"/>
    </row>
    <row r="846" spans="1:15" ht="15.6">
      <c r="A846" s="36"/>
      <c r="B846" s="4"/>
      <c r="C846" s="5"/>
      <c r="D846" s="4"/>
      <c r="E846" s="4"/>
      <c r="F846" s="4"/>
      <c r="G846" s="4"/>
      <c r="H846" s="5"/>
      <c r="I846" s="5"/>
      <c r="J846" s="6"/>
      <c r="K846" s="5"/>
      <c r="L846" s="3"/>
      <c r="M846" s="6"/>
      <c r="N846" s="5"/>
      <c r="O846" s="5"/>
    </row>
    <row r="847" spans="1:15" ht="15.6">
      <c r="A847" s="36"/>
      <c r="B847" s="4"/>
      <c r="C847" s="5"/>
      <c r="D847" s="4"/>
      <c r="E847" s="4"/>
      <c r="F847" s="4"/>
      <c r="G847" s="4"/>
      <c r="H847" s="5"/>
      <c r="I847" s="5"/>
      <c r="J847" s="6"/>
      <c r="K847" s="5"/>
      <c r="L847" s="3"/>
      <c r="M847" s="6"/>
      <c r="N847" s="5"/>
      <c r="O847" s="5"/>
    </row>
    <row r="848" spans="1:15" ht="15.6">
      <c r="A848" s="36"/>
      <c r="B848" s="4"/>
      <c r="C848" s="5"/>
      <c r="D848" s="4"/>
      <c r="E848" s="4"/>
      <c r="F848" s="4"/>
      <c r="G848" s="4"/>
      <c r="H848" s="5"/>
      <c r="I848" s="5"/>
      <c r="J848" s="6"/>
      <c r="K848" s="5"/>
      <c r="L848" s="3"/>
      <c r="M848" s="6"/>
      <c r="N848" s="5"/>
      <c r="O848" s="5"/>
    </row>
    <row r="849" spans="1:15" ht="15.6">
      <c r="A849" s="36"/>
      <c r="B849" s="4"/>
      <c r="C849" s="5"/>
      <c r="D849" s="4"/>
      <c r="E849" s="4"/>
      <c r="F849" s="4"/>
      <c r="G849" s="4"/>
      <c r="H849" s="5"/>
      <c r="I849" s="5"/>
      <c r="J849" s="6"/>
      <c r="K849" s="5"/>
      <c r="L849" s="3"/>
      <c r="M849" s="6"/>
      <c r="N849" s="5"/>
      <c r="O849" s="5"/>
    </row>
    <row r="850" spans="1:15" ht="15.6">
      <c r="A850" s="36"/>
      <c r="B850" s="4"/>
      <c r="C850" s="5"/>
      <c r="D850" s="4"/>
      <c r="E850" s="4"/>
      <c r="F850" s="4"/>
      <c r="G850" s="4"/>
      <c r="H850" s="5"/>
      <c r="I850" s="5"/>
      <c r="J850" s="6"/>
      <c r="K850" s="5"/>
      <c r="L850" s="3"/>
      <c r="M850" s="6"/>
      <c r="N850" s="5"/>
      <c r="O850" s="5"/>
    </row>
    <row r="851" spans="1:15" ht="15.6">
      <c r="A851" s="36"/>
      <c r="B851" s="4"/>
      <c r="C851" s="5"/>
      <c r="D851" s="4"/>
      <c r="E851" s="4"/>
      <c r="F851" s="4"/>
      <c r="G851" s="4"/>
      <c r="H851" s="5"/>
      <c r="I851" s="5"/>
      <c r="J851" s="6"/>
      <c r="K851" s="5"/>
      <c r="L851" s="3"/>
      <c r="M851" s="6"/>
      <c r="N851" s="5"/>
      <c r="O851" s="5"/>
    </row>
    <row r="852" spans="1:15" ht="15.6">
      <c r="A852" s="36"/>
      <c r="B852" s="4"/>
      <c r="C852" s="5"/>
      <c r="D852" s="4"/>
      <c r="E852" s="4"/>
      <c r="F852" s="4"/>
      <c r="G852" s="4"/>
      <c r="H852" s="5"/>
      <c r="I852" s="5"/>
      <c r="J852" s="6"/>
      <c r="K852" s="5"/>
      <c r="L852" s="3"/>
      <c r="M852" s="6"/>
      <c r="N852" s="5"/>
      <c r="O852" s="5"/>
    </row>
    <row r="853" spans="1:15" ht="15.6">
      <c r="A853" s="36"/>
      <c r="B853" s="4"/>
      <c r="C853" s="5"/>
      <c r="D853" s="4"/>
      <c r="E853" s="4"/>
      <c r="F853" s="4"/>
      <c r="G853" s="4"/>
      <c r="H853" s="5"/>
      <c r="I853" s="5"/>
      <c r="J853" s="6"/>
      <c r="K853" s="5"/>
      <c r="L853" s="3"/>
      <c r="M853" s="6"/>
      <c r="N853" s="5"/>
      <c r="O853" s="5"/>
    </row>
    <row r="854" spans="1:15" ht="15.6">
      <c r="A854" s="36"/>
      <c r="B854" s="4"/>
      <c r="C854" s="5"/>
      <c r="D854" s="4"/>
      <c r="E854" s="4"/>
      <c r="F854" s="4"/>
      <c r="G854" s="4"/>
      <c r="H854" s="5"/>
      <c r="I854" s="5"/>
      <c r="J854" s="6"/>
      <c r="K854" s="5"/>
      <c r="L854" s="3"/>
      <c r="M854" s="6"/>
      <c r="N854" s="5"/>
      <c r="O854" s="5"/>
    </row>
    <row r="855" spans="1:15" ht="15.6">
      <c r="A855" s="36"/>
      <c r="B855" s="4"/>
      <c r="C855" s="5"/>
      <c r="D855" s="4"/>
      <c r="E855" s="4"/>
      <c r="F855" s="4"/>
      <c r="G855" s="4"/>
      <c r="H855" s="5"/>
      <c r="I855" s="5"/>
      <c r="J855" s="6"/>
      <c r="K855" s="5"/>
      <c r="L855" s="3"/>
      <c r="M855" s="6"/>
      <c r="N855" s="5"/>
      <c r="O855" s="5"/>
    </row>
    <row r="856" spans="1:15" ht="15.6">
      <c r="A856" s="36"/>
      <c r="B856" s="4"/>
      <c r="C856" s="5"/>
      <c r="D856" s="4"/>
      <c r="E856" s="4"/>
      <c r="F856" s="4"/>
      <c r="G856" s="4"/>
      <c r="H856" s="5"/>
      <c r="I856" s="5"/>
      <c r="J856" s="6"/>
      <c r="K856" s="5"/>
      <c r="L856" s="3"/>
      <c r="M856" s="6"/>
      <c r="N856" s="5"/>
      <c r="O856" s="5"/>
    </row>
    <row r="857" spans="1:15" ht="15.6">
      <c r="A857" s="36"/>
      <c r="B857" s="4"/>
      <c r="C857" s="5"/>
      <c r="D857" s="4"/>
      <c r="E857" s="4"/>
      <c r="F857" s="4"/>
      <c r="G857" s="4"/>
      <c r="H857" s="5"/>
      <c r="I857" s="5"/>
      <c r="J857" s="6"/>
      <c r="K857" s="5"/>
      <c r="L857" s="3"/>
      <c r="M857" s="6"/>
      <c r="N857" s="5"/>
      <c r="O857" s="5"/>
    </row>
    <row r="858" spans="1:15" ht="15.6">
      <c r="A858" s="36"/>
      <c r="B858" s="4"/>
      <c r="C858" s="5"/>
      <c r="D858" s="4"/>
      <c r="E858" s="4"/>
      <c r="F858" s="4"/>
      <c r="G858" s="4"/>
      <c r="H858" s="5"/>
      <c r="I858" s="5"/>
      <c r="J858" s="6"/>
      <c r="K858" s="5"/>
      <c r="L858" s="3"/>
      <c r="M858" s="6"/>
      <c r="N858" s="5"/>
      <c r="O858" s="5"/>
    </row>
    <row r="859" spans="1:15" ht="15.6">
      <c r="A859" s="36"/>
      <c r="B859" s="4"/>
      <c r="C859" s="5"/>
      <c r="D859" s="4"/>
      <c r="E859" s="4"/>
      <c r="F859" s="4"/>
      <c r="G859" s="4"/>
      <c r="H859" s="5"/>
      <c r="I859" s="5"/>
      <c r="J859" s="6"/>
      <c r="K859" s="5"/>
      <c r="L859" s="3"/>
      <c r="M859" s="6"/>
      <c r="N859" s="5"/>
      <c r="O859" s="5"/>
    </row>
    <row r="860" spans="1:15" ht="15.6">
      <c r="A860" s="36"/>
      <c r="B860" s="4"/>
      <c r="C860" s="5"/>
      <c r="D860" s="4"/>
      <c r="E860" s="4"/>
      <c r="F860" s="4"/>
      <c r="G860" s="4"/>
      <c r="H860" s="5"/>
      <c r="I860" s="5"/>
      <c r="J860" s="6"/>
      <c r="K860" s="5"/>
      <c r="L860" s="3"/>
      <c r="M860" s="6"/>
      <c r="N860" s="5"/>
      <c r="O860" s="5"/>
    </row>
    <row r="861" spans="1:15" ht="15.6">
      <c r="A861" s="36"/>
      <c r="B861" s="4"/>
      <c r="C861" s="5"/>
      <c r="D861" s="4"/>
      <c r="E861" s="4"/>
      <c r="F861" s="4"/>
      <c r="G861" s="4"/>
      <c r="H861" s="5"/>
      <c r="I861" s="5"/>
      <c r="J861" s="6"/>
      <c r="K861" s="5"/>
      <c r="L861" s="3"/>
      <c r="M861" s="6"/>
      <c r="N861" s="5"/>
      <c r="O861" s="5"/>
    </row>
    <row r="862" spans="1:15" ht="15.6">
      <c r="A862" s="36"/>
      <c r="B862" s="4"/>
      <c r="C862" s="5"/>
      <c r="D862" s="4"/>
      <c r="E862" s="4"/>
      <c r="F862" s="4"/>
      <c r="G862" s="4"/>
      <c r="H862" s="5"/>
      <c r="I862" s="5"/>
      <c r="J862" s="6"/>
      <c r="K862" s="5"/>
      <c r="L862" s="3"/>
      <c r="M862" s="6"/>
      <c r="N862" s="5"/>
      <c r="O862" s="5"/>
    </row>
    <row r="863" spans="1:15" ht="15.6">
      <c r="A863" s="36"/>
      <c r="B863" s="4"/>
      <c r="C863" s="5"/>
      <c r="D863" s="4"/>
      <c r="E863" s="4"/>
      <c r="F863" s="4"/>
      <c r="G863" s="4"/>
      <c r="H863" s="5"/>
      <c r="I863" s="5"/>
      <c r="J863" s="6"/>
      <c r="K863" s="5"/>
      <c r="L863" s="3"/>
      <c r="M863" s="6"/>
      <c r="N863" s="5"/>
      <c r="O863" s="5"/>
    </row>
    <row r="864" spans="1:15" ht="15.6">
      <c r="A864" s="36"/>
      <c r="B864" s="4"/>
      <c r="C864" s="5"/>
      <c r="D864" s="4"/>
      <c r="E864" s="4"/>
      <c r="F864" s="4"/>
      <c r="G864" s="4"/>
      <c r="H864" s="5"/>
      <c r="I864" s="5"/>
      <c r="J864" s="6"/>
      <c r="K864" s="5"/>
      <c r="L864" s="3"/>
      <c r="M864" s="6"/>
      <c r="N864" s="5"/>
      <c r="O864" s="5"/>
    </row>
    <row r="865" spans="1:15" ht="15.6">
      <c r="A865" s="36"/>
      <c r="B865" s="4"/>
      <c r="C865" s="5"/>
      <c r="D865" s="4"/>
      <c r="E865" s="4"/>
      <c r="F865" s="4"/>
      <c r="G865" s="4"/>
      <c r="H865" s="5"/>
      <c r="I865" s="5"/>
      <c r="J865" s="6"/>
      <c r="K865" s="5"/>
      <c r="L865" s="3"/>
      <c r="M865" s="6"/>
      <c r="N865" s="5"/>
      <c r="O865" s="5"/>
    </row>
    <row r="866" spans="1:15" ht="15.6">
      <c r="A866" s="36"/>
      <c r="B866" s="4"/>
      <c r="C866" s="5"/>
      <c r="D866" s="4"/>
      <c r="E866" s="4"/>
      <c r="F866" s="4"/>
      <c r="G866" s="4"/>
      <c r="H866" s="5"/>
      <c r="I866" s="5"/>
      <c r="J866" s="6"/>
      <c r="K866" s="5"/>
      <c r="L866" s="3"/>
      <c r="M866" s="6"/>
      <c r="N866" s="5"/>
      <c r="O866" s="5"/>
    </row>
    <row r="867" spans="1:15" ht="15.6">
      <c r="A867" s="36"/>
      <c r="B867" s="4"/>
      <c r="C867" s="5"/>
      <c r="D867" s="4"/>
      <c r="E867" s="4"/>
      <c r="F867" s="4"/>
      <c r="G867" s="4"/>
      <c r="H867" s="5"/>
      <c r="I867" s="5"/>
      <c r="J867" s="6"/>
      <c r="K867" s="5"/>
      <c r="L867" s="3"/>
      <c r="M867" s="6"/>
      <c r="N867" s="5"/>
      <c r="O867" s="5"/>
    </row>
    <row r="868" spans="1:15" ht="15.6">
      <c r="A868" s="36"/>
      <c r="B868" s="4"/>
      <c r="C868" s="5"/>
      <c r="D868" s="4"/>
      <c r="E868" s="4"/>
      <c r="F868" s="4"/>
      <c r="G868" s="4"/>
      <c r="H868" s="5"/>
      <c r="I868" s="5"/>
      <c r="J868" s="6"/>
      <c r="K868" s="5"/>
      <c r="L868" s="3"/>
      <c r="M868" s="6"/>
      <c r="N868" s="5"/>
      <c r="O868" s="5"/>
    </row>
    <row r="869" spans="1:15" ht="15.6">
      <c r="A869" s="36"/>
      <c r="B869" s="4"/>
      <c r="C869" s="5"/>
      <c r="D869" s="4"/>
      <c r="E869" s="4"/>
      <c r="F869" s="4"/>
      <c r="G869" s="4"/>
      <c r="H869" s="5"/>
      <c r="I869" s="5"/>
      <c r="J869" s="6"/>
      <c r="K869" s="5"/>
      <c r="L869" s="3"/>
      <c r="M869" s="6"/>
      <c r="N869" s="5"/>
      <c r="O869" s="5"/>
    </row>
    <row r="870" spans="1:15" ht="15.6">
      <c r="A870" s="36"/>
      <c r="B870" s="4"/>
      <c r="C870" s="5"/>
      <c r="D870" s="4"/>
      <c r="E870" s="4"/>
      <c r="F870" s="4"/>
      <c r="G870" s="4"/>
      <c r="H870" s="5"/>
      <c r="I870" s="5"/>
      <c r="J870" s="6"/>
      <c r="K870" s="5"/>
      <c r="L870" s="3"/>
      <c r="M870" s="6"/>
      <c r="N870" s="5"/>
      <c r="O870" s="5"/>
    </row>
    <row r="871" spans="1:15" ht="15.6">
      <c r="A871" s="36"/>
      <c r="B871" s="4"/>
      <c r="C871" s="5"/>
      <c r="D871" s="4"/>
      <c r="E871" s="4"/>
      <c r="F871" s="4"/>
      <c r="G871" s="4"/>
      <c r="H871" s="5"/>
      <c r="I871" s="5"/>
      <c r="J871" s="6"/>
      <c r="K871" s="5"/>
      <c r="L871" s="3"/>
      <c r="M871" s="6"/>
      <c r="N871" s="5"/>
      <c r="O871" s="5"/>
    </row>
    <row r="872" spans="1:15" ht="15.6">
      <c r="A872" s="36"/>
      <c r="B872" s="4"/>
      <c r="C872" s="5"/>
      <c r="D872" s="4"/>
      <c r="E872" s="4"/>
      <c r="F872" s="4"/>
      <c r="G872" s="4"/>
      <c r="H872" s="5"/>
      <c r="I872" s="5"/>
      <c r="J872" s="6"/>
      <c r="K872" s="5"/>
      <c r="L872" s="3"/>
      <c r="M872" s="6"/>
      <c r="N872" s="5"/>
      <c r="O872" s="5"/>
    </row>
    <row r="873" spans="1:15" ht="15.6">
      <c r="A873" s="36"/>
      <c r="B873" s="4"/>
      <c r="C873" s="5"/>
      <c r="D873" s="4"/>
      <c r="E873" s="4"/>
      <c r="F873" s="4"/>
      <c r="G873" s="4"/>
      <c r="H873" s="5"/>
      <c r="I873" s="5"/>
      <c r="J873" s="6"/>
      <c r="K873" s="5"/>
      <c r="L873" s="3"/>
      <c r="M873" s="6"/>
      <c r="N873" s="5"/>
      <c r="O873" s="5"/>
    </row>
    <row r="874" spans="1:15" ht="15.6">
      <c r="A874" s="36"/>
      <c r="B874" s="4"/>
      <c r="C874" s="5"/>
      <c r="D874" s="4"/>
      <c r="E874" s="4"/>
      <c r="F874" s="4"/>
      <c r="G874" s="4"/>
      <c r="H874" s="5"/>
      <c r="I874" s="5"/>
      <c r="J874" s="6"/>
      <c r="K874" s="5"/>
      <c r="L874" s="3"/>
      <c r="M874" s="6"/>
      <c r="N874" s="5"/>
      <c r="O874" s="5"/>
    </row>
    <row r="875" spans="1:15" ht="15.6">
      <c r="A875" s="36"/>
      <c r="B875" s="4"/>
      <c r="C875" s="5"/>
      <c r="D875" s="4"/>
      <c r="E875" s="4"/>
      <c r="F875" s="4"/>
      <c r="G875" s="4"/>
      <c r="H875" s="5"/>
      <c r="I875" s="5"/>
      <c r="J875" s="6"/>
      <c r="K875" s="5"/>
      <c r="L875" s="3"/>
      <c r="M875" s="6"/>
      <c r="N875" s="5"/>
      <c r="O875" s="5"/>
    </row>
    <row r="876" spans="1:15" ht="15.6">
      <c r="A876" s="36"/>
      <c r="B876" s="4"/>
      <c r="C876" s="5"/>
      <c r="D876" s="4"/>
      <c r="E876" s="4"/>
      <c r="F876" s="4"/>
      <c r="G876" s="4"/>
      <c r="H876" s="5"/>
      <c r="I876" s="5"/>
      <c r="J876" s="6"/>
      <c r="K876" s="5"/>
      <c r="L876" s="3"/>
      <c r="M876" s="6"/>
      <c r="N876" s="5"/>
      <c r="O876" s="5"/>
    </row>
    <row r="877" spans="1:15" ht="15.6">
      <c r="A877" s="36"/>
      <c r="B877" s="4"/>
      <c r="C877" s="5"/>
      <c r="D877" s="4"/>
      <c r="E877" s="4"/>
      <c r="F877" s="4"/>
      <c r="G877" s="4"/>
      <c r="H877" s="5"/>
      <c r="I877" s="5"/>
      <c r="J877" s="6"/>
      <c r="K877" s="5"/>
      <c r="L877" s="3"/>
      <c r="M877" s="6"/>
      <c r="N877" s="5"/>
      <c r="O877" s="5"/>
    </row>
    <row r="878" spans="1:15" ht="15.6">
      <c r="A878" s="36"/>
      <c r="B878" s="4"/>
      <c r="C878" s="5"/>
      <c r="D878" s="4"/>
      <c r="E878" s="4"/>
      <c r="F878" s="4"/>
      <c r="G878" s="4"/>
      <c r="H878" s="5"/>
      <c r="I878" s="5"/>
      <c r="J878" s="6"/>
      <c r="K878" s="5"/>
      <c r="L878" s="3"/>
      <c r="M878" s="6"/>
      <c r="N878" s="5"/>
      <c r="O878" s="5"/>
    </row>
    <row r="879" spans="1:15" ht="15.6">
      <c r="A879" s="36"/>
      <c r="B879" s="4"/>
      <c r="C879" s="5"/>
      <c r="D879" s="4"/>
      <c r="E879" s="4"/>
      <c r="F879" s="4"/>
      <c r="G879" s="4"/>
      <c r="H879" s="5"/>
      <c r="I879" s="5"/>
      <c r="J879" s="6"/>
      <c r="K879" s="5"/>
      <c r="L879" s="3"/>
      <c r="M879" s="6"/>
      <c r="N879" s="5"/>
      <c r="O879" s="5"/>
    </row>
    <row r="880" spans="1:15" ht="15.6">
      <c r="A880" s="36"/>
      <c r="B880" s="4"/>
      <c r="C880" s="5"/>
      <c r="D880" s="4"/>
      <c r="E880" s="4"/>
      <c r="F880" s="4"/>
      <c r="G880" s="4"/>
      <c r="H880" s="5"/>
      <c r="I880" s="5"/>
      <c r="J880" s="6"/>
      <c r="K880" s="5"/>
      <c r="L880" s="3"/>
      <c r="M880" s="6"/>
      <c r="N880" s="5"/>
      <c r="O880" s="5"/>
    </row>
    <row r="881" spans="1:15" ht="15.6">
      <c r="A881" s="36"/>
      <c r="B881" s="4"/>
      <c r="C881" s="5"/>
      <c r="D881" s="4"/>
      <c r="E881" s="4"/>
      <c r="F881" s="4"/>
      <c r="G881" s="4"/>
      <c r="H881" s="5"/>
      <c r="I881" s="5"/>
      <c r="J881" s="6"/>
      <c r="K881" s="5"/>
      <c r="L881" s="3"/>
      <c r="M881" s="6"/>
      <c r="N881" s="5"/>
      <c r="O881" s="5"/>
    </row>
    <row r="882" spans="1:15" ht="15.6">
      <c r="A882" s="36"/>
      <c r="B882" s="4"/>
      <c r="C882" s="5"/>
      <c r="D882" s="4"/>
      <c r="E882" s="4"/>
      <c r="F882" s="4"/>
      <c r="G882" s="4"/>
      <c r="H882" s="5"/>
      <c r="I882" s="5"/>
      <c r="J882" s="6"/>
      <c r="K882" s="5"/>
      <c r="L882" s="3"/>
      <c r="M882" s="6"/>
      <c r="N882" s="5"/>
      <c r="O882" s="5"/>
    </row>
    <row r="883" spans="1:15" ht="15.6">
      <c r="A883" s="36"/>
      <c r="B883" s="4"/>
      <c r="C883" s="5"/>
      <c r="D883" s="4"/>
      <c r="E883" s="4"/>
      <c r="F883" s="4"/>
      <c r="G883" s="4"/>
      <c r="H883" s="5"/>
      <c r="I883" s="5"/>
      <c r="J883" s="6"/>
      <c r="K883" s="5"/>
      <c r="L883" s="3"/>
      <c r="M883" s="6"/>
      <c r="N883" s="5"/>
      <c r="O883" s="5"/>
    </row>
    <row r="884" spans="1:15" ht="15.6">
      <c r="A884" s="36"/>
      <c r="B884" s="4"/>
      <c r="C884" s="5"/>
      <c r="D884" s="4"/>
      <c r="E884" s="4"/>
      <c r="F884" s="4"/>
      <c r="G884" s="4"/>
      <c r="H884" s="5"/>
      <c r="I884" s="5"/>
      <c r="J884" s="6"/>
      <c r="K884" s="5"/>
      <c r="L884" s="3"/>
      <c r="M884" s="6"/>
      <c r="N884" s="5"/>
      <c r="O884" s="5"/>
    </row>
    <row r="885" spans="1:15" ht="15.6">
      <c r="A885" s="36"/>
      <c r="B885" s="4"/>
      <c r="C885" s="5"/>
      <c r="D885" s="4"/>
      <c r="E885" s="4"/>
      <c r="F885" s="4"/>
      <c r="G885" s="4"/>
      <c r="H885" s="5"/>
      <c r="I885" s="5"/>
      <c r="J885" s="6"/>
      <c r="K885" s="5"/>
      <c r="L885" s="3"/>
      <c r="M885" s="6"/>
      <c r="N885" s="5"/>
      <c r="O885" s="5"/>
    </row>
    <row r="886" spans="1:15" ht="15.6">
      <c r="A886" s="36"/>
      <c r="B886" s="4"/>
      <c r="C886" s="5"/>
      <c r="D886" s="4"/>
      <c r="E886" s="4"/>
      <c r="F886" s="4"/>
      <c r="G886" s="4"/>
      <c r="H886" s="5"/>
      <c r="I886" s="5"/>
      <c r="J886" s="6"/>
      <c r="K886" s="5"/>
      <c r="L886" s="3"/>
      <c r="M886" s="6"/>
      <c r="N886" s="5"/>
      <c r="O886" s="5"/>
    </row>
    <row r="887" spans="1:15" ht="15.6">
      <c r="A887" s="36"/>
      <c r="B887" s="4"/>
      <c r="C887" s="5"/>
      <c r="D887" s="4"/>
      <c r="E887" s="4"/>
      <c r="F887" s="4"/>
      <c r="G887" s="4"/>
      <c r="H887" s="5"/>
      <c r="I887" s="5"/>
      <c r="J887" s="6"/>
      <c r="K887" s="5"/>
      <c r="L887" s="3"/>
      <c r="M887" s="6"/>
      <c r="N887" s="5"/>
      <c r="O887" s="5"/>
    </row>
    <row r="888" spans="1:15" ht="15.6">
      <c r="A888" s="36"/>
      <c r="B888" s="4"/>
      <c r="C888" s="5"/>
      <c r="D888" s="4"/>
      <c r="E888" s="4"/>
      <c r="F888" s="4"/>
      <c r="G888" s="4"/>
      <c r="H888" s="5"/>
      <c r="I888" s="5"/>
      <c r="J888" s="6"/>
      <c r="K888" s="5"/>
      <c r="L888" s="3"/>
      <c r="M888" s="6"/>
      <c r="N888" s="5"/>
      <c r="O888" s="5"/>
    </row>
    <row r="889" spans="1:15" ht="15.6">
      <c r="A889" s="36"/>
      <c r="B889" s="4"/>
      <c r="C889" s="5"/>
      <c r="D889" s="4"/>
      <c r="E889" s="4"/>
      <c r="F889" s="4"/>
      <c r="G889" s="4"/>
      <c r="H889" s="5"/>
      <c r="I889" s="5"/>
      <c r="J889" s="6"/>
      <c r="K889" s="5"/>
      <c r="L889" s="3"/>
      <c r="M889" s="6"/>
      <c r="N889" s="5"/>
      <c r="O889" s="5"/>
    </row>
    <row r="890" spans="1:15" ht="15.6">
      <c r="A890" s="36"/>
      <c r="B890" s="4"/>
      <c r="C890" s="5"/>
      <c r="D890" s="4"/>
      <c r="E890" s="4"/>
      <c r="F890" s="4"/>
      <c r="G890" s="4"/>
      <c r="H890" s="5"/>
      <c r="I890" s="5"/>
      <c r="J890" s="6"/>
      <c r="K890" s="5"/>
      <c r="L890" s="3"/>
      <c r="M890" s="6"/>
      <c r="N890" s="5"/>
      <c r="O890" s="5"/>
    </row>
    <row r="891" spans="1:15" ht="15.6">
      <c r="A891" s="36"/>
      <c r="B891" s="4"/>
      <c r="C891" s="5"/>
      <c r="D891" s="4"/>
      <c r="E891" s="4"/>
      <c r="F891" s="4"/>
      <c r="G891" s="4"/>
      <c r="H891" s="5"/>
      <c r="I891" s="5"/>
      <c r="J891" s="6"/>
      <c r="K891" s="5"/>
      <c r="L891" s="3"/>
      <c r="M891" s="6"/>
      <c r="N891" s="5"/>
      <c r="O891" s="5"/>
    </row>
    <row r="892" spans="1:15" ht="15.6">
      <c r="A892" s="36"/>
      <c r="B892" s="4"/>
      <c r="C892" s="5"/>
      <c r="D892" s="4"/>
      <c r="E892" s="4"/>
      <c r="F892" s="4"/>
      <c r="G892" s="4"/>
      <c r="H892" s="5"/>
      <c r="I892" s="5"/>
      <c r="J892" s="6"/>
      <c r="K892" s="5"/>
      <c r="L892" s="3"/>
      <c r="M892" s="6"/>
      <c r="N892" s="5"/>
      <c r="O892" s="5"/>
    </row>
    <row r="893" spans="1:15" ht="15.6">
      <c r="A893" s="36"/>
      <c r="B893" s="4"/>
      <c r="C893" s="5"/>
      <c r="D893" s="4"/>
      <c r="E893" s="4"/>
      <c r="F893" s="4"/>
      <c r="G893" s="4"/>
      <c r="H893" s="5"/>
      <c r="I893" s="5"/>
      <c r="J893" s="6"/>
      <c r="K893" s="5"/>
      <c r="L893" s="3"/>
      <c r="M893" s="6"/>
      <c r="N893" s="5"/>
      <c r="O893" s="5"/>
    </row>
    <row r="894" spans="1:15" ht="15.6">
      <c r="A894" s="36"/>
      <c r="B894" s="4"/>
      <c r="C894" s="5"/>
      <c r="D894" s="4"/>
      <c r="E894" s="4"/>
      <c r="F894" s="4"/>
      <c r="G894" s="4"/>
      <c r="H894" s="5"/>
      <c r="I894" s="5"/>
      <c r="J894" s="6"/>
      <c r="K894" s="5"/>
      <c r="L894" s="3"/>
      <c r="M894" s="6"/>
      <c r="N894" s="5"/>
      <c r="O894" s="5"/>
    </row>
    <row r="895" spans="1:15" ht="15.6">
      <c r="A895" s="36"/>
      <c r="B895" s="4"/>
      <c r="C895" s="5"/>
      <c r="D895" s="4"/>
      <c r="E895" s="4"/>
      <c r="F895" s="4"/>
      <c r="G895" s="4"/>
      <c r="H895" s="5"/>
      <c r="I895" s="5"/>
      <c r="J895" s="6"/>
      <c r="K895" s="5"/>
      <c r="L895" s="3"/>
      <c r="M895" s="6"/>
      <c r="N895" s="5"/>
      <c r="O895" s="5"/>
    </row>
    <row r="896" spans="1:15" ht="15.6">
      <c r="A896" s="36"/>
      <c r="B896" s="4"/>
      <c r="C896" s="5"/>
      <c r="D896" s="4"/>
      <c r="E896" s="4"/>
      <c r="F896" s="4"/>
      <c r="G896" s="4"/>
      <c r="H896" s="5"/>
      <c r="I896" s="5"/>
      <c r="J896" s="6"/>
      <c r="K896" s="5"/>
      <c r="L896" s="3"/>
      <c r="M896" s="6"/>
      <c r="N896" s="5"/>
      <c r="O896" s="5"/>
    </row>
    <row r="897" spans="1:15" ht="15.6">
      <c r="A897" s="36"/>
      <c r="B897" s="4"/>
      <c r="C897" s="5"/>
      <c r="D897" s="4"/>
      <c r="E897" s="4"/>
      <c r="F897" s="4"/>
      <c r="G897" s="4"/>
      <c r="H897" s="5"/>
      <c r="I897" s="5"/>
      <c r="J897" s="6"/>
      <c r="K897" s="5"/>
      <c r="L897" s="3"/>
      <c r="M897" s="6"/>
      <c r="N897" s="5"/>
      <c r="O897" s="5"/>
    </row>
    <row r="898" spans="1:15" ht="15.6">
      <c r="A898" s="36"/>
      <c r="B898" s="4"/>
      <c r="C898" s="5"/>
      <c r="D898" s="4"/>
      <c r="E898" s="4"/>
      <c r="F898" s="4"/>
      <c r="G898" s="4"/>
      <c r="H898" s="5"/>
      <c r="I898" s="5"/>
      <c r="J898" s="6"/>
      <c r="K898" s="5"/>
      <c r="L898" s="3"/>
      <c r="M898" s="6"/>
      <c r="N898" s="5"/>
      <c r="O898" s="5"/>
    </row>
    <row r="899" spans="1:15" ht="15.6">
      <c r="A899" s="36"/>
      <c r="B899" s="4"/>
      <c r="C899" s="5"/>
      <c r="D899" s="4"/>
      <c r="E899" s="4"/>
      <c r="F899" s="4"/>
      <c r="G899" s="4"/>
      <c r="H899" s="5"/>
      <c r="I899" s="5"/>
      <c r="J899" s="6"/>
      <c r="K899" s="5"/>
      <c r="L899" s="3"/>
      <c r="M899" s="6"/>
      <c r="N899" s="5"/>
      <c r="O899" s="5"/>
    </row>
    <row r="900" spans="1:15" ht="15.6">
      <c r="A900" s="36"/>
      <c r="B900" s="4"/>
      <c r="C900" s="5"/>
      <c r="D900" s="4"/>
      <c r="E900" s="4"/>
      <c r="F900" s="4"/>
      <c r="G900" s="4"/>
      <c r="H900" s="5"/>
      <c r="I900" s="5"/>
      <c r="J900" s="6"/>
      <c r="K900" s="5"/>
      <c r="L900" s="3"/>
      <c r="M900" s="6"/>
      <c r="N900" s="5"/>
      <c r="O900" s="5"/>
    </row>
    <row r="901" spans="1:15" ht="15.6">
      <c r="A901" s="36"/>
      <c r="B901" s="4"/>
      <c r="C901" s="5"/>
      <c r="D901" s="4"/>
      <c r="E901" s="4"/>
      <c r="F901" s="4"/>
      <c r="G901" s="4"/>
      <c r="H901" s="5"/>
      <c r="I901" s="5"/>
      <c r="J901" s="6"/>
      <c r="K901" s="5"/>
      <c r="L901" s="3"/>
      <c r="M901" s="6"/>
      <c r="N901" s="5"/>
      <c r="O901" s="5"/>
    </row>
    <row r="902" spans="1:15" ht="15.6">
      <c r="A902" s="36"/>
      <c r="B902" s="4"/>
      <c r="C902" s="5"/>
      <c r="D902" s="4"/>
      <c r="E902" s="4"/>
      <c r="F902" s="4"/>
      <c r="G902" s="4"/>
      <c r="H902" s="5"/>
      <c r="I902" s="5"/>
      <c r="J902" s="6"/>
      <c r="K902" s="5"/>
      <c r="L902" s="3"/>
      <c r="M902" s="6"/>
      <c r="N902" s="5"/>
      <c r="O902" s="5"/>
    </row>
    <row r="903" spans="1:15" ht="15.6">
      <c r="A903" s="36"/>
      <c r="B903" s="4"/>
      <c r="C903" s="5"/>
      <c r="D903" s="4"/>
      <c r="E903" s="4"/>
      <c r="F903" s="4"/>
      <c r="G903" s="4"/>
      <c r="H903" s="5"/>
      <c r="I903" s="5"/>
      <c r="J903" s="6"/>
      <c r="K903" s="5"/>
      <c r="L903" s="3"/>
      <c r="M903" s="6"/>
      <c r="N903" s="5"/>
      <c r="O903" s="5"/>
    </row>
    <row r="904" spans="1:15" ht="15.6">
      <c r="A904" s="36"/>
      <c r="B904" s="4"/>
      <c r="C904" s="5"/>
      <c r="D904" s="4"/>
      <c r="E904" s="4"/>
      <c r="F904" s="4"/>
      <c r="G904" s="4"/>
      <c r="H904" s="5"/>
      <c r="I904" s="5"/>
      <c r="J904" s="6"/>
      <c r="K904" s="5"/>
      <c r="L904" s="3"/>
      <c r="M904" s="6"/>
      <c r="N904" s="5"/>
      <c r="O904" s="5"/>
    </row>
    <row r="905" spans="1:15" ht="15.6">
      <c r="A905" s="36"/>
      <c r="B905" s="4"/>
      <c r="C905" s="5"/>
      <c r="D905" s="4"/>
      <c r="E905" s="4"/>
      <c r="F905" s="4"/>
      <c r="G905" s="4"/>
      <c r="H905" s="5"/>
      <c r="I905" s="5"/>
      <c r="J905" s="6"/>
      <c r="K905" s="5"/>
      <c r="L905" s="3"/>
      <c r="M905" s="6"/>
      <c r="N905" s="5"/>
      <c r="O905" s="5"/>
    </row>
    <row r="906" spans="1:15" ht="15.6">
      <c r="A906" s="36"/>
      <c r="B906" s="4"/>
      <c r="C906" s="5"/>
      <c r="D906" s="4"/>
      <c r="E906" s="4"/>
      <c r="F906" s="4"/>
      <c r="G906" s="4"/>
      <c r="H906" s="5"/>
      <c r="I906" s="5"/>
      <c r="J906" s="6"/>
      <c r="K906" s="5"/>
      <c r="L906" s="3"/>
      <c r="M906" s="6"/>
      <c r="N906" s="5"/>
      <c r="O906" s="5"/>
    </row>
    <row r="907" spans="1:15" ht="15.6">
      <c r="A907" s="36"/>
      <c r="B907" s="4"/>
      <c r="C907" s="5"/>
      <c r="D907" s="4"/>
      <c r="E907" s="4"/>
      <c r="F907" s="4"/>
      <c r="G907" s="4"/>
      <c r="H907" s="5"/>
      <c r="I907" s="5"/>
      <c r="J907" s="6"/>
      <c r="K907" s="5"/>
      <c r="L907" s="3"/>
      <c r="M907" s="6"/>
      <c r="N907" s="5"/>
      <c r="O907" s="5"/>
    </row>
    <row r="908" spans="1:15" ht="15.6">
      <c r="A908" s="36"/>
      <c r="B908" s="4"/>
      <c r="C908" s="5"/>
      <c r="D908" s="4"/>
      <c r="E908" s="4"/>
      <c r="F908" s="4"/>
      <c r="G908" s="4"/>
      <c r="H908" s="5"/>
      <c r="I908" s="5"/>
      <c r="J908" s="6"/>
      <c r="K908" s="5"/>
      <c r="L908" s="3"/>
      <c r="M908" s="6"/>
      <c r="N908" s="5"/>
      <c r="O908" s="5"/>
    </row>
    <row r="909" spans="1:15" ht="15.6">
      <c r="A909" s="36"/>
      <c r="B909" s="4"/>
      <c r="C909" s="5"/>
      <c r="D909" s="4"/>
      <c r="E909" s="4"/>
      <c r="F909" s="4"/>
      <c r="G909" s="4"/>
      <c r="H909" s="5"/>
      <c r="I909" s="5"/>
      <c r="J909" s="6"/>
      <c r="K909" s="5"/>
      <c r="L909" s="3"/>
      <c r="M909" s="6"/>
      <c r="N909" s="5"/>
      <c r="O909" s="5"/>
    </row>
    <row r="910" spans="1:15" ht="15.6">
      <c r="A910" s="36"/>
      <c r="B910" s="4"/>
      <c r="C910" s="5"/>
      <c r="D910" s="4"/>
      <c r="E910" s="4"/>
      <c r="F910" s="4"/>
      <c r="G910" s="4"/>
      <c r="H910" s="5"/>
      <c r="I910" s="5"/>
      <c r="J910" s="6"/>
      <c r="K910" s="5"/>
      <c r="L910" s="3"/>
      <c r="M910" s="6"/>
      <c r="N910" s="5"/>
      <c r="O910" s="5"/>
    </row>
    <row r="911" spans="1:15" ht="15.6">
      <c r="A911" s="36"/>
      <c r="B911" s="4"/>
      <c r="C911" s="5"/>
      <c r="D911" s="4"/>
      <c r="E911" s="4"/>
      <c r="F911" s="4"/>
      <c r="G911" s="4"/>
      <c r="H911" s="5"/>
      <c r="I911" s="5"/>
      <c r="J911" s="6"/>
      <c r="K911" s="5"/>
      <c r="L911" s="3"/>
      <c r="M911" s="6"/>
      <c r="N911" s="5"/>
      <c r="O911" s="5"/>
    </row>
    <row r="912" spans="1:15" ht="15.6">
      <c r="A912" s="36"/>
      <c r="B912" s="4"/>
      <c r="C912" s="5"/>
      <c r="D912" s="4"/>
      <c r="E912" s="4"/>
      <c r="F912" s="4"/>
      <c r="G912" s="4"/>
      <c r="H912" s="5"/>
      <c r="I912" s="5"/>
      <c r="J912" s="6"/>
      <c r="K912" s="5"/>
      <c r="L912" s="3"/>
      <c r="M912" s="6"/>
      <c r="N912" s="5"/>
      <c r="O912" s="5"/>
    </row>
    <row r="913" spans="1:15" ht="15.6">
      <c r="A913" s="36"/>
      <c r="B913" s="4"/>
      <c r="C913" s="5"/>
      <c r="D913" s="4"/>
      <c r="E913" s="4"/>
      <c r="F913" s="4"/>
      <c r="G913" s="4"/>
      <c r="H913" s="5"/>
      <c r="I913" s="5"/>
      <c r="J913" s="6"/>
      <c r="K913" s="5"/>
      <c r="L913" s="3"/>
      <c r="M913" s="6"/>
      <c r="N913" s="5"/>
      <c r="O913" s="5"/>
    </row>
    <row r="914" spans="1:15" ht="15.6">
      <c r="A914" s="36"/>
      <c r="B914" s="4"/>
      <c r="C914" s="5"/>
      <c r="D914" s="4"/>
      <c r="E914" s="4"/>
      <c r="F914" s="4"/>
      <c r="G914" s="4"/>
      <c r="H914" s="5"/>
      <c r="I914" s="5"/>
      <c r="J914" s="6"/>
      <c r="K914" s="5"/>
      <c r="L914" s="3"/>
      <c r="M914" s="6"/>
      <c r="N914" s="5"/>
      <c r="O914" s="5"/>
    </row>
    <row r="915" spans="1:15" ht="15.6">
      <c r="A915" s="36"/>
      <c r="B915" s="4"/>
      <c r="C915" s="5"/>
      <c r="D915" s="4"/>
      <c r="E915" s="4"/>
      <c r="F915" s="4"/>
      <c r="G915" s="4"/>
      <c r="H915" s="5"/>
      <c r="I915" s="5"/>
      <c r="J915" s="6"/>
      <c r="K915" s="5"/>
      <c r="L915" s="3"/>
      <c r="M915" s="6"/>
      <c r="N915" s="5"/>
      <c r="O915" s="5"/>
    </row>
    <row r="916" spans="1:15" ht="15.6">
      <c r="A916" s="36"/>
      <c r="B916" s="4"/>
      <c r="C916" s="5"/>
      <c r="D916" s="4"/>
      <c r="E916" s="4"/>
      <c r="F916" s="4"/>
      <c r="G916" s="4"/>
      <c r="H916" s="5"/>
      <c r="I916" s="5"/>
      <c r="J916" s="6"/>
      <c r="K916" s="5"/>
      <c r="L916" s="3"/>
      <c r="M916" s="6"/>
      <c r="N916" s="5"/>
      <c r="O916" s="5"/>
    </row>
    <row r="917" spans="1:15" ht="15.6">
      <c r="A917" s="36"/>
      <c r="B917" s="4"/>
      <c r="C917" s="5"/>
      <c r="D917" s="4"/>
      <c r="E917" s="4"/>
      <c r="F917" s="4"/>
      <c r="G917" s="4"/>
      <c r="H917" s="5"/>
      <c r="I917" s="5"/>
      <c r="J917" s="6"/>
      <c r="K917" s="5"/>
      <c r="L917" s="3"/>
      <c r="M917" s="6"/>
      <c r="N917" s="5"/>
      <c r="O917" s="5"/>
    </row>
    <row r="918" spans="1:15" ht="15.6">
      <c r="A918" s="36"/>
      <c r="B918" s="4"/>
      <c r="C918" s="5"/>
      <c r="D918" s="4"/>
      <c r="E918" s="4"/>
      <c r="F918" s="4"/>
      <c r="G918" s="4"/>
      <c r="H918" s="5"/>
      <c r="I918" s="5"/>
      <c r="J918" s="6"/>
      <c r="K918" s="5"/>
      <c r="L918" s="3"/>
      <c r="M918" s="6"/>
      <c r="N918" s="5"/>
      <c r="O918" s="5"/>
    </row>
    <row r="919" spans="1:15" ht="15.6">
      <c r="A919" s="36"/>
      <c r="B919" s="4"/>
      <c r="C919" s="5"/>
      <c r="D919" s="4"/>
      <c r="E919" s="4"/>
      <c r="F919" s="4"/>
      <c r="G919" s="4"/>
      <c r="H919" s="5"/>
      <c r="I919" s="5"/>
      <c r="J919" s="6"/>
      <c r="K919" s="5"/>
      <c r="L919" s="3"/>
      <c r="M919" s="6"/>
      <c r="N919" s="5"/>
      <c r="O919" s="5"/>
    </row>
    <row r="920" spans="1:15" ht="15.6">
      <c r="A920" s="36"/>
      <c r="B920" s="4"/>
      <c r="C920" s="5"/>
      <c r="D920" s="4"/>
      <c r="E920" s="4"/>
      <c r="F920" s="4"/>
      <c r="G920" s="4"/>
      <c r="H920" s="5"/>
      <c r="I920" s="5"/>
      <c r="J920" s="6"/>
      <c r="K920" s="5"/>
      <c r="L920" s="3"/>
      <c r="M920" s="6"/>
      <c r="N920" s="5"/>
      <c r="O920" s="5"/>
    </row>
    <row r="921" spans="1:15" ht="15.6">
      <c r="A921" s="36"/>
      <c r="B921" s="4"/>
      <c r="C921" s="5"/>
      <c r="D921" s="4"/>
      <c r="E921" s="4"/>
      <c r="F921" s="4"/>
      <c r="G921" s="4"/>
      <c r="H921" s="5"/>
      <c r="I921" s="5"/>
      <c r="J921" s="6"/>
      <c r="K921" s="5"/>
      <c r="L921" s="3"/>
      <c r="M921" s="6"/>
      <c r="N921" s="5"/>
      <c r="O921" s="5"/>
    </row>
    <row r="922" spans="1:15" ht="15.6">
      <c r="A922" s="36"/>
      <c r="B922" s="4"/>
      <c r="C922" s="5"/>
      <c r="D922" s="4"/>
      <c r="E922" s="4"/>
      <c r="F922" s="4"/>
      <c r="G922" s="4"/>
      <c r="H922" s="5"/>
      <c r="I922" s="5"/>
      <c r="J922" s="6"/>
      <c r="K922" s="5"/>
      <c r="L922" s="3"/>
      <c r="M922" s="6"/>
      <c r="N922" s="5"/>
      <c r="O922" s="5"/>
    </row>
    <row r="923" spans="1:15" ht="15.6">
      <c r="A923" s="36"/>
      <c r="B923" s="4"/>
      <c r="C923" s="5"/>
      <c r="D923" s="4"/>
      <c r="E923" s="4"/>
      <c r="F923" s="4"/>
      <c r="G923" s="4"/>
      <c r="H923" s="5"/>
      <c r="I923" s="5"/>
      <c r="J923" s="6"/>
      <c r="K923" s="5"/>
      <c r="L923" s="3"/>
      <c r="M923" s="6"/>
      <c r="N923" s="5"/>
      <c r="O923" s="5"/>
    </row>
    <row r="924" spans="1:15" ht="15.6">
      <c r="A924" s="36"/>
      <c r="B924" s="4"/>
      <c r="C924" s="5"/>
      <c r="D924" s="4"/>
      <c r="E924" s="4"/>
      <c r="F924" s="4"/>
      <c r="G924" s="4"/>
      <c r="H924" s="5"/>
      <c r="I924" s="5"/>
      <c r="J924" s="6"/>
      <c r="K924" s="5"/>
      <c r="L924" s="3"/>
      <c r="M924" s="6"/>
      <c r="N924" s="5"/>
      <c r="O924" s="5"/>
    </row>
    <row r="925" spans="1:15" ht="15.6">
      <c r="A925" s="36"/>
      <c r="B925" s="4"/>
      <c r="C925" s="5"/>
      <c r="D925" s="4"/>
      <c r="E925" s="4"/>
      <c r="F925" s="4"/>
      <c r="G925" s="4"/>
      <c r="H925" s="5"/>
      <c r="I925" s="5"/>
      <c r="J925" s="6"/>
      <c r="K925" s="5"/>
      <c r="L925" s="3"/>
      <c r="M925" s="6"/>
      <c r="N925" s="5"/>
      <c r="O925" s="5"/>
    </row>
    <row r="926" spans="1:15" ht="15.6">
      <c r="A926" s="36"/>
      <c r="B926" s="4"/>
      <c r="C926" s="5"/>
      <c r="D926" s="4"/>
      <c r="E926" s="4"/>
      <c r="F926" s="4"/>
      <c r="G926" s="4"/>
      <c r="H926" s="5"/>
      <c r="I926" s="5"/>
      <c r="J926" s="6"/>
      <c r="K926" s="5"/>
      <c r="L926" s="3"/>
      <c r="M926" s="6"/>
      <c r="N926" s="5"/>
      <c r="O926" s="5"/>
    </row>
    <row r="927" spans="1:15" ht="15.6">
      <c r="A927" s="36"/>
      <c r="B927" s="4"/>
      <c r="C927" s="5"/>
      <c r="D927" s="4"/>
      <c r="E927" s="4"/>
      <c r="F927" s="4"/>
      <c r="G927" s="4"/>
      <c r="H927" s="5"/>
      <c r="I927" s="5"/>
      <c r="J927" s="6"/>
      <c r="K927" s="5"/>
      <c r="L927" s="3"/>
      <c r="M927" s="6"/>
      <c r="N927" s="5"/>
      <c r="O927" s="5"/>
    </row>
    <row r="928" spans="1:15" ht="15.6">
      <c r="A928" s="36"/>
      <c r="B928" s="4"/>
      <c r="C928" s="5"/>
      <c r="D928" s="4"/>
      <c r="E928" s="4"/>
      <c r="F928" s="4"/>
      <c r="G928" s="4"/>
      <c r="H928" s="5"/>
      <c r="I928" s="5"/>
      <c r="J928" s="6"/>
      <c r="K928" s="5"/>
      <c r="L928" s="3"/>
      <c r="M928" s="6"/>
      <c r="N928" s="5"/>
      <c r="O928" s="5"/>
    </row>
    <row r="929" spans="1:15" ht="15.6">
      <c r="A929" s="36"/>
      <c r="B929" s="4"/>
      <c r="C929" s="5"/>
      <c r="D929" s="4"/>
      <c r="E929" s="4"/>
      <c r="F929" s="4"/>
      <c r="G929" s="4"/>
      <c r="H929" s="5"/>
      <c r="I929" s="5"/>
      <c r="J929" s="6"/>
      <c r="K929" s="5"/>
      <c r="L929" s="3"/>
      <c r="M929" s="6"/>
      <c r="N929" s="5"/>
      <c r="O929" s="5"/>
    </row>
    <row r="930" spans="1:15" ht="15.6">
      <c r="A930" s="36"/>
      <c r="B930" s="4"/>
      <c r="C930" s="5"/>
      <c r="D930" s="4"/>
      <c r="E930" s="4"/>
      <c r="F930" s="4"/>
      <c r="G930" s="4"/>
      <c r="H930" s="5"/>
      <c r="I930" s="5"/>
      <c r="J930" s="6"/>
      <c r="K930" s="5"/>
      <c r="L930" s="3"/>
      <c r="M930" s="6"/>
      <c r="N930" s="5"/>
      <c r="O930" s="5"/>
    </row>
    <row r="931" spans="1:15" ht="15.6">
      <c r="A931" s="36"/>
      <c r="B931" s="4"/>
      <c r="C931" s="5"/>
      <c r="D931" s="4"/>
      <c r="E931" s="4"/>
      <c r="F931" s="4"/>
      <c r="G931" s="4"/>
      <c r="H931" s="5"/>
      <c r="I931" s="5"/>
      <c r="J931" s="6"/>
      <c r="K931" s="5"/>
      <c r="L931" s="3"/>
      <c r="M931" s="6"/>
      <c r="N931" s="5"/>
      <c r="O931" s="5"/>
    </row>
    <row r="932" spans="1:15" ht="15.6">
      <c r="A932" s="36"/>
      <c r="B932" s="4"/>
      <c r="C932" s="5"/>
      <c r="D932" s="4"/>
      <c r="E932" s="4"/>
      <c r="F932" s="4"/>
      <c r="G932" s="4"/>
      <c r="H932" s="5"/>
      <c r="I932" s="5"/>
      <c r="J932" s="6"/>
      <c r="K932" s="5"/>
      <c r="L932" s="3"/>
      <c r="M932" s="6"/>
      <c r="N932" s="5"/>
      <c r="O932" s="5"/>
    </row>
    <row r="933" spans="1:15" ht="15.6">
      <c r="A933" s="36"/>
      <c r="B933" s="4"/>
      <c r="C933" s="5"/>
      <c r="D933" s="4"/>
      <c r="E933" s="4"/>
      <c r="F933" s="4"/>
      <c r="G933" s="4"/>
      <c r="H933" s="5"/>
      <c r="I933" s="5"/>
      <c r="J933" s="6"/>
      <c r="K933" s="5"/>
      <c r="L933" s="3"/>
      <c r="M933" s="6"/>
      <c r="N933" s="5"/>
      <c r="O933" s="5"/>
    </row>
    <row r="934" spans="1:15" ht="15.6">
      <c r="A934" s="36"/>
      <c r="B934" s="4"/>
      <c r="C934" s="5"/>
      <c r="D934" s="4"/>
      <c r="E934" s="4"/>
      <c r="F934" s="4"/>
      <c r="G934" s="4"/>
      <c r="H934" s="5"/>
      <c r="I934" s="5"/>
      <c r="J934" s="6"/>
      <c r="K934" s="5"/>
      <c r="L934" s="3"/>
      <c r="M934" s="6"/>
      <c r="N934" s="5"/>
      <c r="O934" s="5"/>
    </row>
    <row r="935" spans="1:15" ht="15.6">
      <c r="A935" s="36"/>
      <c r="B935" s="4"/>
      <c r="C935" s="5"/>
      <c r="D935" s="4"/>
      <c r="E935" s="4"/>
      <c r="F935" s="4"/>
      <c r="G935" s="4"/>
      <c r="H935" s="5"/>
      <c r="I935" s="5"/>
      <c r="J935" s="6"/>
      <c r="K935" s="5"/>
      <c r="L935" s="3"/>
      <c r="M935" s="6"/>
      <c r="N935" s="5"/>
      <c r="O935" s="5"/>
    </row>
    <row r="936" spans="1:15" ht="15.6">
      <c r="A936" s="36"/>
      <c r="B936" s="4"/>
      <c r="C936" s="5"/>
      <c r="D936" s="4"/>
      <c r="E936" s="4"/>
      <c r="F936" s="4"/>
      <c r="G936" s="4"/>
      <c r="H936" s="5"/>
      <c r="I936" s="5"/>
      <c r="J936" s="6"/>
      <c r="K936" s="5"/>
      <c r="L936" s="3"/>
      <c r="M936" s="6"/>
      <c r="N936" s="5"/>
      <c r="O936" s="5"/>
    </row>
    <row r="937" spans="1:15" ht="15.6">
      <c r="A937" s="36"/>
      <c r="B937" s="4"/>
      <c r="C937" s="5"/>
      <c r="D937" s="4"/>
      <c r="E937" s="4"/>
      <c r="F937" s="4"/>
      <c r="G937" s="4"/>
      <c r="H937" s="5"/>
      <c r="I937" s="5"/>
      <c r="J937" s="6"/>
      <c r="K937" s="5"/>
      <c r="L937" s="3"/>
      <c r="M937" s="6"/>
      <c r="N937" s="5"/>
      <c r="O937" s="5"/>
    </row>
    <row r="938" spans="1:15" ht="15.6">
      <c r="A938" s="36"/>
      <c r="B938" s="4"/>
      <c r="C938" s="5"/>
      <c r="D938" s="4"/>
      <c r="E938" s="4"/>
      <c r="F938" s="4"/>
      <c r="G938" s="4"/>
      <c r="H938" s="5"/>
      <c r="I938" s="5"/>
      <c r="J938" s="6"/>
      <c r="K938" s="5"/>
      <c r="L938" s="3"/>
      <c r="M938" s="6"/>
      <c r="N938" s="5"/>
      <c r="O938" s="5"/>
    </row>
    <row r="939" spans="1:15" ht="15.6">
      <c r="A939" s="36"/>
      <c r="B939" s="4"/>
      <c r="C939" s="5"/>
      <c r="D939" s="4"/>
      <c r="E939" s="4"/>
      <c r="F939" s="4"/>
      <c r="G939" s="4"/>
      <c r="H939" s="5"/>
      <c r="I939" s="5"/>
      <c r="J939" s="6"/>
      <c r="K939" s="5"/>
      <c r="L939" s="3"/>
      <c r="M939" s="6"/>
      <c r="N939" s="5"/>
      <c r="O939" s="5"/>
    </row>
    <row r="940" spans="1:15" ht="15.6">
      <c r="A940" s="36"/>
      <c r="B940" s="4"/>
      <c r="C940" s="5"/>
      <c r="D940" s="4"/>
      <c r="E940" s="4"/>
      <c r="F940" s="4"/>
      <c r="G940" s="4"/>
      <c r="H940" s="5"/>
      <c r="I940" s="5"/>
      <c r="J940" s="6"/>
      <c r="K940" s="5"/>
      <c r="L940" s="3"/>
      <c r="M940" s="6"/>
      <c r="N940" s="5"/>
      <c r="O940" s="5"/>
    </row>
    <row r="941" spans="1:15" ht="15.6">
      <c r="A941" s="36"/>
      <c r="B941" s="4"/>
      <c r="C941" s="5"/>
      <c r="D941" s="4"/>
      <c r="E941" s="4"/>
      <c r="F941" s="4"/>
      <c r="G941" s="4"/>
      <c r="H941" s="5"/>
      <c r="I941" s="5"/>
      <c r="J941" s="6"/>
      <c r="K941" s="5"/>
      <c r="L941" s="3"/>
      <c r="M941" s="6"/>
      <c r="N941" s="5"/>
      <c r="O941" s="5"/>
    </row>
    <row r="942" spans="1:15" ht="15.6">
      <c r="A942" s="36"/>
      <c r="B942" s="4"/>
      <c r="C942" s="5"/>
      <c r="D942" s="4"/>
      <c r="E942" s="4"/>
      <c r="F942" s="4"/>
      <c r="G942" s="4"/>
      <c r="H942" s="5"/>
      <c r="I942" s="5"/>
      <c r="J942" s="6"/>
      <c r="K942" s="5"/>
      <c r="L942" s="3"/>
      <c r="M942" s="6"/>
      <c r="N942" s="5"/>
      <c r="O942" s="5"/>
    </row>
    <row r="943" spans="1:15" ht="15.6">
      <c r="A943" s="36"/>
      <c r="B943" s="4"/>
      <c r="C943" s="5"/>
      <c r="D943" s="4"/>
      <c r="E943" s="4"/>
      <c r="F943" s="4"/>
      <c r="G943" s="4"/>
      <c r="H943" s="5"/>
      <c r="I943" s="5"/>
      <c r="J943" s="6"/>
      <c r="K943" s="5"/>
      <c r="L943" s="3"/>
      <c r="M943" s="6"/>
      <c r="N943" s="5"/>
      <c r="O943" s="5"/>
    </row>
    <row r="944" spans="1:15" ht="15.6">
      <c r="A944" s="36"/>
      <c r="B944" s="4"/>
      <c r="C944" s="5"/>
      <c r="D944" s="4"/>
      <c r="E944" s="4"/>
      <c r="F944" s="4"/>
      <c r="G944" s="4"/>
      <c r="H944" s="5"/>
      <c r="I944" s="5"/>
      <c r="J944" s="6"/>
      <c r="K944" s="5"/>
      <c r="L944" s="3"/>
      <c r="M944" s="6"/>
      <c r="N944" s="5"/>
      <c r="O944" s="5"/>
    </row>
    <row r="945" spans="1:15" ht="15.6">
      <c r="A945" s="36"/>
      <c r="B945" s="4"/>
      <c r="C945" s="5"/>
      <c r="D945" s="4"/>
      <c r="E945" s="4"/>
      <c r="F945" s="4"/>
      <c r="G945" s="4"/>
      <c r="H945" s="5"/>
      <c r="I945" s="5"/>
      <c r="J945" s="6"/>
      <c r="K945" s="5"/>
      <c r="L945" s="3"/>
      <c r="M945" s="6"/>
      <c r="N945" s="5"/>
      <c r="O945" s="5"/>
    </row>
    <row r="946" spans="1:15" ht="15.6">
      <c r="A946" s="36"/>
      <c r="B946" s="4"/>
      <c r="C946" s="5"/>
      <c r="D946" s="4"/>
      <c r="E946" s="4"/>
      <c r="F946" s="4"/>
      <c r="G946" s="4"/>
      <c r="H946" s="5"/>
      <c r="I946" s="5"/>
      <c r="J946" s="6"/>
      <c r="K946" s="5"/>
      <c r="L946" s="3"/>
      <c r="M946" s="6"/>
      <c r="N946" s="5"/>
      <c r="O946" s="5"/>
    </row>
    <row r="947" spans="1:15" ht="15.6">
      <c r="A947" s="36"/>
      <c r="B947" s="4"/>
      <c r="C947" s="5"/>
      <c r="D947" s="4"/>
      <c r="E947" s="4"/>
      <c r="F947" s="4"/>
      <c r="G947" s="4"/>
      <c r="H947" s="5"/>
      <c r="I947" s="5"/>
      <c r="J947" s="6"/>
      <c r="K947" s="5"/>
      <c r="L947" s="3"/>
      <c r="M947" s="6"/>
      <c r="N947" s="5"/>
      <c r="O947" s="5"/>
    </row>
    <row r="948" spans="1:15" ht="15.6">
      <c r="A948" s="36"/>
      <c r="B948" s="4"/>
      <c r="C948" s="5"/>
      <c r="D948" s="4"/>
      <c r="E948" s="4"/>
      <c r="F948" s="4"/>
      <c r="G948" s="4"/>
      <c r="H948" s="5"/>
      <c r="I948" s="5"/>
      <c r="J948" s="6"/>
      <c r="K948" s="5"/>
      <c r="L948" s="3"/>
      <c r="M948" s="6"/>
      <c r="N948" s="5"/>
      <c r="O948" s="5"/>
    </row>
    <row r="949" spans="1:15" ht="15.6">
      <c r="A949" s="36"/>
      <c r="B949" s="4"/>
      <c r="C949" s="5"/>
      <c r="D949" s="4"/>
      <c r="E949" s="4"/>
      <c r="F949" s="4"/>
      <c r="G949" s="4"/>
      <c r="H949" s="5"/>
      <c r="I949" s="5"/>
      <c r="J949" s="6"/>
      <c r="K949" s="5"/>
      <c r="L949" s="3"/>
      <c r="M949" s="6"/>
      <c r="N949" s="5"/>
      <c r="O949" s="5"/>
    </row>
    <row r="950" spans="1:15" ht="15.6">
      <c r="A950" s="36"/>
      <c r="B950" s="4"/>
      <c r="C950" s="5"/>
      <c r="D950" s="4"/>
      <c r="E950" s="4"/>
      <c r="F950" s="4"/>
      <c r="G950" s="4"/>
      <c r="H950" s="5"/>
      <c r="I950" s="5"/>
      <c r="J950" s="6"/>
      <c r="K950" s="5"/>
      <c r="L950" s="3"/>
      <c r="M950" s="6"/>
      <c r="N950" s="5"/>
      <c r="O950" s="5"/>
    </row>
    <row r="951" spans="1:15" ht="15.6">
      <c r="A951" s="36"/>
      <c r="B951" s="4"/>
      <c r="C951" s="5"/>
      <c r="D951" s="4"/>
      <c r="E951" s="4"/>
      <c r="F951" s="4"/>
      <c r="G951" s="4"/>
      <c r="H951" s="5"/>
      <c r="I951" s="5"/>
      <c r="J951" s="6"/>
      <c r="K951" s="5"/>
      <c r="L951" s="3"/>
      <c r="M951" s="6"/>
      <c r="N951" s="5"/>
      <c r="O951" s="5"/>
    </row>
    <row r="952" spans="1:15" ht="15.6">
      <c r="A952" s="36"/>
      <c r="B952" s="4"/>
      <c r="C952" s="5"/>
      <c r="D952" s="4"/>
      <c r="E952" s="4"/>
      <c r="F952" s="4"/>
      <c r="G952" s="4"/>
      <c r="H952" s="5"/>
      <c r="I952" s="5"/>
      <c r="J952" s="6"/>
      <c r="K952" s="5"/>
      <c r="L952" s="3"/>
      <c r="M952" s="6"/>
      <c r="N952" s="5"/>
      <c r="O952" s="5"/>
    </row>
    <row r="953" spans="1:15" ht="15.6">
      <c r="A953" s="36"/>
      <c r="B953" s="4"/>
      <c r="C953" s="5"/>
      <c r="D953" s="4"/>
      <c r="E953" s="4"/>
      <c r="F953" s="4"/>
      <c r="G953" s="4"/>
      <c r="H953" s="5"/>
      <c r="I953" s="5"/>
      <c r="J953" s="6"/>
      <c r="K953" s="5"/>
      <c r="L953" s="3"/>
      <c r="M953" s="6"/>
      <c r="N953" s="5"/>
      <c r="O953" s="5"/>
    </row>
    <row r="954" spans="1:15" ht="15.6">
      <c r="A954" s="36"/>
      <c r="B954" s="4"/>
      <c r="C954" s="5"/>
      <c r="D954" s="4"/>
      <c r="E954" s="4"/>
      <c r="F954" s="4"/>
      <c r="G954" s="4"/>
      <c r="H954" s="5"/>
      <c r="I954" s="5"/>
      <c r="J954" s="6"/>
      <c r="K954" s="5"/>
      <c r="L954" s="3"/>
      <c r="M954" s="6"/>
      <c r="N954" s="5"/>
      <c r="O954" s="5"/>
    </row>
    <row r="955" spans="1:15" ht="15.6">
      <c r="A955" s="36"/>
      <c r="B955" s="4"/>
      <c r="C955" s="5"/>
      <c r="D955" s="4"/>
      <c r="E955" s="4"/>
      <c r="F955" s="4"/>
      <c r="G955" s="4"/>
      <c r="H955" s="5"/>
      <c r="I955" s="5"/>
      <c r="J955" s="6"/>
      <c r="K955" s="5"/>
      <c r="L955" s="3"/>
      <c r="M955" s="6"/>
      <c r="N955" s="5"/>
      <c r="O955" s="5"/>
    </row>
    <row r="956" spans="1:15" ht="15.6">
      <c r="A956" s="36"/>
      <c r="B956" s="4"/>
      <c r="C956" s="5"/>
      <c r="D956" s="4"/>
      <c r="E956" s="4"/>
      <c r="F956" s="4"/>
      <c r="G956" s="4"/>
      <c r="H956" s="5"/>
      <c r="I956" s="5"/>
      <c r="J956" s="6"/>
      <c r="K956" s="5"/>
      <c r="L956" s="3"/>
      <c r="M956" s="6"/>
      <c r="N956" s="5"/>
      <c r="O956" s="5"/>
    </row>
    <row r="957" spans="1:15" ht="15.6">
      <c r="A957" s="36"/>
      <c r="B957" s="4"/>
      <c r="C957" s="5"/>
      <c r="D957" s="4"/>
      <c r="E957" s="4"/>
      <c r="F957" s="4"/>
      <c r="G957" s="4"/>
      <c r="H957" s="5"/>
      <c r="I957" s="5"/>
      <c r="J957" s="6"/>
      <c r="K957" s="5"/>
      <c r="L957" s="3"/>
      <c r="M957" s="6"/>
      <c r="N957" s="5"/>
      <c r="O957" s="5"/>
    </row>
    <row r="958" spans="1:15" ht="15.6">
      <c r="A958" s="36"/>
      <c r="B958" s="4"/>
      <c r="C958" s="5"/>
      <c r="D958" s="4"/>
      <c r="E958" s="4"/>
      <c r="F958" s="4"/>
      <c r="G958" s="4"/>
      <c r="H958" s="5"/>
      <c r="I958" s="5"/>
      <c r="J958" s="6"/>
      <c r="K958" s="5"/>
      <c r="L958" s="3"/>
      <c r="M958" s="6"/>
      <c r="N958" s="5"/>
      <c r="O958" s="5"/>
    </row>
    <row r="959" spans="1:15" ht="15.6">
      <c r="A959" s="36"/>
      <c r="B959" s="4"/>
      <c r="C959" s="5"/>
      <c r="D959" s="4"/>
      <c r="E959" s="4"/>
      <c r="F959" s="4"/>
      <c r="G959" s="4"/>
      <c r="H959" s="5"/>
      <c r="I959" s="5"/>
      <c r="J959" s="6"/>
      <c r="K959" s="5"/>
      <c r="L959" s="3"/>
      <c r="M959" s="6"/>
      <c r="N959" s="5"/>
      <c r="O959" s="5"/>
    </row>
    <row r="960" spans="1:15" ht="15.6">
      <c r="A960" s="36"/>
      <c r="B960" s="4"/>
      <c r="C960" s="5"/>
      <c r="D960" s="4"/>
      <c r="E960" s="4"/>
      <c r="F960" s="4"/>
      <c r="G960" s="4"/>
      <c r="H960" s="5"/>
      <c r="I960" s="5"/>
      <c r="J960" s="6"/>
      <c r="K960" s="5"/>
      <c r="L960" s="3"/>
      <c r="M960" s="6"/>
      <c r="N960" s="5"/>
      <c r="O960" s="5"/>
    </row>
    <row r="961" spans="1:15" ht="15.6">
      <c r="A961" s="36"/>
      <c r="B961" s="4"/>
      <c r="C961" s="5"/>
      <c r="D961" s="4"/>
      <c r="E961" s="4"/>
      <c r="F961" s="4"/>
      <c r="G961" s="4"/>
      <c r="H961" s="5"/>
      <c r="I961" s="5"/>
      <c r="J961" s="6"/>
      <c r="K961" s="5"/>
      <c r="L961" s="3"/>
      <c r="M961" s="6"/>
      <c r="N961" s="5"/>
      <c r="O961" s="5"/>
    </row>
    <row r="962" spans="1:15" ht="15.6">
      <c r="A962" s="36"/>
      <c r="B962" s="4"/>
      <c r="C962" s="5"/>
      <c r="D962" s="4"/>
      <c r="E962" s="4"/>
      <c r="F962" s="4"/>
      <c r="G962" s="4"/>
      <c r="H962" s="5"/>
      <c r="I962" s="5"/>
      <c r="J962" s="6"/>
      <c r="K962" s="5"/>
      <c r="L962" s="3"/>
      <c r="M962" s="6"/>
      <c r="N962" s="5"/>
      <c r="O962" s="5"/>
    </row>
    <row r="963" spans="1:15" ht="15.6">
      <c r="A963" s="36"/>
      <c r="B963" s="4"/>
      <c r="C963" s="5"/>
      <c r="D963" s="4"/>
      <c r="E963" s="4"/>
      <c r="F963" s="4"/>
      <c r="G963" s="4"/>
      <c r="H963" s="5"/>
      <c r="I963" s="5"/>
      <c r="J963" s="6"/>
      <c r="K963" s="5"/>
      <c r="L963" s="3"/>
      <c r="M963" s="6"/>
      <c r="N963" s="5"/>
      <c r="O963" s="5"/>
    </row>
  </sheetData>
  <autoFilter ref="A1:O205" xr:uid="{00000000-0009-0000-0000-000002000000}">
    <sortState xmlns:xlrd2="http://schemas.microsoft.com/office/spreadsheetml/2017/richdata2" ref="A2:O205">
      <sortCondition ref="A1:A205"/>
    </sortState>
  </autoFilter>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76EF9-F761-4341-A81E-93242FE5D6C4}">
  <dimension ref="A1:J965"/>
  <sheetViews>
    <sheetView workbookViewId="0">
      <selection activeCell="I7" sqref="I7"/>
    </sheetView>
  </sheetViews>
  <sheetFormatPr defaultColWidth="9" defaultRowHeight="14.1"/>
  <cols>
    <col min="1" max="1" width="5" style="58" bestFit="1" customWidth="1"/>
    <col min="2" max="2" width="16.5703125" style="59" customWidth="1"/>
    <col min="3" max="3" width="18.7109375" style="59" customWidth="1"/>
    <col min="4" max="4" width="16.7109375" style="59" customWidth="1"/>
    <col min="5" max="5" width="22.7109375" style="59" customWidth="1"/>
    <col min="6" max="6" width="31.7109375" style="58" customWidth="1"/>
    <col min="7" max="7" width="22.7109375" style="58" hidden="1" customWidth="1"/>
    <col min="8" max="8" width="34" style="58" customWidth="1"/>
    <col min="9" max="9" width="20.5703125" style="58" customWidth="1"/>
    <col min="10" max="10" width="14" style="58" bestFit="1" customWidth="1"/>
    <col min="11" max="16384" width="9" style="58"/>
  </cols>
  <sheetData>
    <row r="1" spans="1:10" s="104" customFormat="1" ht="23.45">
      <c r="A1" s="106" t="s">
        <v>23</v>
      </c>
      <c r="B1" s="107" t="s">
        <v>1838</v>
      </c>
      <c r="C1" s="107" t="s">
        <v>1839</v>
      </c>
      <c r="D1" s="107" t="s">
        <v>1840</v>
      </c>
      <c r="E1" s="107" t="s">
        <v>536</v>
      </c>
      <c r="F1" s="105" t="s">
        <v>1841</v>
      </c>
      <c r="G1" s="105" t="s">
        <v>1842</v>
      </c>
      <c r="H1" s="105" t="s">
        <v>1843</v>
      </c>
      <c r="I1" s="105" t="s">
        <v>1844</v>
      </c>
      <c r="J1" s="105" t="s">
        <v>44</v>
      </c>
    </row>
    <row r="2" spans="1:10" ht="57" customHeight="1">
      <c r="A2" s="72">
        <v>1</v>
      </c>
      <c r="B2" s="109" t="s">
        <v>219</v>
      </c>
      <c r="C2" s="109" t="s">
        <v>209</v>
      </c>
      <c r="D2" s="109" t="s">
        <v>210</v>
      </c>
      <c r="E2" s="102"/>
      <c r="F2" s="95" t="s">
        <v>542</v>
      </c>
      <c r="G2" s="95" t="s">
        <v>540</v>
      </c>
      <c r="H2" s="94" t="s">
        <v>1845</v>
      </c>
      <c r="I2" s="93"/>
      <c r="J2" s="93" t="s">
        <v>450</v>
      </c>
    </row>
    <row r="3" spans="1:10">
      <c r="A3" s="72">
        <v>2</v>
      </c>
      <c r="B3" s="110"/>
      <c r="C3" s="110"/>
      <c r="D3" s="110"/>
      <c r="E3" s="102"/>
      <c r="F3" s="95" t="s">
        <v>557</v>
      </c>
      <c r="G3" s="95" t="s">
        <v>555</v>
      </c>
      <c r="H3" s="94" t="s">
        <v>1845</v>
      </c>
      <c r="I3" s="93"/>
      <c r="J3" s="93"/>
    </row>
    <row r="4" spans="1:10">
      <c r="A4" s="72">
        <v>3</v>
      </c>
      <c r="B4" s="110"/>
      <c r="C4" s="110"/>
      <c r="D4" s="110"/>
      <c r="E4" s="102"/>
      <c r="F4" s="95" t="s">
        <v>566</v>
      </c>
      <c r="G4" s="95" t="s">
        <v>564</v>
      </c>
      <c r="H4" s="94" t="s">
        <v>1845</v>
      </c>
      <c r="I4" s="93"/>
      <c r="J4" s="93"/>
    </row>
    <row r="5" spans="1:10">
      <c r="A5" s="72">
        <v>4</v>
      </c>
      <c r="B5" s="110"/>
      <c r="C5" s="110"/>
      <c r="D5" s="110"/>
      <c r="E5" s="102"/>
      <c r="F5" s="95" t="s">
        <v>575</v>
      </c>
      <c r="G5" s="95" t="s">
        <v>573</v>
      </c>
      <c r="H5" s="94" t="s">
        <v>1845</v>
      </c>
      <c r="I5" s="93"/>
      <c r="J5" s="93"/>
    </row>
    <row r="6" spans="1:10" ht="27.95">
      <c r="A6" s="72">
        <v>5</v>
      </c>
      <c r="B6" s="110"/>
      <c r="C6" s="110"/>
      <c r="D6" s="110"/>
      <c r="E6" s="102"/>
      <c r="F6" s="95" t="s">
        <v>585</v>
      </c>
      <c r="G6" s="95" t="s">
        <v>583</v>
      </c>
      <c r="H6" s="94" t="s">
        <v>1845</v>
      </c>
      <c r="I6" s="93"/>
      <c r="J6" s="93"/>
    </row>
    <row r="7" spans="1:10" ht="27.95">
      <c r="A7" s="72">
        <v>6</v>
      </c>
      <c r="B7" s="110"/>
      <c r="C7" s="110"/>
      <c r="D7" s="110"/>
      <c r="E7" s="102"/>
      <c r="F7" s="95" t="s">
        <v>593</v>
      </c>
      <c r="G7" s="95" t="s">
        <v>591</v>
      </c>
      <c r="H7" s="94" t="s">
        <v>1846</v>
      </c>
      <c r="I7" s="95" t="s">
        <v>217</v>
      </c>
      <c r="J7" s="95"/>
    </row>
    <row r="8" spans="1:10" ht="27.95">
      <c r="A8" s="72">
        <v>7</v>
      </c>
      <c r="B8" s="110"/>
      <c r="C8" s="111"/>
      <c r="D8" s="111"/>
      <c r="E8" s="102"/>
      <c r="F8" s="95" t="s">
        <v>603</v>
      </c>
      <c r="G8" s="95" t="s">
        <v>601</v>
      </c>
      <c r="H8" s="94" t="s">
        <v>1845</v>
      </c>
      <c r="I8" s="93"/>
      <c r="J8" s="93"/>
    </row>
    <row r="9" spans="1:10">
      <c r="A9" s="72">
        <v>8</v>
      </c>
      <c r="B9" s="110"/>
      <c r="C9" s="109" t="s">
        <v>222</v>
      </c>
      <c r="D9" s="109" t="s">
        <v>223</v>
      </c>
      <c r="E9" s="102"/>
      <c r="F9" s="95" t="s">
        <v>621</v>
      </c>
      <c r="G9" s="95" t="s">
        <v>619</v>
      </c>
      <c r="H9" s="94" t="s">
        <v>1845</v>
      </c>
      <c r="I9" s="93"/>
      <c r="J9" s="93"/>
    </row>
    <row r="10" spans="1:10">
      <c r="A10" s="72">
        <v>9</v>
      </c>
      <c r="B10" s="110"/>
      <c r="C10" s="110"/>
      <c r="D10" s="110"/>
      <c r="E10" s="102"/>
      <c r="F10" s="95" t="s">
        <v>627</v>
      </c>
      <c r="G10" s="95" t="s">
        <v>625</v>
      </c>
      <c r="H10" s="94" t="s">
        <v>1845</v>
      </c>
      <c r="I10" s="93"/>
      <c r="J10" s="93"/>
    </row>
    <row r="11" spans="1:10" ht="27.95">
      <c r="A11" s="72">
        <v>10</v>
      </c>
      <c r="B11" s="110"/>
      <c r="C11" s="110"/>
      <c r="D11" s="110"/>
      <c r="E11" s="102"/>
      <c r="F11" s="95" t="s">
        <v>634</v>
      </c>
      <c r="G11" s="95" t="s">
        <v>632</v>
      </c>
      <c r="H11" s="94" t="s">
        <v>1845</v>
      </c>
      <c r="I11" s="93"/>
      <c r="J11" s="93"/>
    </row>
    <row r="12" spans="1:10" ht="27.95">
      <c r="A12" s="72">
        <v>11</v>
      </c>
      <c r="B12" s="110"/>
      <c r="C12" s="110"/>
      <c r="D12" s="110"/>
      <c r="E12" s="102"/>
      <c r="F12" s="95" t="s">
        <v>642</v>
      </c>
      <c r="G12" s="95" t="s">
        <v>640</v>
      </c>
      <c r="H12" s="94" t="s">
        <v>1846</v>
      </c>
      <c r="I12" s="95" t="s">
        <v>65</v>
      </c>
      <c r="J12" s="95"/>
    </row>
    <row r="13" spans="1:10" ht="27.95">
      <c r="A13" s="72">
        <v>12</v>
      </c>
      <c r="B13" s="110"/>
      <c r="C13" s="110"/>
      <c r="D13" s="110"/>
      <c r="E13" s="102"/>
      <c r="F13" s="95" t="s">
        <v>648</v>
      </c>
      <c r="G13" s="95" t="s">
        <v>646</v>
      </c>
      <c r="H13" s="94" t="s">
        <v>1846</v>
      </c>
      <c r="I13" s="95" t="s">
        <v>65</v>
      </c>
      <c r="J13" s="95"/>
    </row>
    <row r="14" spans="1:10" ht="27.95">
      <c r="A14" s="72">
        <v>13</v>
      </c>
      <c r="B14" s="110"/>
      <c r="C14" s="111"/>
      <c r="D14" s="111"/>
      <c r="E14" s="102"/>
      <c r="F14" s="95" t="s">
        <v>653</v>
      </c>
      <c r="G14" s="95" t="s">
        <v>651</v>
      </c>
      <c r="H14" s="94" t="s">
        <v>1845</v>
      </c>
      <c r="I14" s="93"/>
      <c r="J14" s="93"/>
    </row>
    <row r="15" spans="1:10" ht="57" customHeight="1">
      <c r="A15" s="72">
        <v>14</v>
      </c>
      <c r="B15" s="110"/>
      <c r="C15" s="109" t="s">
        <v>248</v>
      </c>
      <c r="D15" s="109" t="s">
        <v>249</v>
      </c>
      <c r="E15" s="102"/>
      <c r="F15" s="95" t="s">
        <v>659</v>
      </c>
      <c r="G15" s="95" t="s">
        <v>657</v>
      </c>
      <c r="H15" s="94" t="s">
        <v>1845</v>
      </c>
      <c r="I15" s="93"/>
      <c r="J15" s="93"/>
    </row>
    <row r="16" spans="1:10">
      <c r="A16" s="72">
        <v>15</v>
      </c>
      <c r="B16" s="110"/>
      <c r="C16" s="110"/>
      <c r="D16" s="110"/>
      <c r="E16" s="102"/>
      <c r="F16" s="95" t="s">
        <v>666</v>
      </c>
      <c r="G16" s="95" t="s">
        <v>664</v>
      </c>
      <c r="H16" s="94" t="s">
        <v>1845</v>
      </c>
      <c r="I16" s="93"/>
      <c r="J16" s="93"/>
    </row>
    <row r="17" spans="1:10">
      <c r="A17" s="72">
        <v>16</v>
      </c>
      <c r="B17" s="110"/>
      <c r="C17" s="110"/>
      <c r="D17" s="110"/>
      <c r="E17" s="102"/>
      <c r="F17" s="95" t="s">
        <v>672</v>
      </c>
      <c r="G17" s="95" t="s">
        <v>670</v>
      </c>
      <c r="H17" s="94" t="s">
        <v>1845</v>
      </c>
      <c r="I17" s="93"/>
      <c r="J17" s="93"/>
    </row>
    <row r="18" spans="1:10" ht="27.95">
      <c r="A18" s="72">
        <v>17</v>
      </c>
      <c r="B18" s="110"/>
      <c r="C18" s="110"/>
      <c r="D18" s="110"/>
      <c r="E18" s="102"/>
      <c r="F18" s="95" t="s">
        <v>678</v>
      </c>
      <c r="G18" s="95" t="s">
        <v>676</v>
      </c>
      <c r="H18" s="94" t="s">
        <v>1846</v>
      </c>
      <c r="I18" s="93" t="s">
        <v>217</v>
      </c>
      <c r="J18" s="93"/>
    </row>
    <row r="19" spans="1:10" ht="27.95">
      <c r="A19" s="72">
        <v>18</v>
      </c>
      <c r="B19" s="110"/>
      <c r="C19" s="111"/>
      <c r="D19" s="111"/>
      <c r="E19" s="102"/>
      <c r="F19" s="95" t="s">
        <v>685</v>
      </c>
      <c r="G19" s="95" t="s">
        <v>683</v>
      </c>
      <c r="H19" s="94" t="s">
        <v>1845</v>
      </c>
      <c r="I19" s="93"/>
      <c r="J19" s="93"/>
    </row>
    <row r="20" spans="1:10" ht="27.95">
      <c r="A20" s="72">
        <v>19</v>
      </c>
      <c r="B20" s="110"/>
      <c r="C20" s="109" t="s">
        <v>259</v>
      </c>
      <c r="D20" s="109" t="s">
        <v>260</v>
      </c>
      <c r="E20" s="102"/>
      <c r="F20" s="95" t="s">
        <v>690</v>
      </c>
      <c r="G20" s="95" t="s">
        <v>688</v>
      </c>
      <c r="H20" s="94" t="s">
        <v>1845</v>
      </c>
      <c r="I20" s="93"/>
      <c r="J20" s="93"/>
    </row>
    <row r="21" spans="1:10">
      <c r="A21" s="72">
        <v>20</v>
      </c>
      <c r="B21" s="110"/>
      <c r="C21" s="110"/>
      <c r="D21" s="110"/>
      <c r="E21" s="102"/>
      <c r="F21" s="95" t="s">
        <v>659</v>
      </c>
      <c r="G21" s="95" t="s">
        <v>696</v>
      </c>
      <c r="H21" s="94" t="s">
        <v>1845</v>
      </c>
      <c r="I21" s="93"/>
      <c r="J21" s="93"/>
    </row>
    <row r="22" spans="1:10">
      <c r="A22" s="72">
        <v>21</v>
      </c>
      <c r="B22" s="110"/>
      <c r="C22" s="110"/>
      <c r="D22" s="110"/>
      <c r="E22" s="102"/>
      <c r="F22" s="95" t="s">
        <v>699</v>
      </c>
      <c r="G22" s="95" t="s">
        <v>697</v>
      </c>
      <c r="H22" s="94" t="s">
        <v>1845</v>
      </c>
      <c r="I22" s="93"/>
      <c r="J22" s="93"/>
    </row>
    <row r="23" spans="1:10" ht="27.95">
      <c r="A23" s="72">
        <v>22</v>
      </c>
      <c r="B23" s="110"/>
      <c r="C23" s="110"/>
      <c r="D23" s="110"/>
      <c r="E23" s="102"/>
      <c r="F23" s="95" t="s">
        <v>706</v>
      </c>
      <c r="G23" s="95" t="s">
        <v>704</v>
      </c>
      <c r="H23" s="94" t="s">
        <v>1846</v>
      </c>
      <c r="I23" s="103" t="s">
        <v>1847</v>
      </c>
      <c r="J23" s="103"/>
    </row>
    <row r="24" spans="1:10" ht="27.95">
      <c r="A24" s="72">
        <v>23</v>
      </c>
      <c r="B24" s="110"/>
      <c r="C24" s="111"/>
      <c r="D24" s="111"/>
      <c r="E24" s="102"/>
      <c r="F24" s="95" t="s">
        <v>712</v>
      </c>
      <c r="G24" s="95" t="s">
        <v>710</v>
      </c>
      <c r="H24" s="94" t="s">
        <v>1845</v>
      </c>
      <c r="I24" s="93"/>
      <c r="J24" s="93"/>
    </row>
    <row r="25" spans="1:10">
      <c r="A25" s="72">
        <v>24</v>
      </c>
      <c r="B25" s="110"/>
      <c r="C25" s="109" t="s">
        <v>265</v>
      </c>
      <c r="D25" s="109" t="s">
        <v>266</v>
      </c>
      <c r="E25" s="102"/>
      <c r="F25" s="95" t="s">
        <v>717</v>
      </c>
      <c r="G25" s="95" t="s">
        <v>715</v>
      </c>
      <c r="H25" s="94" t="s">
        <v>1845</v>
      </c>
      <c r="I25" s="93"/>
      <c r="J25" s="93"/>
    </row>
    <row r="26" spans="1:10">
      <c r="A26" s="72">
        <v>25</v>
      </c>
      <c r="B26" s="110"/>
      <c r="C26" s="110"/>
      <c r="D26" s="110"/>
      <c r="E26" s="102"/>
      <c r="F26" s="95" t="s">
        <v>723</v>
      </c>
      <c r="G26" s="95" t="s">
        <v>722</v>
      </c>
      <c r="H26" s="94" t="s">
        <v>1845</v>
      </c>
      <c r="I26" s="93"/>
      <c r="J26" s="93"/>
    </row>
    <row r="27" spans="1:10" ht="27.95">
      <c r="A27" s="72">
        <v>26</v>
      </c>
      <c r="B27" s="110"/>
      <c r="C27" s="110"/>
      <c r="D27" s="110"/>
      <c r="E27" s="102"/>
      <c r="F27" s="95" t="s">
        <v>727</v>
      </c>
      <c r="G27" s="95" t="s">
        <v>725</v>
      </c>
      <c r="H27" s="94" t="s">
        <v>1845</v>
      </c>
      <c r="I27" s="93"/>
      <c r="J27" s="93"/>
    </row>
    <row r="28" spans="1:10" ht="27.95">
      <c r="A28" s="72">
        <v>27</v>
      </c>
      <c r="B28" s="110"/>
      <c r="C28" s="110"/>
      <c r="D28" s="110"/>
      <c r="E28" s="102"/>
      <c r="F28" s="95" t="s">
        <v>732</v>
      </c>
      <c r="G28" s="95" t="s">
        <v>730</v>
      </c>
      <c r="H28" s="94" t="s">
        <v>1845</v>
      </c>
      <c r="I28" s="93"/>
      <c r="J28" s="93"/>
    </row>
    <row r="29" spans="1:10">
      <c r="A29" s="72">
        <v>28</v>
      </c>
      <c r="B29" s="110"/>
      <c r="C29" s="110"/>
      <c r="D29" s="110"/>
      <c r="E29" s="101"/>
      <c r="F29" s="100" t="s">
        <v>737</v>
      </c>
      <c r="G29" s="95" t="s">
        <v>735</v>
      </c>
      <c r="H29" s="94" t="s">
        <v>1845</v>
      </c>
      <c r="I29" s="93"/>
      <c r="J29" s="93"/>
    </row>
    <row r="30" spans="1:10" ht="27.95">
      <c r="A30" s="72">
        <v>29</v>
      </c>
      <c r="B30" s="110"/>
      <c r="C30" s="110"/>
      <c r="D30" s="110"/>
      <c r="E30" s="101"/>
      <c r="F30" s="100" t="s">
        <v>742</v>
      </c>
      <c r="G30" s="95" t="s">
        <v>740</v>
      </c>
      <c r="H30" s="94" t="s">
        <v>1846</v>
      </c>
      <c r="I30" s="93" t="s">
        <v>65</v>
      </c>
      <c r="J30" s="93"/>
    </row>
    <row r="31" spans="1:10" ht="27.95">
      <c r="A31" s="72">
        <v>30</v>
      </c>
      <c r="B31" s="110"/>
      <c r="C31" s="111"/>
      <c r="D31" s="111"/>
      <c r="E31" s="101"/>
      <c r="F31" s="100" t="s">
        <v>746</v>
      </c>
      <c r="G31" s="95" t="s">
        <v>744</v>
      </c>
      <c r="H31" s="94" t="s">
        <v>1845</v>
      </c>
      <c r="I31" s="93"/>
      <c r="J31" s="93"/>
    </row>
    <row r="32" spans="1:10" ht="42.75" customHeight="1">
      <c r="A32" s="72">
        <v>31</v>
      </c>
      <c r="B32" s="110"/>
      <c r="C32" s="109" t="s">
        <v>273</v>
      </c>
      <c r="D32" s="112" t="s">
        <v>1848</v>
      </c>
      <c r="E32" s="99"/>
      <c r="F32" s="98" t="s">
        <v>749</v>
      </c>
      <c r="G32" s="96"/>
      <c r="H32" s="97"/>
      <c r="I32" s="96"/>
      <c r="J32" s="96"/>
    </row>
    <row r="33" spans="1:10">
      <c r="A33" s="72">
        <v>32</v>
      </c>
      <c r="B33" s="110"/>
      <c r="C33" s="110"/>
      <c r="D33" s="113"/>
      <c r="E33" s="99"/>
      <c r="F33" s="98" t="s">
        <v>752</v>
      </c>
      <c r="G33" s="96"/>
      <c r="H33" s="97"/>
      <c r="I33" s="96"/>
      <c r="J33" s="96"/>
    </row>
    <row r="34" spans="1:10">
      <c r="A34" s="72">
        <v>33</v>
      </c>
      <c r="B34" s="110"/>
      <c r="C34" s="110"/>
      <c r="D34" s="113"/>
      <c r="E34" s="99"/>
      <c r="F34" s="98" t="s">
        <v>753</v>
      </c>
      <c r="G34" s="96"/>
      <c r="H34" s="97"/>
      <c r="I34" s="96"/>
      <c r="J34" s="96"/>
    </row>
    <row r="35" spans="1:10" ht="27.95">
      <c r="A35" s="72">
        <v>34</v>
      </c>
      <c r="B35" s="110"/>
      <c r="C35" s="110"/>
      <c r="D35" s="113"/>
      <c r="E35" s="99"/>
      <c r="F35" s="98" t="s">
        <v>754</v>
      </c>
      <c r="G35" s="96"/>
      <c r="H35" s="97"/>
      <c r="I35" s="96"/>
      <c r="J35" s="96"/>
    </row>
    <row r="36" spans="1:10" ht="27.95">
      <c r="A36" s="72">
        <v>35</v>
      </c>
      <c r="B36" s="110"/>
      <c r="C36" s="110"/>
      <c r="D36" s="113"/>
      <c r="E36" s="99"/>
      <c r="F36" s="98" t="s">
        <v>756</v>
      </c>
      <c r="G36" s="96"/>
      <c r="H36" s="97"/>
      <c r="I36" s="96"/>
      <c r="J36" s="96"/>
    </row>
    <row r="37" spans="1:10" ht="27.95">
      <c r="A37" s="72">
        <v>36</v>
      </c>
      <c r="B37" s="110"/>
      <c r="C37" s="110"/>
      <c r="D37" s="113"/>
      <c r="E37" s="99"/>
      <c r="F37" s="98" t="s">
        <v>757</v>
      </c>
      <c r="G37" s="96"/>
      <c r="H37" s="97"/>
      <c r="I37" s="96"/>
      <c r="J37" s="96"/>
    </row>
    <row r="38" spans="1:10" ht="27.95">
      <c r="A38" s="72">
        <v>37</v>
      </c>
      <c r="B38" s="111"/>
      <c r="C38" s="111"/>
      <c r="D38" s="114"/>
      <c r="E38" s="99"/>
      <c r="F38" s="98" t="s">
        <v>758</v>
      </c>
      <c r="G38" s="96"/>
      <c r="H38" s="97"/>
      <c r="I38" s="96"/>
      <c r="J38" s="96"/>
    </row>
    <row r="39" spans="1:10" ht="27.95">
      <c r="A39" s="72">
        <v>38</v>
      </c>
      <c r="B39" s="115" t="s">
        <v>759</v>
      </c>
      <c r="C39" s="115" t="s">
        <v>394</v>
      </c>
      <c r="D39" s="115" t="s">
        <v>408</v>
      </c>
      <c r="E39" s="149" t="s">
        <v>769</v>
      </c>
      <c r="F39" s="79" t="s">
        <v>762</v>
      </c>
      <c r="G39" s="79" t="s">
        <v>760</v>
      </c>
      <c r="H39" s="78" t="s">
        <v>1845</v>
      </c>
      <c r="I39" s="77"/>
      <c r="J39" s="77"/>
    </row>
    <row r="40" spans="1:10">
      <c r="A40" s="72">
        <v>39</v>
      </c>
      <c r="B40" s="116"/>
      <c r="C40" s="116"/>
      <c r="D40" s="116"/>
      <c r="E40" s="150"/>
      <c r="F40" s="79" t="s">
        <v>772</v>
      </c>
      <c r="G40" s="79" t="s">
        <v>770</v>
      </c>
      <c r="H40" s="78" t="s">
        <v>1845</v>
      </c>
      <c r="I40" s="77"/>
      <c r="J40" s="77"/>
    </row>
    <row r="41" spans="1:10" ht="27.95">
      <c r="A41" s="72">
        <v>40</v>
      </c>
      <c r="B41" s="116"/>
      <c r="C41" s="116"/>
      <c r="D41" s="116"/>
      <c r="E41" s="150"/>
      <c r="F41" s="79" t="s">
        <v>778</v>
      </c>
      <c r="G41" s="79" t="s">
        <v>776</v>
      </c>
      <c r="H41" s="78" t="s">
        <v>1846</v>
      </c>
      <c r="I41" s="79" t="s">
        <v>782</v>
      </c>
      <c r="J41" s="79"/>
    </row>
    <row r="42" spans="1:10">
      <c r="A42" s="72">
        <v>41</v>
      </c>
      <c r="B42" s="116"/>
      <c r="C42" s="116"/>
      <c r="D42" s="116"/>
      <c r="E42" s="150"/>
      <c r="F42" s="79" t="s">
        <v>786</v>
      </c>
      <c r="G42" s="79" t="s">
        <v>784</v>
      </c>
      <c r="H42" s="78" t="s">
        <v>1845</v>
      </c>
      <c r="I42" s="77"/>
      <c r="J42" s="77"/>
    </row>
    <row r="43" spans="1:10">
      <c r="A43" s="72">
        <v>42</v>
      </c>
      <c r="B43" s="116"/>
      <c r="C43" s="116"/>
      <c r="D43" s="116"/>
      <c r="E43" s="150"/>
      <c r="F43" s="79" t="s">
        <v>792</v>
      </c>
      <c r="G43" s="79" t="s">
        <v>790</v>
      </c>
      <c r="H43" s="78" t="s">
        <v>1845</v>
      </c>
      <c r="I43" s="77"/>
      <c r="J43" s="77"/>
    </row>
    <row r="44" spans="1:10">
      <c r="A44" s="72">
        <v>43</v>
      </c>
      <c r="B44" s="116"/>
      <c r="C44" s="116"/>
      <c r="D44" s="116"/>
      <c r="E44" s="150"/>
      <c r="F44" s="79" t="s">
        <v>804</v>
      </c>
      <c r="G44" s="79" t="s">
        <v>796</v>
      </c>
      <c r="H44" s="78" t="s">
        <v>1845</v>
      </c>
      <c r="I44" s="77"/>
      <c r="J44" s="77"/>
    </row>
    <row r="45" spans="1:10" ht="27.95">
      <c r="A45" s="72">
        <v>44</v>
      </c>
      <c r="B45" s="116"/>
      <c r="C45" s="116"/>
      <c r="D45" s="116"/>
      <c r="E45" s="150"/>
      <c r="F45" s="79" t="s">
        <v>798</v>
      </c>
      <c r="G45" s="79" t="s">
        <v>802</v>
      </c>
      <c r="H45" s="78" t="s">
        <v>1845</v>
      </c>
      <c r="I45" s="77"/>
      <c r="J45" s="77"/>
    </row>
    <row r="46" spans="1:10" ht="27.95">
      <c r="A46" s="72">
        <v>45</v>
      </c>
      <c r="B46" s="116"/>
      <c r="C46" s="116"/>
      <c r="D46" s="116"/>
      <c r="E46" s="151"/>
      <c r="F46" s="79" t="s">
        <v>811</v>
      </c>
      <c r="G46" s="79" t="s">
        <v>809</v>
      </c>
      <c r="H46" s="78" t="s">
        <v>1845</v>
      </c>
      <c r="I46" s="77"/>
      <c r="J46" s="77"/>
    </row>
    <row r="47" spans="1:10" ht="13.5" customHeight="1">
      <c r="A47" s="72">
        <v>46</v>
      </c>
      <c r="B47" s="116"/>
      <c r="C47" s="116"/>
      <c r="D47" s="116"/>
      <c r="E47" s="149" t="s">
        <v>819</v>
      </c>
      <c r="F47" s="79" t="s">
        <v>816</v>
      </c>
      <c r="G47" s="79" t="s">
        <v>814</v>
      </c>
      <c r="H47" s="78" t="s">
        <v>1845</v>
      </c>
      <c r="I47" s="77"/>
      <c r="J47" s="77"/>
    </row>
    <row r="48" spans="1:10" ht="27.95">
      <c r="A48" s="72">
        <v>47</v>
      </c>
      <c r="B48" s="116"/>
      <c r="C48" s="116"/>
      <c r="D48" s="116"/>
      <c r="E48" s="151"/>
      <c r="F48" s="79" t="s">
        <v>823</v>
      </c>
      <c r="G48" s="79" t="s">
        <v>821</v>
      </c>
      <c r="H48" s="78" t="s">
        <v>1846</v>
      </c>
      <c r="I48" s="79" t="s">
        <v>1849</v>
      </c>
      <c r="J48" s="79"/>
    </row>
    <row r="49" spans="1:10">
      <c r="A49" s="72">
        <v>48</v>
      </c>
      <c r="B49" s="116"/>
      <c r="C49" s="116"/>
      <c r="D49" s="116"/>
      <c r="E49" s="149" t="s">
        <v>831</v>
      </c>
      <c r="F49" s="79" t="s">
        <v>828</v>
      </c>
      <c r="G49" s="79" t="s">
        <v>826</v>
      </c>
      <c r="H49" s="78" t="s">
        <v>1845</v>
      </c>
      <c r="I49" s="77"/>
      <c r="J49" s="77"/>
    </row>
    <row r="50" spans="1:10">
      <c r="A50" s="72">
        <v>49</v>
      </c>
      <c r="B50" s="116"/>
      <c r="C50" s="116"/>
      <c r="D50" s="116"/>
      <c r="E50" s="150"/>
      <c r="F50" s="79" t="s">
        <v>834</v>
      </c>
      <c r="G50" s="79" t="s">
        <v>832</v>
      </c>
      <c r="H50" s="78" t="s">
        <v>1845</v>
      </c>
      <c r="I50" s="77"/>
      <c r="J50" s="77"/>
    </row>
    <row r="51" spans="1:10" ht="27.95">
      <c r="A51" s="72">
        <v>50</v>
      </c>
      <c r="B51" s="116"/>
      <c r="C51" s="116"/>
      <c r="D51" s="116"/>
      <c r="E51" s="150"/>
      <c r="F51" s="79" t="s">
        <v>839</v>
      </c>
      <c r="G51" s="79" t="s">
        <v>837</v>
      </c>
      <c r="H51" s="78" t="s">
        <v>1846</v>
      </c>
      <c r="I51" s="79" t="s">
        <v>782</v>
      </c>
      <c r="J51" s="79"/>
    </row>
    <row r="52" spans="1:10">
      <c r="A52" s="72">
        <v>51</v>
      </c>
      <c r="B52" s="116"/>
      <c r="C52" s="116"/>
      <c r="D52" s="116"/>
      <c r="E52" s="150"/>
      <c r="F52" s="79" t="s">
        <v>844</v>
      </c>
      <c r="G52" s="79" t="s">
        <v>842</v>
      </c>
      <c r="H52" s="78" t="s">
        <v>1845</v>
      </c>
      <c r="I52" s="77"/>
      <c r="J52" s="77"/>
    </row>
    <row r="53" spans="1:10" ht="27.95">
      <c r="A53" s="72">
        <v>52</v>
      </c>
      <c r="B53" s="116"/>
      <c r="C53" s="116"/>
      <c r="D53" s="116"/>
      <c r="E53" s="150"/>
      <c r="F53" s="79" t="s">
        <v>852</v>
      </c>
      <c r="G53" s="79" t="s">
        <v>847</v>
      </c>
      <c r="H53" s="78" t="s">
        <v>1845</v>
      </c>
      <c r="I53" s="77"/>
      <c r="J53" s="77"/>
    </row>
    <row r="54" spans="1:10" ht="27.95">
      <c r="A54" s="72">
        <v>53</v>
      </c>
      <c r="B54" s="116"/>
      <c r="C54" s="116"/>
      <c r="D54" s="116"/>
      <c r="E54" s="150"/>
      <c r="F54" s="79" t="s">
        <v>855</v>
      </c>
      <c r="G54" s="79" t="s">
        <v>850</v>
      </c>
      <c r="H54" s="78" t="s">
        <v>1845</v>
      </c>
      <c r="I54" s="77"/>
      <c r="J54" s="77"/>
    </row>
    <row r="55" spans="1:10" ht="27.95">
      <c r="A55" s="72">
        <v>54</v>
      </c>
      <c r="B55" s="116"/>
      <c r="C55" s="116"/>
      <c r="D55" s="116"/>
      <c r="E55" s="150"/>
      <c r="F55" s="79" t="s">
        <v>849</v>
      </c>
      <c r="G55" s="79" t="s">
        <v>853</v>
      </c>
      <c r="H55" s="78" t="s">
        <v>1845</v>
      </c>
      <c r="I55" s="77"/>
      <c r="J55" s="77"/>
    </row>
    <row r="56" spans="1:10" ht="27.95">
      <c r="A56" s="72">
        <v>55</v>
      </c>
      <c r="B56" s="117"/>
      <c r="C56" s="117"/>
      <c r="D56" s="117"/>
      <c r="E56" s="151"/>
      <c r="F56" s="79" t="s">
        <v>858</v>
      </c>
      <c r="G56" s="79" t="s">
        <v>856</v>
      </c>
      <c r="H56" s="78" t="s">
        <v>1845</v>
      </c>
      <c r="I56" s="77"/>
      <c r="J56" s="77"/>
    </row>
    <row r="57" spans="1:10" ht="72" customHeight="1">
      <c r="A57" s="72">
        <v>56</v>
      </c>
      <c r="B57" s="109" t="s">
        <v>219</v>
      </c>
      <c r="C57" s="109" t="s">
        <v>394</v>
      </c>
      <c r="D57" s="109" t="s">
        <v>415</v>
      </c>
      <c r="E57" s="109" t="s">
        <v>864</v>
      </c>
      <c r="F57" s="95" t="s">
        <v>862</v>
      </c>
      <c r="G57" s="93"/>
      <c r="H57" s="94" t="s">
        <v>1845</v>
      </c>
      <c r="I57" s="93"/>
      <c r="J57" s="93"/>
    </row>
    <row r="58" spans="1:10">
      <c r="A58" s="72">
        <v>57</v>
      </c>
      <c r="B58" s="110"/>
      <c r="C58" s="110"/>
      <c r="D58" s="110"/>
      <c r="E58" s="110"/>
      <c r="F58" s="95" t="s">
        <v>867</v>
      </c>
      <c r="G58" s="93"/>
      <c r="H58" s="94" t="s">
        <v>1845</v>
      </c>
      <c r="I58" s="93"/>
      <c r="J58" s="93"/>
    </row>
    <row r="59" spans="1:10">
      <c r="A59" s="72">
        <v>58</v>
      </c>
      <c r="B59" s="110"/>
      <c r="C59" s="110"/>
      <c r="D59" s="110"/>
      <c r="E59" s="110"/>
      <c r="F59" s="95" t="s">
        <v>871</v>
      </c>
      <c r="G59" s="93"/>
      <c r="H59" s="94" t="s">
        <v>1845</v>
      </c>
      <c r="I59" s="93"/>
      <c r="J59" s="93"/>
    </row>
    <row r="60" spans="1:10" ht="27.95">
      <c r="A60" s="72">
        <v>59</v>
      </c>
      <c r="B60" s="110"/>
      <c r="C60" s="110"/>
      <c r="D60" s="110"/>
      <c r="E60" s="110"/>
      <c r="F60" s="95" t="s">
        <v>877</v>
      </c>
      <c r="G60" s="93"/>
      <c r="H60" s="94" t="s">
        <v>1845</v>
      </c>
      <c r="I60" s="93"/>
      <c r="J60" s="93"/>
    </row>
    <row r="61" spans="1:10" ht="27.95">
      <c r="A61" s="72">
        <v>60</v>
      </c>
      <c r="B61" s="110"/>
      <c r="C61" s="110"/>
      <c r="D61" s="110"/>
      <c r="E61" s="110"/>
      <c r="F61" s="95" t="s">
        <v>882</v>
      </c>
      <c r="G61" s="93"/>
      <c r="H61" s="94" t="s">
        <v>1845</v>
      </c>
      <c r="I61" s="93"/>
      <c r="J61" s="93"/>
    </row>
    <row r="62" spans="1:10">
      <c r="A62" s="72">
        <v>61</v>
      </c>
      <c r="B62" s="110"/>
      <c r="C62" s="110"/>
      <c r="D62" s="110"/>
      <c r="E62" s="110"/>
      <c r="F62" s="95" t="s">
        <v>887</v>
      </c>
      <c r="G62" s="93"/>
      <c r="H62" s="94" t="s">
        <v>1845</v>
      </c>
      <c r="I62" s="93"/>
      <c r="J62" s="93"/>
    </row>
    <row r="63" spans="1:10">
      <c r="A63" s="72">
        <v>62</v>
      </c>
      <c r="B63" s="110"/>
      <c r="C63" s="110"/>
      <c r="D63" s="110"/>
      <c r="E63" s="111"/>
      <c r="F63" s="95" t="s">
        <v>891</v>
      </c>
      <c r="G63" s="93"/>
      <c r="H63" s="94" t="s">
        <v>1845</v>
      </c>
      <c r="I63" s="93"/>
      <c r="J63" s="93"/>
    </row>
    <row r="64" spans="1:10">
      <c r="A64" s="72">
        <v>63</v>
      </c>
      <c r="B64" s="110"/>
      <c r="C64" s="110"/>
      <c r="D64" s="110"/>
      <c r="E64" s="109" t="s">
        <v>898</v>
      </c>
      <c r="F64" s="95" t="s">
        <v>895</v>
      </c>
      <c r="G64" s="93"/>
      <c r="H64" s="94" t="s">
        <v>1845</v>
      </c>
      <c r="I64" s="93"/>
      <c r="J64" s="93"/>
    </row>
    <row r="65" spans="1:10">
      <c r="A65" s="72">
        <v>64</v>
      </c>
      <c r="B65" s="110"/>
      <c r="C65" s="110"/>
      <c r="D65" s="110"/>
      <c r="E65" s="110"/>
      <c r="F65" s="95" t="s">
        <v>901</v>
      </c>
      <c r="G65" s="93"/>
      <c r="H65" s="94" t="s">
        <v>1845</v>
      </c>
      <c r="I65" s="93"/>
      <c r="J65" s="93"/>
    </row>
    <row r="66" spans="1:10">
      <c r="A66" s="72">
        <v>65</v>
      </c>
      <c r="B66" s="110"/>
      <c r="C66" s="110"/>
      <c r="D66" s="110"/>
      <c r="E66" s="110"/>
      <c r="F66" s="95" t="s">
        <v>871</v>
      </c>
      <c r="G66" s="93"/>
      <c r="H66" s="94" t="s">
        <v>1845</v>
      </c>
      <c r="I66" s="93"/>
      <c r="J66" s="93"/>
    </row>
    <row r="67" spans="1:10" ht="27.95">
      <c r="A67" s="72">
        <v>66</v>
      </c>
      <c r="B67" s="110"/>
      <c r="C67" s="110"/>
      <c r="D67" s="110"/>
      <c r="E67" s="110"/>
      <c r="F67" s="95" t="s">
        <v>907</v>
      </c>
      <c r="G67" s="93"/>
      <c r="H67" s="94" t="s">
        <v>1845</v>
      </c>
      <c r="I67" s="93"/>
      <c r="J67" s="93"/>
    </row>
    <row r="68" spans="1:10" ht="27.95">
      <c r="A68" s="72">
        <v>67</v>
      </c>
      <c r="B68" s="110"/>
      <c r="C68" s="110"/>
      <c r="D68" s="110"/>
      <c r="E68" s="110"/>
      <c r="F68" s="95" t="s">
        <v>912</v>
      </c>
      <c r="G68" s="93"/>
      <c r="H68" s="94" t="s">
        <v>1845</v>
      </c>
      <c r="I68" s="93"/>
      <c r="J68" s="93"/>
    </row>
    <row r="69" spans="1:10">
      <c r="A69" s="72">
        <v>68</v>
      </c>
      <c r="B69" s="110"/>
      <c r="C69" s="110"/>
      <c r="D69" s="110"/>
      <c r="E69" s="110"/>
      <c r="F69" s="95" t="s">
        <v>887</v>
      </c>
      <c r="G69" s="93"/>
      <c r="H69" s="94" t="s">
        <v>1845</v>
      </c>
      <c r="I69" s="93"/>
      <c r="J69" s="93"/>
    </row>
    <row r="70" spans="1:10">
      <c r="A70" s="72">
        <v>69</v>
      </c>
      <c r="B70" s="110"/>
      <c r="C70" s="110"/>
      <c r="D70" s="110"/>
      <c r="E70" s="111"/>
      <c r="F70" s="95" t="s">
        <v>891</v>
      </c>
      <c r="G70" s="93"/>
      <c r="H70" s="94" t="s">
        <v>1845</v>
      </c>
      <c r="I70" s="93"/>
      <c r="J70" s="93"/>
    </row>
    <row r="71" spans="1:10" ht="27.95">
      <c r="A71" s="72">
        <v>70</v>
      </c>
      <c r="B71" s="110"/>
      <c r="C71" s="110"/>
      <c r="D71" s="110"/>
      <c r="E71" s="109" t="s">
        <v>926</v>
      </c>
      <c r="F71" s="95" t="s">
        <v>923</v>
      </c>
      <c r="G71" s="93"/>
      <c r="H71" s="94" t="s">
        <v>1845</v>
      </c>
      <c r="I71" s="93"/>
      <c r="J71" s="93"/>
    </row>
    <row r="72" spans="1:10" ht="27.95">
      <c r="A72" s="72">
        <v>71</v>
      </c>
      <c r="B72" s="110"/>
      <c r="C72" s="110"/>
      <c r="D72" s="110"/>
      <c r="E72" s="110"/>
      <c r="F72" s="95" t="s">
        <v>929</v>
      </c>
      <c r="G72" s="93"/>
      <c r="H72" s="94" t="s">
        <v>1845</v>
      </c>
      <c r="I72" s="93"/>
      <c r="J72" s="93"/>
    </row>
    <row r="73" spans="1:10">
      <c r="A73" s="72">
        <v>72</v>
      </c>
      <c r="B73" s="110"/>
      <c r="C73" s="110"/>
      <c r="D73" s="110"/>
      <c r="E73" s="110"/>
      <c r="F73" s="95" t="s">
        <v>934</v>
      </c>
      <c r="G73" s="93"/>
      <c r="H73" s="94" t="s">
        <v>1845</v>
      </c>
      <c r="I73" s="93"/>
      <c r="J73" s="93"/>
    </row>
    <row r="74" spans="1:10" ht="27.95">
      <c r="A74" s="72">
        <v>73</v>
      </c>
      <c r="B74" s="110"/>
      <c r="C74" s="110"/>
      <c r="D74" s="110"/>
      <c r="E74" s="110"/>
      <c r="F74" s="95" t="s">
        <v>938</v>
      </c>
      <c r="G74" s="93"/>
      <c r="H74" s="94" t="s">
        <v>1845</v>
      </c>
      <c r="I74" s="93"/>
      <c r="J74" s="93"/>
    </row>
    <row r="75" spans="1:10" ht="27.95">
      <c r="A75" s="72">
        <v>74</v>
      </c>
      <c r="B75" s="110"/>
      <c r="C75" s="110"/>
      <c r="D75" s="110"/>
      <c r="E75" s="110"/>
      <c r="F75" s="95" t="s">
        <v>943</v>
      </c>
      <c r="G75" s="93"/>
      <c r="H75" s="94" t="s">
        <v>1845</v>
      </c>
      <c r="I75" s="93"/>
      <c r="J75" s="93"/>
    </row>
    <row r="76" spans="1:10" ht="27.95">
      <c r="A76" s="72">
        <v>75</v>
      </c>
      <c r="B76" s="110"/>
      <c r="C76" s="110"/>
      <c r="D76" s="110"/>
      <c r="E76" s="110"/>
      <c r="F76" s="95" t="s">
        <v>948</v>
      </c>
      <c r="G76" s="93"/>
      <c r="H76" s="94" t="s">
        <v>1845</v>
      </c>
      <c r="I76" s="93"/>
      <c r="J76" s="93"/>
    </row>
    <row r="77" spans="1:10">
      <c r="A77" s="72">
        <v>76</v>
      </c>
      <c r="B77" s="110"/>
      <c r="C77" s="110"/>
      <c r="D77" s="110"/>
      <c r="E77" s="110"/>
      <c r="F77" s="95" t="s">
        <v>887</v>
      </c>
      <c r="G77" s="93"/>
      <c r="H77" s="94" t="s">
        <v>1845</v>
      </c>
      <c r="I77" s="93"/>
      <c r="J77" s="93"/>
    </row>
    <row r="78" spans="1:10" ht="27.95">
      <c r="A78" s="72">
        <v>77</v>
      </c>
      <c r="B78" s="111"/>
      <c r="C78" s="111"/>
      <c r="D78" s="111"/>
      <c r="E78" s="111"/>
      <c r="F78" s="95" t="s">
        <v>955</v>
      </c>
      <c r="G78" s="93"/>
      <c r="H78" s="94" t="s">
        <v>1845</v>
      </c>
      <c r="I78" s="93"/>
      <c r="J78" s="93"/>
    </row>
    <row r="79" spans="1:10">
      <c r="A79" s="72">
        <v>78</v>
      </c>
      <c r="B79" s="118" t="s">
        <v>434</v>
      </c>
      <c r="C79" s="108" t="s">
        <v>77</v>
      </c>
      <c r="D79" s="108" t="s">
        <v>79</v>
      </c>
      <c r="E79" s="92"/>
      <c r="F79" s="91" t="s">
        <v>962</v>
      </c>
      <c r="G79" s="91" t="s">
        <v>960</v>
      </c>
      <c r="H79" s="90" t="s">
        <v>1845</v>
      </c>
      <c r="I79" s="89"/>
      <c r="J79" s="89"/>
    </row>
    <row r="80" spans="1:10" ht="42.75" customHeight="1">
      <c r="A80" s="72">
        <v>79</v>
      </c>
      <c r="B80" s="119"/>
      <c r="C80" s="118" t="s">
        <v>104</v>
      </c>
      <c r="D80" s="118" t="s">
        <v>105</v>
      </c>
      <c r="E80" s="92"/>
      <c r="F80" s="91" t="s">
        <v>972</v>
      </c>
      <c r="G80" s="91" t="s">
        <v>970</v>
      </c>
      <c r="H80" s="90" t="s">
        <v>1845</v>
      </c>
      <c r="I80" s="89"/>
      <c r="J80" s="89"/>
    </row>
    <row r="81" spans="1:10">
      <c r="A81" s="72">
        <v>80</v>
      </c>
      <c r="B81" s="119"/>
      <c r="C81" s="119"/>
      <c r="D81" s="119"/>
      <c r="E81" s="92"/>
      <c r="F81" s="91" t="s">
        <v>979</v>
      </c>
      <c r="G81" s="91" t="s">
        <v>977</v>
      </c>
      <c r="H81" s="90" t="s">
        <v>1845</v>
      </c>
      <c r="I81" s="89"/>
      <c r="J81" s="89"/>
    </row>
    <row r="82" spans="1:10" ht="27.95">
      <c r="A82" s="72">
        <v>81</v>
      </c>
      <c r="B82" s="119"/>
      <c r="C82" s="119"/>
      <c r="D82" s="119"/>
      <c r="E82" s="92"/>
      <c r="F82" s="91" t="s">
        <v>984</v>
      </c>
      <c r="G82" s="91" t="s">
        <v>982</v>
      </c>
      <c r="H82" s="90" t="s">
        <v>1845</v>
      </c>
      <c r="I82" s="89"/>
      <c r="J82" s="89"/>
    </row>
    <row r="83" spans="1:10" ht="27.95">
      <c r="A83" s="72">
        <v>82</v>
      </c>
      <c r="B83" s="119"/>
      <c r="C83" s="120"/>
      <c r="D83" s="120"/>
      <c r="E83" s="92"/>
      <c r="F83" s="91" t="s">
        <v>988</v>
      </c>
      <c r="G83" s="91" t="s">
        <v>986</v>
      </c>
      <c r="H83" s="90" t="s">
        <v>1845</v>
      </c>
      <c r="I83" s="89"/>
      <c r="J83" s="89"/>
    </row>
    <row r="84" spans="1:10" ht="86.25" customHeight="1">
      <c r="A84" s="72">
        <v>83</v>
      </c>
      <c r="B84" s="119"/>
      <c r="C84" s="118" t="s">
        <v>123</v>
      </c>
      <c r="D84" s="118" t="s">
        <v>124</v>
      </c>
      <c r="E84" s="92"/>
      <c r="F84" s="91" t="s">
        <v>995</v>
      </c>
      <c r="G84" s="91" t="s">
        <v>993</v>
      </c>
      <c r="H84" s="90" t="s">
        <v>1845</v>
      </c>
      <c r="I84" s="89"/>
      <c r="J84" s="89"/>
    </row>
    <row r="85" spans="1:10">
      <c r="A85" s="72">
        <v>84</v>
      </c>
      <c r="B85" s="119"/>
      <c r="C85" s="119"/>
      <c r="D85" s="119"/>
      <c r="E85" s="92"/>
      <c r="F85" s="91" t="s">
        <v>1001</v>
      </c>
      <c r="G85" s="91" t="s">
        <v>999</v>
      </c>
      <c r="H85" s="90" t="s">
        <v>1845</v>
      </c>
      <c r="I85" s="89"/>
      <c r="J85" s="89"/>
    </row>
    <row r="86" spans="1:10" ht="27.95">
      <c r="A86" s="72">
        <v>85</v>
      </c>
      <c r="B86" s="119"/>
      <c r="C86" s="119"/>
      <c r="D86" s="119"/>
      <c r="E86" s="92"/>
      <c r="F86" s="91" t="s">
        <v>1005</v>
      </c>
      <c r="G86" s="91" t="s">
        <v>1003</v>
      </c>
      <c r="H86" s="90" t="s">
        <v>1845</v>
      </c>
      <c r="I86" s="89"/>
      <c r="J86" s="89"/>
    </row>
    <row r="87" spans="1:10">
      <c r="A87" s="72">
        <v>86</v>
      </c>
      <c r="B87" s="119"/>
      <c r="C87" s="119"/>
      <c r="D87" s="119"/>
      <c r="E87" s="92"/>
      <c r="F87" s="91" t="s">
        <v>1009</v>
      </c>
      <c r="G87" s="91" t="s">
        <v>1007</v>
      </c>
      <c r="H87" s="90" t="s">
        <v>1845</v>
      </c>
      <c r="I87" s="89"/>
      <c r="J87" s="89"/>
    </row>
    <row r="88" spans="1:10" ht="27.95">
      <c r="A88" s="72">
        <v>87</v>
      </c>
      <c r="B88" s="119"/>
      <c r="C88" s="120"/>
      <c r="D88" s="120"/>
      <c r="E88" s="92"/>
      <c r="F88" s="91" t="s">
        <v>1013</v>
      </c>
      <c r="G88" s="91" t="s">
        <v>1011</v>
      </c>
      <c r="H88" s="90" t="s">
        <v>1845</v>
      </c>
      <c r="I88" s="89"/>
      <c r="J88" s="89"/>
    </row>
    <row r="89" spans="1:10" ht="42.75" customHeight="1">
      <c r="A89" s="72">
        <v>88</v>
      </c>
      <c r="B89" s="119"/>
      <c r="C89" s="118" t="s">
        <v>290</v>
      </c>
      <c r="D89" s="121" t="s">
        <v>291</v>
      </c>
      <c r="E89" s="118" t="s">
        <v>1025</v>
      </c>
      <c r="F89" s="91" t="s">
        <v>1018</v>
      </c>
      <c r="G89" s="89"/>
      <c r="H89" s="90" t="s">
        <v>1845</v>
      </c>
      <c r="I89" s="89"/>
      <c r="J89" s="89"/>
    </row>
    <row r="90" spans="1:10">
      <c r="A90" s="72">
        <v>89</v>
      </c>
      <c r="B90" s="119"/>
      <c r="C90" s="119"/>
      <c r="D90" s="122"/>
      <c r="E90" s="119"/>
      <c r="F90" s="91" t="s">
        <v>1028</v>
      </c>
      <c r="G90" s="89"/>
      <c r="H90" s="90" t="s">
        <v>1845</v>
      </c>
      <c r="I90" s="89"/>
      <c r="J90" s="89"/>
    </row>
    <row r="91" spans="1:10">
      <c r="A91" s="72">
        <v>90</v>
      </c>
      <c r="B91" s="119"/>
      <c r="C91" s="119"/>
      <c r="D91" s="122"/>
      <c r="E91" s="119"/>
      <c r="F91" s="91" t="s">
        <v>1032</v>
      </c>
      <c r="G91" s="89"/>
      <c r="H91" s="90" t="s">
        <v>1845</v>
      </c>
      <c r="I91" s="89"/>
      <c r="J91" s="89"/>
    </row>
    <row r="92" spans="1:10">
      <c r="A92" s="72">
        <v>91</v>
      </c>
      <c r="B92" s="119"/>
      <c r="C92" s="119"/>
      <c r="D92" s="122"/>
      <c r="E92" s="119"/>
      <c r="F92" s="91" t="s">
        <v>1036</v>
      </c>
      <c r="G92" s="89"/>
      <c r="H92" s="90" t="s">
        <v>1845</v>
      </c>
      <c r="I92" s="89"/>
      <c r="J92" s="89"/>
    </row>
    <row r="93" spans="1:10">
      <c r="A93" s="72">
        <v>92</v>
      </c>
      <c r="B93" s="119"/>
      <c r="C93" s="119"/>
      <c r="D93" s="122"/>
      <c r="E93" s="119"/>
      <c r="F93" s="91" t="s">
        <v>1040</v>
      </c>
      <c r="G93" s="89"/>
      <c r="H93" s="90" t="s">
        <v>1845</v>
      </c>
      <c r="I93" s="89"/>
      <c r="J93" s="89"/>
    </row>
    <row r="94" spans="1:10" ht="27.95">
      <c r="A94" s="72">
        <v>93</v>
      </c>
      <c r="B94" s="119"/>
      <c r="C94" s="119"/>
      <c r="D94" s="122"/>
      <c r="E94" s="119"/>
      <c r="F94" s="91" t="s">
        <v>1044</v>
      </c>
      <c r="G94" s="89"/>
      <c r="H94" s="90" t="s">
        <v>1845</v>
      </c>
      <c r="I94" s="89"/>
      <c r="J94" s="89"/>
    </row>
    <row r="95" spans="1:10" ht="27.95">
      <c r="A95" s="72">
        <v>94</v>
      </c>
      <c r="B95" s="119"/>
      <c r="C95" s="119"/>
      <c r="D95" s="122"/>
      <c r="E95" s="120"/>
      <c r="F95" s="91" t="s">
        <v>1048</v>
      </c>
      <c r="G95" s="89"/>
      <c r="H95" s="90" t="s">
        <v>1845</v>
      </c>
      <c r="I95" s="89"/>
      <c r="J95" s="89"/>
    </row>
    <row r="96" spans="1:10">
      <c r="A96" s="72">
        <v>95</v>
      </c>
      <c r="B96" s="119"/>
      <c r="C96" s="119"/>
      <c r="D96" s="122"/>
      <c r="E96" s="118" t="s">
        <v>1054</v>
      </c>
      <c r="F96" s="91" t="s">
        <v>1052</v>
      </c>
      <c r="G96" s="89"/>
      <c r="H96" s="90" t="s">
        <v>1845</v>
      </c>
      <c r="I96" s="89"/>
      <c r="J96" s="89"/>
    </row>
    <row r="97" spans="1:10">
      <c r="A97" s="72">
        <v>96</v>
      </c>
      <c r="B97" s="119"/>
      <c r="C97" s="119"/>
      <c r="D97" s="122"/>
      <c r="E97" s="119"/>
      <c r="F97" s="91" t="s">
        <v>1057</v>
      </c>
      <c r="G97" s="89"/>
      <c r="H97" s="90" t="s">
        <v>1845</v>
      </c>
      <c r="I97" s="89"/>
      <c r="J97" s="89"/>
    </row>
    <row r="98" spans="1:10">
      <c r="A98" s="72">
        <v>97</v>
      </c>
      <c r="B98" s="119"/>
      <c r="C98" s="119"/>
      <c r="D98" s="122"/>
      <c r="E98" s="119"/>
      <c r="F98" s="91" t="s">
        <v>1061</v>
      </c>
      <c r="G98" s="89"/>
      <c r="H98" s="90" t="s">
        <v>1845</v>
      </c>
      <c r="I98" s="89"/>
      <c r="J98" s="89"/>
    </row>
    <row r="99" spans="1:10">
      <c r="A99" s="72">
        <v>98</v>
      </c>
      <c r="B99" s="119"/>
      <c r="C99" s="119"/>
      <c r="D99" s="122"/>
      <c r="E99" s="119"/>
      <c r="F99" s="91" t="s">
        <v>1065</v>
      </c>
      <c r="G99" s="89"/>
      <c r="H99" s="90" t="s">
        <v>1845</v>
      </c>
      <c r="I99" s="89"/>
      <c r="J99" s="89"/>
    </row>
    <row r="100" spans="1:10">
      <c r="A100" s="72">
        <v>99</v>
      </c>
      <c r="B100" s="119"/>
      <c r="C100" s="119"/>
      <c r="D100" s="122"/>
      <c r="E100" s="119"/>
      <c r="F100" s="91" t="s">
        <v>1069</v>
      </c>
      <c r="G100" s="89"/>
      <c r="H100" s="90" t="s">
        <v>1845</v>
      </c>
      <c r="I100" s="89"/>
      <c r="J100" s="89"/>
    </row>
    <row r="101" spans="1:10">
      <c r="A101" s="72">
        <v>100</v>
      </c>
      <c r="B101" s="119"/>
      <c r="C101" s="119"/>
      <c r="D101" s="122"/>
      <c r="E101" s="119"/>
      <c r="F101" s="91" t="s">
        <v>1073</v>
      </c>
      <c r="G101" s="89"/>
      <c r="H101" s="90" t="s">
        <v>1845</v>
      </c>
      <c r="I101" s="89"/>
      <c r="J101" s="89"/>
    </row>
    <row r="102" spans="1:10">
      <c r="A102" s="72">
        <v>101</v>
      </c>
      <c r="B102" s="119"/>
      <c r="C102" s="119"/>
      <c r="D102" s="122"/>
      <c r="E102" s="119"/>
      <c r="F102" s="91" t="s">
        <v>1077</v>
      </c>
      <c r="G102" s="89"/>
      <c r="H102" s="90" t="s">
        <v>1845</v>
      </c>
      <c r="I102" s="89"/>
      <c r="J102" s="89"/>
    </row>
    <row r="103" spans="1:10">
      <c r="A103" s="72">
        <v>102</v>
      </c>
      <c r="B103" s="119"/>
      <c r="C103" s="119"/>
      <c r="D103" s="122"/>
      <c r="E103" s="119"/>
      <c r="F103" s="91" t="s">
        <v>1081</v>
      </c>
      <c r="G103" s="89"/>
      <c r="H103" s="90" t="s">
        <v>1845</v>
      </c>
      <c r="I103" s="89"/>
      <c r="J103" s="89"/>
    </row>
    <row r="104" spans="1:10" ht="27.95">
      <c r="A104" s="72">
        <v>103</v>
      </c>
      <c r="B104" s="119"/>
      <c r="C104" s="119"/>
      <c r="D104" s="122"/>
      <c r="E104" s="119"/>
      <c r="F104" s="91" t="s">
        <v>1085</v>
      </c>
      <c r="G104" s="89"/>
      <c r="H104" s="90" t="s">
        <v>1845</v>
      </c>
      <c r="I104" s="89"/>
      <c r="J104" s="89"/>
    </row>
    <row r="105" spans="1:10" ht="27.95">
      <c r="A105" s="72">
        <v>104</v>
      </c>
      <c r="B105" s="119"/>
      <c r="C105" s="119"/>
      <c r="D105" s="122"/>
      <c r="E105" s="119"/>
      <c r="F105" s="91" t="s">
        <v>1089</v>
      </c>
      <c r="G105" s="89"/>
      <c r="H105" s="90" t="s">
        <v>1845</v>
      </c>
      <c r="I105" s="89"/>
      <c r="J105" s="89"/>
    </row>
    <row r="106" spans="1:10">
      <c r="A106" s="72">
        <v>105</v>
      </c>
      <c r="B106" s="119"/>
      <c r="C106" s="120"/>
      <c r="D106" s="123"/>
      <c r="E106" s="120"/>
      <c r="F106" s="91" t="s">
        <v>1093</v>
      </c>
      <c r="G106" s="89"/>
      <c r="H106" s="90" t="s">
        <v>1845</v>
      </c>
      <c r="I106" s="89"/>
      <c r="J106" s="89"/>
    </row>
    <row r="107" spans="1:10">
      <c r="A107" s="72">
        <v>108</v>
      </c>
      <c r="B107" s="119"/>
      <c r="C107" s="118" t="s">
        <v>316</v>
      </c>
      <c r="D107" s="121" t="s">
        <v>1111</v>
      </c>
      <c r="E107" s="92"/>
      <c r="F107" s="91" t="s">
        <v>1105</v>
      </c>
      <c r="G107" s="89"/>
      <c r="H107" s="90" t="s">
        <v>1845</v>
      </c>
      <c r="I107" s="89"/>
      <c r="J107" s="89"/>
    </row>
    <row r="108" spans="1:10">
      <c r="A108" s="72">
        <v>109</v>
      </c>
      <c r="B108" s="119"/>
      <c r="C108" s="119"/>
      <c r="D108" s="122"/>
      <c r="E108" s="92"/>
      <c r="F108" s="91" t="s">
        <v>1114</v>
      </c>
      <c r="G108" s="89"/>
      <c r="H108" s="90" t="s">
        <v>1845</v>
      </c>
      <c r="I108" s="89"/>
      <c r="J108" s="89"/>
    </row>
    <row r="109" spans="1:10">
      <c r="A109" s="72">
        <v>110</v>
      </c>
      <c r="B109" s="119"/>
      <c r="C109" s="119"/>
      <c r="D109" s="122"/>
      <c r="E109" s="92"/>
      <c r="F109" s="91" t="s">
        <v>1118</v>
      </c>
      <c r="G109" s="89"/>
      <c r="H109" s="90" t="s">
        <v>1845</v>
      </c>
      <c r="I109" s="89"/>
      <c r="J109" s="89"/>
    </row>
    <row r="110" spans="1:10">
      <c r="A110" s="72">
        <v>111</v>
      </c>
      <c r="B110" s="119"/>
      <c r="C110" s="119"/>
      <c r="D110" s="122"/>
      <c r="E110" s="92"/>
      <c r="F110" s="91" t="s">
        <v>1122</v>
      </c>
      <c r="G110" s="89"/>
      <c r="H110" s="90" t="s">
        <v>1845</v>
      </c>
      <c r="I110" s="89"/>
      <c r="J110" s="89"/>
    </row>
    <row r="111" spans="1:10">
      <c r="A111" s="72">
        <v>112</v>
      </c>
      <c r="B111" s="119"/>
      <c r="C111" s="119"/>
      <c r="D111" s="122"/>
      <c r="E111" s="92"/>
      <c r="F111" s="91" t="s">
        <v>1126</v>
      </c>
      <c r="G111" s="89"/>
      <c r="H111" s="90" t="s">
        <v>1845</v>
      </c>
      <c r="I111" s="89"/>
      <c r="J111" s="89"/>
    </row>
    <row r="112" spans="1:10" ht="27.95">
      <c r="A112" s="72">
        <v>113</v>
      </c>
      <c r="B112" s="119"/>
      <c r="C112" s="120"/>
      <c r="D112" s="123"/>
      <c r="E112" s="92"/>
      <c r="F112" s="91" t="s">
        <v>1130</v>
      </c>
      <c r="G112" s="89"/>
      <c r="H112" s="90" t="s">
        <v>1845</v>
      </c>
      <c r="I112" s="89"/>
      <c r="J112" s="89"/>
    </row>
    <row r="113" spans="1:10" ht="86.25" customHeight="1">
      <c r="A113" s="72">
        <v>115</v>
      </c>
      <c r="B113" s="119"/>
      <c r="C113" s="118" t="s">
        <v>327</v>
      </c>
      <c r="D113" s="121" t="s">
        <v>1138</v>
      </c>
      <c r="E113" s="92"/>
      <c r="F113" s="91" t="s">
        <v>1135</v>
      </c>
      <c r="G113" s="89"/>
      <c r="H113" s="90" t="s">
        <v>1845</v>
      </c>
      <c r="I113" s="89"/>
      <c r="J113" s="89"/>
    </row>
    <row r="114" spans="1:10">
      <c r="A114" s="72">
        <v>116</v>
      </c>
      <c r="B114" s="119"/>
      <c r="C114" s="119"/>
      <c r="D114" s="122"/>
      <c r="E114" s="92"/>
      <c r="F114" s="91" t="s">
        <v>1141</v>
      </c>
      <c r="G114" s="89"/>
      <c r="H114" s="90" t="s">
        <v>1845</v>
      </c>
      <c r="I114" s="89"/>
      <c r="J114" s="89"/>
    </row>
    <row r="115" spans="1:10" ht="27.95">
      <c r="A115" s="72">
        <v>117</v>
      </c>
      <c r="B115" s="119"/>
      <c r="C115" s="119"/>
      <c r="D115" s="122"/>
      <c r="E115" s="92"/>
      <c r="F115" s="91" t="s">
        <v>1145</v>
      </c>
      <c r="G115" s="89"/>
      <c r="H115" s="90" t="s">
        <v>1845</v>
      </c>
      <c r="I115" s="89"/>
      <c r="J115" s="89"/>
    </row>
    <row r="116" spans="1:10" ht="27.95">
      <c r="A116" s="72">
        <v>118</v>
      </c>
      <c r="B116" s="119"/>
      <c r="C116" s="120"/>
      <c r="D116" s="123"/>
      <c r="E116" s="92"/>
      <c r="F116" s="91" t="s">
        <v>1149</v>
      </c>
      <c r="G116" s="89"/>
      <c r="H116" s="90" t="s">
        <v>1845</v>
      </c>
      <c r="I116" s="89"/>
      <c r="J116" s="89"/>
    </row>
    <row r="117" spans="1:10" ht="28.5" customHeight="1">
      <c r="A117" s="72">
        <v>120</v>
      </c>
      <c r="B117" s="119"/>
      <c r="C117" s="118" t="s">
        <v>192</v>
      </c>
      <c r="D117" s="121" t="s">
        <v>193</v>
      </c>
      <c r="E117" s="92"/>
      <c r="F117" s="91" t="s">
        <v>1155</v>
      </c>
      <c r="G117" s="89"/>
      <c r="H117" s="90" t="s">
        <v>1845</v>
      </c>
      <c r="I117" s="89"/>
      <c r="J117" s="89"/>
    </row>
    <row r="118" spans="1:10">
      <c r="A118" s="72">
        <v>121</v>
      </c>
      <c r="B118" s="119"/>
      <c r="C118" s="119"/>
      <c r="D118" s="122"/>
      <c r="E118" s="92"/>
      <c r="F118" s="91" t="s">
        <v>1158</v>
      </c>
      <c r="G118" s="89"/>
      <c r="H118" s="90" t="s">
        <v>1845</v>
      </c>
      <c r="I118" s="89"/>
      <c r="J118" s="89"/>
    </row>
    <row r="119" spans="1:10">
      <c r="A119" s="72">
        <v>122</v>
      </c>
      <c r="B119" s="119"/>
      <c r="C119" s="119"/>
      <c r="D119" s="122"/>
      <c r="E119" s="92"/>
      <c r="F119" s="91" t="s">
        <v>1162</v>
      </c>
      <c r="G119" s="89"/>
      <c r="H119" s="90" t="s">
        <v>1845</v>
      </c>
      <c r="I119" s="89"/>
      <c r="J119" s="89"/>
    </row>
    <row r="120" spans="1:10">
      <c r="A120" s="72">
        <v>123</v>
      </c>
      <c r="B120" s="119"/>
      <c r="C120" s="119"/>
      <c r="D120" s="122"/>
      <c r="E120" s="92"/>
      <c r="F120" s="91" t="s">
        <v>1166</v>
      </c>
      <c r="G120" s="89"/>
      <c r="H120" s="90" t="s">
        <v>1845</v>
      </c>
      <c r="I120" s="89"/>
      <c r="J120" s="89"/>
    </row>
    <row r="121" spans="1:10">
      <c r="A121" s="72">
        <v>124</v>
      </c>
      <c r="B121" s="119"/>
      <c r="C121" s="119"/>
      <c r="D121" s="122"/>
      <c r="E121" s="92"/>
      <c r="F121" s="91" t="s">
        <v>1170</v>
      </c>
      <c r="G121" s="89"/>
      <c r="H121" s="90" t="s">
        <v>1845</v>
      </c>
      <c r="I121" s="89"/>
      <c r="J121" s="89"/>
    </row>
    <row r="122" spans="1:10">
      <c r="A122" s="72">
        <v>125</v>
      </c>
      <c r="B122" s="119"/>
      <c r="C122" s="119"/>
      <c r="D122" s="122"/>
      <c r="E122" s="92"/>
      <c r="F122" s="91" t="s">
        <v>1174</v>
      </c>
      <c r="G122" s="89"/>
      <c r="H122" s="90" t="s">
        <v>1845</v>
      </c>
      <c r="I122" s="89"/>
      <c r="J122" s="89"/>
    </row>
    <row r="123" spans="1:10">
      <c r="A123" s="72">
        <v>126</v>
      </c>
      <c r="B123" s="119"/>
      <c r="C123" s="119"/>
      <c r="D123" s="122"/>
      <c r="E123" s="92"/>
      <c r="F123" s="91" t="s">
        <v>1178</v>
      </c>
      <c r="G123" s="89"/>
      <c r="H123" s="90" t="s">
        <v>1845</v>
      </c>
      <c r="I123" s="89"/>
      <c r="J123" s="89"/>
    </row>
    <row r="124" spans="1:10">
      <c r="A124" s="72">
        <v>127</v>
      </c>
      <c r="B124" s="119"/>
      <c r="C124" s="119"/>
      <c r="D124" s="122"/>
      <c r="E124" s="92"/>
      <c r="F124" s="91" t="s">
        <v>1182</v>
      </c>
      <c r="G124" s="89"/>
      <c r="H124" s="90" t="s">
        <v>1845</v>
      </c>
      <c r="I124" s="89"/>
      <c r="J124" s="89"/>
    </row>
    <row r="125" spans="1:10">
      <c r="A125" s="72">
        <v>128</v>
      </c>
      <c r="B125" s="119"/>
      <c r="C125" s="119"/>
      <c r="D125" s="122"/>
      <c r="E125" s="92"/>
      <c r="F125" s="91" t="s">
        <v>1186</v>
      </c>
      <c r="G125" s="89"/>
      <c r="H125" s="90" t="s">
        <v>1845</v>
      </c>
      <c r="I125" s="89"/>
      <c r="J125" s="89"/>
    </row>
    <row r="126" spans="1:10">
      <c r="A126" s="72">
        <v>129</v>
      </c>
      <c r="B126" s="119"/>
      <c r="C126" s="119"/>
      <c r="D126" s="122"/>
      <c r="E126" s="92"/>
      <c r="F126" s="91" t="s">
        <v>1190</v>
      </c>
      <c r="G126" s="89"/>
      <c r="H126" s="90" t="s">
        <v>1845</v>
      </c>
      <c r="I126" s="89"/>
      <c r="J126" s="89"/>
    </row>
    <row r="127" spans="1:10">
      <c r="A127" s="72">
        <v>130</v>
      </c>
      <c r="B127" s="119"/>
      <c r="C127" s="120"/>
      <c r="D127" s="123"/>
      <c r="E127" s="92"/>
      <c r="F127" s="91" t="s">
        <v>1194</v>
      </c>
      <c r="G127" s="89"/>
      <c r="H127" s="90" t="s">
        <v>1845</v>
      </c>
      <c r="I127" s="89"/>
      <c r="J127" s="89"/>
    </row>
    <row r="128" spans="1:10" ht="72" customHeight="1">
      <c r="A128" s="72">
        <v>132</v>
      </c>
      <c r="B128" s="119"/>
      <c r="C128" s="118" t="s">
        <v>321</v>
      </c>
      <c r="D128" s="121" t="s">
        <v>322</v>
      </c>
      <c r="E128" s="92"/>
      <c r="F128" s="91" t="s">
        <v>1201</v>
      </c>
      <c r="G128" s="89"/>
      <c r="H128" s="90" t="s">
        <v>1845</v>
      </c>
      <c r="I128" s="89"/>
      <c r="J128" s="89"/>
    </row>
    <row r="129" spans="1:10">
      <c r="A129" s="72">
        <v>133</v>
      </c>
      <c r="B129" s="119"/>
      <c r="C129" s="119"/>
      <c r="D129" s="122"/>
      <c r="E129" s="92"/>
      <c r="F129" s="91" t="s">
        <v>1207</v>
      </c>
      <c r="G129" s="89"/>
      <c r="H129" s="90" t="s">
        <v>1845</v>
      </c>
      <c r="I129" s="89"/>
      <c r="J129" s="89"/>
    </row>
    <row r="130" spans="1:10" ht="27.95">
      <c r="A130" s="72">
        <v>134</v>
      </c>
      <c r="B130" s="119"/>
      <c r="C130" s="119"/>
      <c r="D130" s="122"/>
      <c r="E130" s="92"/>
      <c r="F130" s="91" t="s">
        <v>1211</v>
      </c>
      <c r="G130" s="89"/>
      <c r="H130" s="90" t="s">
        <v>1845</v>
      </c>
      <c r="I130" s="89"/>
      <c r="J130" s="89"/>
    </row>
    <row r="131" spans="1:10" ht="27.95">
      <c r="A131" s="72">
        <v>135</v>
      </c>
      <c r="B131" s="119"/>
      <c r="C131" s="119"/>
      <c r="D131" s="122"/>
      <c r="E131" s="92"/>
      <c r="F131" s="91" t="s">
        <v>1215</v>
      </c>
      <c r="G131" s="89"/>
      <c r="H131" s="90" t="s">
        <v>1845</v>
      </c>
      <c r="I131" s="89"/>
      <c r="J131" s="89"/>
    </row>
    <row r="132" spans="1:10" ht="27.95">
      <c r="A132" s="72">
        <v>136</v>
      </c>
      <c r="B132" s="119"/>
      <c r="C132" s="119"/>
      <c r="D132" s="122"/>
      <c r="E132" s="92"/>
      <c r="F132" s="91" t="s">
        <v>1219</v>
      </c>
      <c r="G132" s="89"/>
      <c r="H132" s="90" t="s">
        <v>1845</v>
      </c>
      <c r="I132" s="89"/>
      <c r="J132" s="89"/>
    </row>
    <row r="133" spans="1:10" ht="27.95">
      <c r="A133" s="72">
        <v>137</v>
      </c>
      <c r="B133" s="119"/>
      <c r="C133" s="120"/>
      <c r="D133" s="123"/>
      <c r="E133" s="92"/>
      <c r="F133" s="91" t="s">
        <v>1223</v>
      </c>
      <c r="G133" s="89"/>
      <c r="H133" s="90" t="s">
        <v>1845</v>
      </c>
      <c r="I133" s="89"/>
      <c r="J133" s="89"/>
    </row>
    <row r="134" spans="1:10" ht="100.5" customHeight="1">
      <c r="A134" s="72">
        <v>140</v>
      </c>
      <c r="B134" s="119"/>
      <c r="C134" s="118" t="s">
        <v>129</v>
      </c>
      <c r="D134" s="121" t="s">
        <v>130</v>
      </c>
      <c r="E134" s="92"/>
      <c r="F134" s="91" t="s">
        <v>1230</v>
      </c>
      <c r="G134" s="89"/>
      <c r="H134" s="90" t="s">
        <v>1845</v>
      </c>
      <c r="I134" s="89"/>
      <c r="J134" s="89"/>
    </row>
    <row r="135" spans="1:10" ht="27.95">
      <c r="A135" s="72">
        <v>141</v>
      </c>
      <c r="B135" s="120"/>
      <c r="C135" s="120"/>
      <c r="D135" s="123"/>
      <c r="E135" s="92"/>
      <c r="F135" s="91" t="s">
        <v>1236</v>
      </c>
      <c r="G135" s="89"/>
      <c r="H135" s="90" t="s">
        <v>1845</v>
      </c>
      <c r="I135" s="89"/>
      <c r="J135" s="89"/>
    </row>
    <row r="136" spans="1:10">
      <c r="A136" s="72">
        <v>157</v>
      </c>
      <c r="B136" s="124" t="s">
        <v>1242</v>
      </c>
      <c r="C136" s="125" t="s">
        <v>234</v>
      </c>
      <c r="D136" s="125" t="s">
        <v>1243</v>
      </c>
      <c r="E136" s="71"/>
      <c r="F136" s="70" t="s">
        <v>1246</v>
      </c>
      <c r="G136" s="68"/>
      <c r="H136" s="69" t="s">
        <v>1845</v>
      </c>
      <c r="I136" s="68"/>
      <c r="J136" s="68"/>
    </row>
    <row r="137" spans="1:10" ht="27.95">
      <c r="A137" s="72">
        <v>158</v>
      </c>
      <c r="B137" s="126"/>
      <c r="C137" s="127"/>
      <c r="D137" s="127"/>
      <c r="E137" s="71"/>
      <c r="F137" s="70" t="s">
        <v>1253</v>
      </c>
      <c r="G137" s="68"/>
      <c r="H137" s="69" t="s">
        <v>1845</v>
      </c>
      <c r="I137" s="68"/>
      <c r="J137" s="68"/>
    </row>
    <row r="138" spans="1:10" ht="27.95">
      <c r="A138" s="72">
        <v>159</v>
      </c>
      <c r="B138" s="126"/>
      <c r="C138" s="127"/>
      <c r="D138" s="127"/>
      <c r="E138" s="71"/>
      <c r="F138" s="70" t="s">
        <v>1258</v>
      </c>
      <c r="G138" s="68"/>
      <c r="H138" s="69" t="s">
        <v>1845</v>
      </c>
      <c r="I138" s="68"/>
      <c r="J138" s="68"/>
    </row>
    <row r="139" spans="1:10" ht="27.95">
      <c r="A139" s="72">
        <v>160</v>
      </c>
      <c r="B139" s="126"/>
      <c r="C139" s="127"/>
      <c r="D139" s="127"/>
      <c r="E139" s="71"/>
      <c r="F139" s="70" t="s">
        <v>1263</v>
      </c>
      <c r="G139" s="68"/>
      <c r="H139" s="69" t="s">
        <v>1845</v>
      </c>
      <c r="I139" s="68"/>
      <c r="J139" s="68"/>
    </row>
    <row r="140" spans="1:10" ht="27.95">
      <c r="A140" s="72">
        <v>161</v>
      </c>
      <c r="B140" s="126"/>
      <c r="C140" s="127"/>
      <c r="D140" s="127"/>
      <c r="E140" s="71"/>
      <c r="F140" s="70" t="s">
        <v>1267</v>
      </c>
      <c r="G140" s="68"/>
      <c r="H140" s="69" t="s">
        <v>1845</v>
      </c>
      <c r="I140" s="68"/>
      <c r="J140" s="68"/>
    </row>
    <row r="141" spans="1:10" ht="27.95">
      <c r="A141" s="72">
        <v>162</v>
      </c>
      <c r="B141" s="126"/>
      <c r="C141" s="127"/>
      <c r="D141" s="127"/>
      <c r="E141" s="71"/>
      <c r="F141" s="70" t="s">
        <v>1271</v>
      </c>
      <c r="G141" s="68"/>
      <c r="H141" s="69" t="s">
        <v>1846</v>
      </c>
      <c r="I141" s="68" t="s">
        <v>65</v>
      </c>
      <c r="J141" s="68"/>
    </row>
    <row r="142" spans="1:10" ht="27.95">
      <c r="A142" s="72">
        <v>163</v>
      </c>
      <c r="B142" s="126"/>
      <c r="C142" s="128"/>
      <c r="D142" s="128"/>
      <c r="E142" s="71"/>
      <c r="F142" s="70" t="s">
        <v>1275</v>
      </c>
      <c r="G142" s="68"/>
      <c r="H142" s="69" t="s">
        <v>1846</v>
      </c>
      <c r="I142" s="68" t="s">
        <v>65</v>
      </c>
      <c r="J142" s="68"/>
    </row>
    <row r="143" spans="1:10">
      <c r="A143" s="72">
        <v>164</v>
      </c>
      <c r="B143" s="126"/>
      <c r="C143" s="125" t="s">
        <v>243</v>
      </c>
      <c r="D143" s="125" t="s">
        <v>244</v>
      </c>
      <c r="E143" s="71"/>
      <c r="F143" s="70" t="s">
        <v>1279</v>
      </c>
      <c r="G143" s="68"/>
      <c r="H143" s="69" t="s">
        <v>1845</v>
      </c>
      <c r="I143" s="68" t="s">
        <v>65</v>
      </c>
      <c r="J143" s="68"/>
    </row>
    <row r="144" spans="1:10" ht="27.95">
      <c r="A144" s="72">
        <v>165</v>
      </c>
      <c r="B144" s="126"/>
      <c r="C144" s="127"/>
      <c r="D144" s="127"/>
      <c r="E144" s="71"/>
      <c r="F144" s="70" t="s">
        <v>1284</v>
      </c>
      <c r="G144" s="68"/>
      <c r="H144" s="69" t="s">
        <v>1845</v>
      </c>
      <c r="I144" s="68" t="s">
        <v>65</v>
      </c>
      <c r="J144" s="68"/>
    </row>
    <row r="145" spans="1:10" ht="27.95">
      <c r="A145" s="72">
        <v>166</v>
      </c>
      <c r="B145" s="126"/>
      <c r="C145" s="127"/>
      <c r="D145" s="127"/>
      <c r="E145" s="71"/>
      <c r="F145" s="70" t="s">
        <v>1288</v>
      </c>
      <c r="G145" s="68"/>
      <c r="H145" s="69" t="s">
        <v>1846</v>
      </c>
      <c r="I145" s="68" t="s">
        <v>65</v>
      </c>
      <c r="J145" s="68"/>
    </row>
    <row r="146" spans="1:10" ht="27.95">
      <c r="A146" s="72">
        <v>167</v>
      </c>
      <c r="B146" s="126"/>
      <c r="C146" s="127"/>
      <c r="D146" s="127"/>
      <c r="E146" s="71"/>
      <c r="F146" s="70" t="s">
        <v>1292</v>
      </c>
      <c r="G146" s="68"/>
      <c r="H146" s="69" t="s">
        <v>1846</v>
      </c>
      <c r="I146" s="68" t="s">
        <v>65</v>
      </c>
      <c r="J146" s="68"/>
    </row>
    <row r="147" spans="1:10" ht="42">
      <c r="A147" s="72">
        <v>168</v>
      </c>
      <c r="B147" s="126"/>
      <c r="C147" s="128"/>
      <c r="D147" s="128"/>
      <c r="E147" s="71"/>
      <c r="F147" s="70" t="s">
        <v>1296</v>
      </c>
      <c r="G147" s="68"/>
      <c r="H147" s="69" t="s">
        <v>1845</v>
      </c>
      <c r="I147" s="68"/>
      <c r="J147" s="68"/>
    </row>
    <row r="148" spans="1:10" ht="57" customHeight="1">
      <c r="A148" s="72">
        <v>169</v>
      </c>
      <c r="B148" s="126"/>
      <c r="C148" s="125" t="s">
        <v>53</v>
      </c>
      <c r="D148" s="125" t="s">
        <v>1308</v>
      </c>
      <c r="E148" s="71"/>
      <c r="F148" s="70" t="s">
        <v>1302</v>
      </c>
      <c r="G148" s="68"/>
      <c r="H148" s="69" t="s">
        <v>1845</v>
      </c>
      <c r="I148" s="68"/>
      <c r="J148" s="68"/>
    </row>
    <row r="149" spans="1:10">
      <c r="A149" s="72">
        <v>170</v>
      </c>
      <c r="B149" s="126"/>
      <c r="C149" s="127"/>
      <c r="D149" s="127"/>
      <c r="E149" s="71"/>
      <c r="F149" s="70" t="s">
        <v>1311</v>
      </c>
      <c r="G149" s="68"/>
      <c r="H149" s="69" t="s">
        <v>1845</v>
      </c>
      <c r="I149" s="68"/>
      <c r="J149" s="68"/>
    </row>
    <row r="150" spans="1:10">
      <c r="A150" s="72">
        <v>171</v>
      </c>
      <c r="B150" s="126"/>
      <c r="C150" s="127"/>
      <c r="D150" s="127"/>
      <c r="E150" s="71"/>
      <c r="F150" s="70" t="s">
        <v>1315</v>
      </c>
      <c r="G150" s="68"/>
      <c r="H150" s="69" t="s">
        <v>1845</v>
      </c>
      <c r="I150" s="68"/>
      <c r="J150" s="68"/>
    </row>
    <row r="151" spans="1:10">
      <c r="A151" s="72">
        <v>172</v>
      </c>
      <c r="B151" s="126"/>
      <c r="C151" s="127"/>
      <c r="D151" s="127"/>
      <c r="E151" s="71"/>
      <c r="F151" s="70" t="s">
        <v>1319</v>
      </c>
      <c r="G151" s="68"/>
      <c r="H151" s="69" t="s">
        <v>1845</v>
      </c>
      <c r="I151" s="68"/>
      <c r="J151" s="68"/>
    </row>
    <row r="152" spans="1:10">
      <c r="A152" s="72">
        <v>173</v>
      </c>
      <c r="B152" s="126"/>
      <c r="C152" s="127"/>
      <c r="D152" s="127"/>
      <c r="E152" s="71"/>
      <c r="F152" s="70" t="s">
        <v>1324</v>
      </c>
      <c r="G152" s="68"/>
      <c r="H152" s="69" t="s">
        <v>1845</v>
      </c>
      <c r="I152" s="68"/>
      <c r="J152" s="68"/>
    </row>
    <row r="153" spans="1:10" ht="27.95">
      <c r="A153" s="72">
        <v>174</v>
      </c>
      <c r="B153" s="126"/>
      <c r="C153" s="127"/>
      <c r="D153" s="127"/>
      <c r="E153" s="71"/>
      <c r="F153" s="70" t="s">
        <v>1330</v>
      </c>
      <c r="G153" s="68"/>
      <c r="H153" s="69" t="s">
        <v>1846</v>
      </c>
      <c r="I153" s="70" t="s">
        <v>65</v>
      </c>
      <c r="J153" s="70"/>
    </row>
    <row r="154" spans="1:10">
      <c r="A154" s="72">
        <v>175</v>
      </c>
      <c r="B154" s="126"/>
      <c r="C154" s="128"/>
      <c r="D154" s="128"/>
      <c r="E154" s="71"/>
      <c r="F154" s="70" t="s">
        <v>1334</v>
      </c>
      <c r="G154" s="68"/>
      <c r="H154" s="69" t="s">
        <v>1845</v>
      </c>
      <c r="I154" s="68"/>
      <c r="J154" s="68"/>
    </row>
    <row r="155" spans="1:10" ht="72" customHeight="1">
      <c r="A155" s="72">
        <v>176</v>
      </c>
      <c r="B155" s="126"/>
      <c r="C155" s="125" t="s">
        <v>333</v>
      </c>
      <c r="D155" s="125" t="s">
        <v>307</v>
      </c>
      <c r="E155" s="71"/>
      <c r="F155" s="70" t="s">
        <v>1338</v>
      </c>
      <c r="G155" s="68"/>
      <c r="H155" s="69" t="s">
        <v>1845</v>
      </c>
      <c r="I155" s="68"/>
      <c r="J155" s="68"/>
    </row>
    <row r="156" spans="1:10">
      <c r="A156" s="72">
        <v>177</v>
      </c>
      <c r="B156" s="126"/>
      <c r="C156" s="127"/>
      <c r="D156" s="127"/>
      <c r="E156" s="71"/>
      <c r="F156" s="70" t="s">
        <v>1348</v>
      </c>
      <c r="G156" s="68"/>
      <c r="H156" s="69" t="s">
        <v>1845</v>
      </c>
      <c r="I156" s="68"/>
      <c r="J156" s="68"/>
    </row>
    <row r="157" spans="1:10">
      <c r="A157" s="72">
        <v>178</v>
      </c>
      <c r="B157" s="126"/>
      <c r="C157" s="127"/>
      <c r="D157" s="127"/>
      <c r="E157" s="71"/>
      <c r="F157" s="70" t="s">
        <v>1343</v>
      </c>
      <c r="G157" s="68"/>
      <c r="H157" s="69" t="s">
        <v>1845</v>
      </c>
      <c r="I157" s="68"/>
      <c r="J157" s="68"/>
    </row>
    <row r="158" spans="1:10">
      <c r="A158" s="72">
        <v>179</v>
      </c>
      <c r="B158" s="126"/>
      <c r="C158" s="127"/>
      <c r="D158" s="127"/>
      <c r="E158" s="71"/>
      <c r="F158" s="70" t="s">
        <v>1353</v>
      </c>
      <c r="G158" s="68"/>
      <c r="H158" s="69" t="s">
        <v>1845</v>
      </c>
      <c r="I158" s="68"/>
      <c r="J158" s="68"/>
    </row>
    <row r="159" spans="1:10" ht="27.95">
      <c r="A159" s="72">
        <v>180</v>
      </c>
      <c r="B159" s="126"/>
      <c r="C159" s="127"/>
      <c r="D159" s="127"/>
      <c r="E159" s="71"/>
      <c r="F159" s="70" t="s">
        <v>1358</v>
      </c>
      <c r="G159" s="68"/>
      <c r="H159" s="69" t="s">
        <v>1845</v>
      </c>
      <c r="I159" s="68"/>
      <c r="J159" s="68"/>
    </row>
    <row r="160" spans="1:10">
      <c r="A160" s="72">
        <v>181</v>
      </c>
      <c r="B160" s="126"/>
      <c r="C160" s="127"/>
      <c r="D160" s="127"/>
      <c r="E160" s="71"/>
      <c r="F160" s="70" t="s">
        <v>1366</v>
      </c>
      <c r="G160" s="68"/>
      <c r="H160" s="69" t="s">
        <v>1845</v>
      </c>
      <c r="I160" s="68"/>
      <c r="J160" s="68"/>
    </row>
    <row r="161" spans="1:10">
      <c r="A161" s="72">
        <v>182</v>
      </c>
      <c r="B161" s="126"/>
      <c r="C161" s="128"/>
      <c r="D161" s="128"/>
      <c r="E161" s="71"/>
      <c r="F161" s="70" t="s">
        <v>1362</v>
      </c>
      <c r="G161" s="68"/>
      <c r="H161" s="69" t="s">
        <v>1845</v>
      </c>
      <c r="I161" s="68"/>
      <c r="J161" s="68"/>
    </row>
    <row r="162" spans="1:10" ht="57" customHeight="1">
      <c r="A162" s="72">
        <v>183</v>
      </c>
      <c r="B162" s="126"/>
      <c r="C162" s="125" t="s">
        <v>359</v>
      </c>
      <c r="D162" s="129" t="s">
        <v>360</v>
      </c>
      <c r="E162" s="71"/>
      <c r="F162" s="70" t="s">
        <v>1372</v>
      </c>
      <c r="G162" s="68"/>
      <c r="H162" s="69" t="s">
        <v>1845</v>
      </c>
      <c r="I162" s="68"/>
      <c r="J162" s="68"/>
    </row>
    <row r="163" spans="1:10">
      <c r="A163" s="72">
        <v>184</v>
      </c>
      <c r="B163" s="126"/>
      <c r="C163" s="128"/>
      <c r="D163" s="130"/>
      <c r="E163" s="71"/>
      <c r="F163" s="70" t="s">
        <v>1379</v>
      </c>
      <c r="G163" s="68"/>
      <c r="H163" s="69" t="s">
        <v>1845</v>
      </c>
      <c r="I163" s="68"/>
      <c r="J163" s="68"/>
    </row>
    <row r="164" spans="1:10" ht="28.5" customHeight="1">
      <c r="A164" s="72">
        <v>185</v>
      </c>
      <c r="B164" s="126"/>
      <c r="C164" s="125" t="s">
        <v>366</v>
      </c>
      <c r="D164" s="129" t="s">
        <v>367</v>
      </c>
      <c r="E164" s="71"/>
      <c r="F164" s="70" t="s">
        <v>1384</v>
      </c>
      <c r="G164" s="68"/>
      <c r="H164" s="69" t="s">
        <v>1846</v>
      </c>
      <c r="I164" s="68" t="s">
        <v>65</v>
      </c>
      <c r="J164" s="68"/>
    </row>
    <row r="165" spans="1:10" ht="27.95">
      <c r="A165" s="72">
        <v>186</v>
      </c>
      <c r="B165" s="126"/>
      <c r="C165" s="127"/>
      <c r="D165" s="131"/>
      <c r="E165" s="71"/>
      <c r="F165" s="70" t="s">
        <v>1390</v>
      </c>
      <c r="G165" s="68"/>
      <c r="H165" s="69" t="s">
        <v>1845</v>
      </c>
      <c r="I165" s="68"/>
      <c r="J165" s="68"/>
    </row>
    <row r="166" spans="1:10" ht="27.95">
      <c r="A166" s="72">
        <v>187</v>
      </c>
      <c r="B166" s="126"/>
      <c r="C166" s="127"/>
      <c r="D166" s="131"/>
      <c r="E166" s="71"/>
      <c r="F166" s="70" t="s">
        <v>1394</v>
      </c>
      <c r="G166" s="68"/>
      <c r="H166" s="69" t="s">
        <v>1845</v>
      </c>
      <c r="I166" s="68"/>
      <c r="J166" s="68"/>
    </row>
    <row r="167" spans="1:10" ht="27.95">
      <c r="A167" s="72">
        <v>188</v>
      </c>
      <c r="B167" s="126"/>
      <c r="C167" s="127"/>
      <c r="D167" s="131"/>
      <c r="E167" s="71"/>
      <c r="F167" s="70" t="s">
        <v>1398</v>
      </c>
      <c r="G167" s="68"/>
      <c r="H167" s="69" t="s">
        <v>1845</v>
      </c>
      <c r="I167" s="68"/>
      <c r="J167" s="68"/>
    </row>
    <row r="168" spans="1:10">
      <c r="A168" s="72">
        <v>189</v>
      </c>
      <c r="B168" s="126"/>
      <c r="C168" s="127"/>
      <c r="D168" s="131"/>
      <c r="E168" s="71"/>
      <c r="F168" s="70" t="s">
        <v>1402</v>
      </c>
      <c r="G168" s="68"/>
      <c r="H168" s="69" t="s">
        <v>1845</v>
      </c>
      <c r="I168" s="68"/>
      <c r="J168" s="68"/>
    </row>
    <row r="169" spans="1:10">
      <c r="A169" s="72">
        <v>190</v>
      </c>
      <c r="B169" s="126"/>
      <c r="C169" s="128"/>
      <c r="D169" s="130"/>
      <c r="E169" s="71"/>
      <c r="F169" s="70" t="s">
        <v>1406</v>
      </c>
      <c r="G169" s="68"/>
      <c r="H169" s="69" t="s">
        <v>1845</v>
      </c>
      <c r="I169" s="68"/>
      <c r="J169" s="68"/>
    </row>
    <row r="170" spans="1:10" ht="28.5" customHeight="1">
      <c r="A170" s="72">
        <v>191</v>
      </c>
      <c r="B170" s="126"/>
      <c r="C170" s="125" t="s">
        <v>376</v>
      </c>
      <c r="D170" s="129" t="s">
        <v>377</v>
      </c>
      <c r="E170" s="71"/>
      <c r="F170" s="70" t="s">
        <v>1384</v>
      </c>
      <c r="G170" s="68"/>
      <c r="H170" s="69" t="s">
        <v>1846</v>
      </c>
      <c r="I170" s="68" t="s">
        <v>65</v>
      </c>
      <c r="J170" s="68"/>
    </row>
    <row r="171" spans="1:10" ht="27.95">
      <c r="A171" s="72">
        <v>192</v>
      </c>
      <c r="B171" s="126"/>
      <c r="C171" s="127"/>
      <c r="D171" s="131"/>
      <c r="E171" s="71"/>
      <c r="F171" s="70" t="s">
        <v>1390</v>
      </c>
      <c r="G171" s="68"/>
      <c r="H171" s="69" t="s">
        <v>1845</v>
      </c>
      <c r="I171" s="68"/>
      <c r="J171" s="68"/>
    </row>
    <row r="172" spans="1:10" ht="27.95">
      <c r="A172" s="72">
        <v>193</v>
      </c>
      <c r="B172" s="126"/>
      <c r="C172" s="127"/>
      <c r="D172" s="131"/>
      <c r="E172" s="71"/>
      <c r="F172" s="70" t="s">
        <v>1394</v>
      </c>
      <c r="G172" s="68"/>
      <c r="H172" s="69" t="s">
        <v>1845</v>
      </c>
      <c r="I172" s="68"/>
      <c r="J172" s="68"/>
    </row>
    <row r="173" spans="1:10" ht="27.95">
      <c r="A173" s="72">
        <v>194</v>
      </c>
      <c r="B173" s="126"/>
      <c r="C173" s="127"/>
      <c r="D173" s="131"/>
      <c r="E173" s="71"/>
      <c r="F173" s="70" t="s">
        <v>1394</v>
      </c>
      <c r="G173" s="68"/>
      <c r="H173" s="69" t="s">
        <v>1845</v>
      </c>
      <c r="I173" s="68"/>
      <c r="J173" s="68"/>
    </row>
    <row r="174" spans="1:10">
      <c r="A174" s="72">
        <v>195</v>
      </c>
      <c r="B174" s="126"/>
      <c r="C174" s="127"/>
      <c r="D174" s="131"/>
      <c r="E174" s="71"/>
      <c r="F174" s="70" t="s">
        <v>1402</v>
      </c>
      <c r="G174" s="68"/>
      <c r="H174" s="69" t="s">
        <v>1845</v>
      </c>
      <c r="I174" s="68"/>
      <c r="J174" s="68"/>
    </row>
    <row r="175" spans="1:10">
      <c r="A175" s="72">
        <v>196</v>
      </c>
      <c r="B175" s="132"/>
      <c r="C175" s="128"/>
      <c r="D175" s="130"/>
      <c r="E175" s="71"/>
      <c r="F175" s="70" t="s">
        <v>1406</v>
      </c>
      <c r="G175" s="68"/>
      <c r="H175" s="69" t="s">
        <v>1845</v>
      </c>
      <c r="I175" s="68"/>
      <c r="J175" s="68"/>
    </row>
    <row r="176" spans="1:10">
      <c r="A176" s="72">
        <v>197</v>
      </c>
      <c r="B176" s="133" t="s">
        <v>86</v>
      </c>
      <c r="C176" s="133" t="s">
        <v>88</v>
      </c>
      <c r="D176" s="133" t="s">
        <v>91</v>
      </c>
      <c r="E176" s="88"/>
      <c r="F176" s="87" t="s">
        <v>1427</v>
      </c>
      <c r="G176" s="85"/>
      <c r="H176" s="86" t="s">
        <v>1845</v>
      </c>
      <c r="I176" s="85"/>
      <c r="J176" s="85"/>
    </row>
    <row r="177" spans="1:10">
      <c r="A177" s="72">
        <v>198</v>
      </c>
      <c r="B177" s="134"/>
      <c r="C177" s="134"/>
      <c r="D177" s="134"/>
      <c r="E177" s="88"/>
      <c r="F177" s="87" t="s">
        <v>1435</v>
      </c>
      <c r="G177" s="85"/>
      <c r="H177" s="86" t="s">
        <v>1845</v>
      </c>
      <c r="I177" s="85"/>
      <c r="J177" s="85"/>
    </row>
    <row r="178" spans="1:10" ht="27.95">
      <c r="A178" s="72">
        <v>199</v>
      </c>
      <c r="B178" s="134"/>
      <c r="C178" s="134"/>
      <c r="D178" s="134"/>
      <c r="E178" s="88"/>
      <c r="F178" s="87" t="s">
        <v>1440</v>
      </c>
      <c r="G178" s="85"/>
      <c r="H178" s="86" t="s">
        <v>1845</v>
      </c>
      <c r="I178" s="85"/>
      <c r="J178" s="85"/>
    </row>
    <row r="179" spans="1:10" ht="27.95">
      <c r="A179" s="72">
        <v>200</v>
      </c>
      <c r="B179" s="134"/>
      <c r="C179" s="135"/>
      <c r="D179" s="135"/>
      <c r="E179" s="88"/>
      <c r="F179" s="87" t="s">
        <v>1445</v>
      </c>
      <c r="G179" s="85"/>
      <c r="H179" s="86" t="s">
        <v>1845</v>
      </c>
      <c r="I179" s="85"/>
      <c r="J179" s="85"/>
    </row>
    <row r="180" spans="1:10">
      <c r="A180" s="72">
        <v>201</v>
      </c>
      <c r="B180" s="134"/>
      <c r="C180" s="133" t="s">
        <v>394</v>
      </c>
      <c r="D180" s="133" t="s">
        <v>1454</v>
      </c>
      <c r="E180" s="88"/>
      <c r="F180" s="87" t="s">
        <v>542</v>
      </c>
      <c r="G180" s="85"/>
      <c r="H180" s="86" t="s">
        <v>1845</v>
      </c>
      <c r="I180" s="85"/>
      <c r="J180" s="85"/>
    </row>
    <row r="181" spans="1:10">
      <c r="A181" s="72">
        <v>202</v>
      </c>
      <c r="B181" s="134"/>
      <c r="C181" s="134"/>
      <c r="D181" s="134"/>
      <c r="E181" s="88"/>
      <c r="F181" s="87" t="s">
        <v>557</v>
      </c>
      <c r="G181" s="85"/>
      <c r="H181" s="86" t="s">
        <v>1845</v>
      </c>
      <c r="I181" s="85"/>
      <c r="J181" s="85"/>
    </row>
    <row r="182" spans="1:10">
      <c r="A182" s="72">
        <v>203</v>
      </c>
      <c r="B182" s="134"/>
      <c r="C182" s="134"/>
      <c r="D182" s="134"/>
      <c r="E182" s="88"/>
      <c r="F182" s="87" t="s">
        <v>566</v>
      </c>
      <c r="G182" s="85"/>
      <c r="H182" s="86" t="s">
        <v>1845</v>
      </c>
      <c r="I182" s="85"/>
      <c r="J182" s="85"/>
    </row>
    <row r="183" spans="1:10" ht="27.95">
      <c r="A183" s="72">
        <v>204</v>
      </c>
      <c r="B183" s="134"/>
      <c r="C183" s="134"/>
      <c r="D183" s="134"/>
      <c r="E183" s="88"/>
      <c r="F183" s="87" t="s">
        <v>1464</v>
      </c>
      <c r="G183" s="85"/>
      <c r="H183" s="86" t="s">
        <v>1845</v>
      </c>
      <c r="I183" s="85"/>
      <c r="J183" s="85"/>
    </row>
    <row r="184" spans="1:10">
      <c r="A184" s="72">
        <v>205</v>
      </c>
      <c r="B184" s="134"/>
      <c r="C184" s="134"/>
      <c r="D184" s="134"/>
      <c r="E184" s="88"/>
      <c r="F184" s="87" t="s">
        <v>659</v>
      </c>
      <c r="G184" s="85"/>
      <c r="H184" s="86" t="s">
        <v>1845</v>
      </c>
      <c r="I184" s="85"/>
      <c r="J184" s="85"/>
    </row>
    <row r="185" spans="1:10">
      <c r="A185" s="72">
        <v>206</v>
      </c>
      <c r="B185" s="134"/>
      <c r="C185" s="134"/>
      <c r="D185" s="134"/>
      <c r="E185" s="88"/>
      <c r="F185" s="87" t="s">
        <v>1475</v>
      </c>
      <c r="G185" s="85"/>
      <c r="H185" s="86" t="s">
        <v>1845</v>
      </c>
      <c r="I185" s="85"/>
      <c r="J185" s="85"/>
    </row>
    <row r="186" spans="1:10">
      <c r="A186" s="72">
        <v>207</v>
      </c>
      <c r="B186" s="134"/>
      <c r="C186" s="134"/>
      <c r="D186" s="134"/>
      <c r="E186" s="88"/>
      <c r="F186" s="87" t="s">
        <v>1480</v>
      </c>
      <c r="G186" s="85"/>
      <c r="H186" s="86" t="s">
        <v>1845</v>
      </c>
      <c r="I186" s="85"/>
      <c r="J186" s="85"/>
    </row>
    <row r="187" spans="1:10">
      <c r="A187" s="72">
        <v>208</v>
      </c>
      <c r="B187" s="134"/>
      <c r="C187" s="134"/>
      <c r="D187" s="134"/>
      <c r="E187" s="88"/>
      <c r="F187" s="87" t="s">
        <v>1485</v>
      </c>
      <c r="G187" s="85"/>
      <c r="H187" s="86" t="s">
        <v>1845</v>
      </c>
      <c r="I187" s="85"/>
      <c r="J187" s="85"/>
    </row>
    <row r="188" spans="1:10" ht="27.95">
      <c r="A188" s="72">
        <v>209</v>
      </c>
      <c r="B188" s="134"/>
      <c r="C188" s="134"/>
      <c r="D188" s="134"/>
      <c r="E188" s="88"/>
      <c r="F188" s="87" t="s">
        <v>1490</v>
      </c>
      <c r="G188" s="85"/>
      <c r="H188" s="86" t="s">
        <v>1845</v>
      </c>
      <c r="I188" s="85"/>
      <c r="J188" s="85"/>
    </row>
    <row r="189" spans="1:10" ht="27.95">
      <c r="A189" s="72">
        <v>210</v>
      </c>
      <c r="B189" s="134"/>
      <c r="C189" s="134"/>
      <c r="D189" s="134"/>
      <c r="E189" s="88"/>
      <c r="F189" s="87" t="s">
        <v>1494</v>
      </c>
      <c r="G189" s="85"/>
      <c r="H189" s="86" t="s">
        <v>1845</v>
      </c>
      <c r="I189" s="85"/>
      <c r="J189" s="85"/>
    </row>
    <row r="190" spans="1:10" ht="27.95">
      <c r="A190" s="72">
        <v>211</v>
      </c>
      <c r="B190" s="134"/>
      <c r="C190" s="134"/>
      <c r="D190" s="134"/>
      <c r="E190" s="88"/>
      <c r="F190" s="87" t="s">
        <v>1500</v>
      </c>
      <c r="G190" s="85"/>
      <c r="H190" s="86" t="s">
        <v>1845</v>
      </c>
      <c r="I190" s="85"/>
      <c r="J190" s="85"/>
    </row>
    <row r="191" spans="1:10" ht="27.95">
      <c r="A191" s="72">
        <v>212</v>
      </c>
      <c r="B191" s="134"/>
      <c r="C191" s="135"/>
      <c r="D191" s="135"/>
      <c r="E191" s="88"/>
      <c r="F191" s="87" t="s">
        <v>1504</v>
      </c>
      <c r="G191" s="85"/>
      <c r="H191" s="86" t="s">
        <v>1845</v>
      </c>
      <c r="I191" s="85"/>
      <c r="J191" s="85"/>
    </row>
    <row r="192" spans="1:10" ht="42.75" customHeight="1">
      <c r="A192" s="72">
        <v>213</v>
      </c>
      <c r="B192" s="134"/>
      <c r="C192" s="133" t="s">
        <v>309</v>
      </c>
      <c r="D192" s="136" t="s">
        <v>1507</v>
      </c>
      <c r="E192" s="88"/>
      <c r="F192" s="87" t="s">
        <v>1506</v>
      </c>
      <c r="G192" s="85"/>
      <c r="H192" s="86" t="s">
        <v>1845</v>
      </c>
      <c r="I192" s="85"/>
      <c r="J192" s="85"/>
    </row>
    <row r="193" spans="1:10">
      <c r="A193" s="72">
        <v>214</v>
      </c>
      <c r="B193" s="134"/>
      <c r="C193" s="134"/>
      <c r="D193" s="137"/>
      <c r="E193" s="88"/>
      <c r="F193" s="87" t="s">
        <v>1508</v>
      </c>
      <c r="G193" s="85"/>
      <c r="H193" s="86" t="s">
        <v>1845</v>
      </c>
      <c r="I193" s="85"/>
      <c r="J193" s="85"/>
    </row>
    <row r="194" spans="1:10">
      <c r="A194" s="72">
        <v>215</v>
      </c>
      <c r="B194" s="134"/>
      <c r="C194" s="134"/>
      <c r="D194" s="137"/>
      <c r="E194" s="88"/>
      <c r="F194" s="87" t="s">
        <v>1509</v>
      </c>
      <c r="G194" s="85"/>
      <c r="H194" s="86" t="s">
        <v>1845</v>
      </c>
      <c r="I194" s="85"/>
      <c r="J194" s="85"/>
    </row>
    <row r="195" spans="1:10" ht="27.95">
      <c r="A195" s="72">
        <v>216</v>
      </c>
      <c r="B195" s="135"/>
      <c r="C195" s="135"/>
      <c r="D195" s="138"/>
      <c r="E195" s="88"/>
      <c r="F195" s="87" t="s">
        <v>1510</v>
      </c>
      <c r="G195" s="85"/>
      <c r="H195" s="86" t="s">
        <v>1845</v>
      </c>
      <c r="I195" s="85"/>
      <c r="J195" s="85"/>
    </row>
    <row r="196" spans="1:10" ht="42.75" customHeight="1">
      <c r="A196" s="72">
        <v>217</v>
      </c>
      <c r="B196" s="139" t="s">
        <v>97</v>
      </c>
      <c r="C196" s="139" t="s">
        <v>98</v>
      </c>
      <c r="D196" s="139" t="s">
        <v>100</v>
      </c>
      <c r="E196" s="84"/>
      <c r="F196" s="83" t="s">
        <v>1516</v>
      </c>
      <c r="G196" s="83" t="s">
        <v>1514</v>
      </c>
      <c r="H196" s="82" t="s">
        <v>1845</v>
      </c>
      <c r="I196" s="81"/>
      <c r="J196" s="81"/>
    </row>
    <row r="197" spans="1:10" ht="42">
      <c r="A197" s="72">
        <v>218</v>
      </c>
      <c r="B197" s="140"/>
      <c r="C197" s="140"/>
      <c r="D197" s="140"/>
      <c r="E197" s="84"/>
      <c r="F197" s="83" t="s">
        <v>1523</v>
      </c>
      <c r="G197" s="83" t="s">
        <v>1521</v>
      </c>
      <c r="H197" s="82" t="s">
        <v>1845</v>
      </c>
      <c r="I197" s="81"/>
      <c r="J197" s="81"/>
    </row>
    <row r="198" spans="1:10" ht="27.95">
      <c r="A198" s="72">
        <v>219</v>
      </c>
      <c r="B198" s="140"/>
      <c r="C198" s="140"/>
      <c r="D198" s="140"/>
      <c r="E198" s="84"/>
      <c r="F198" s="83" t="s">
        <v>1528</v>
      </c>
      <c r="G198" s="83" t="s">
        <v>1526</v>
      </c>
      <c r="H198" s="82" t="s">
        <v>1845</v>
      </c>
      <c r="I198" s="81"/>
      <c r="J198" s="81"/>
    </row>
    <row r="199" spans="1:10" ht="27.95">
      <c r="A199" s="72">
        <v>220</v>
      </c>
      <c r="B199" s="140"/>
      <c r="C199" s="141"/>
      <c r="D199" s="141"/>
      <c r="E199" s="84"/>
      <c r="F199" s="83" t="s">
        <v>1534</v>
      </c>
      <c r="G199" s="83" t="s">
        <v>1532</v>
      </c>
      <c r="H199" s="82" t="s">
        <v>1845</v>
      </c>
      <c r="I199" s="81"/>
      <c r="J199" s="81"/>
    </row>
    <row r="200" spans="1:10" ht="57" customHeight="1">
      <c r="A200" s="72">
        <v>221</v>
      </c>
      <c r="B200" s="140"/>
      <c r="C200" s="139" t="s">
        <v>382</v>
      </c>
      <c r="D200" s="139" t="s">
        <v>383</v>
      </c>
      <c r="E200" s="84"/>
      <c r="F200" s="83" t="s">
        <v>1538</v>
      </c>
      <c r="G200" s="83" t="s">
        <v>1537</v>
      </c>
      <c r="H200" s="82" t="s">
        <v>1845</v>
      </c>
      <c r="I200" s="81"/>
      <c r="J200" s="81"/>
    </row>
    <row r="201" spans="1:10">
      <c r="A201" s="72">
        <v>222</v>
      </c>
      <c r="B201" s="140"/>
      <c r="C201" s="140"/>
      <c r="D201" s="140"/>
      <c r="E201" s="84"/>
      <c r="F201" s="83" t="s">
        <v>1543</v>
      </c>
      <c r="G201" s="83" t="s">
        <v>1541</v>
      </c>
      <c r="H201" s="82" t="s">
        <v>1845</v>
      </c>
      <c r="I201" s="81"/>
      <c r="J201" s="81"/>
    </row>
    <row r="202" spans="1:10">
      <c r="A202" s="72">
        <v>223</v>
      </c>
      <c r="B202" s="140"/>
      <c r="C202" s="140"/>
      <c r="D202" s="140"/>
      <c r="E202" s="84"/>
      <c r="F202" s="83" t="s">
        <v>1547</v>
      </c>
      <c r="G202" s="83" t="s">
        <v>1545</v>
      </c>
      <c r="H202" s="82" t="s">
        <v>1845</v>
      </c>
      <c r="I202" s="81"/>
      <c r="J202" s="81"/>
    </row>
    <row r="203" spans="1:10" ht="27.95">
      <c r="A203" s="72">
        <v>224</v>
      </c>
      <c r="B203" s="141"/>
      <c r="C203" s="141"/>
      <c r="D203" s="141"/>
      <c r="E203" s="84"/>
      <c r="F203" s="83" t="s">
        <v>1551</v>
      </c>
      <c r="G203" s="83" t="s">
        <v>1549</v>
      </c>
      <c r="H203" s="82" t="s">
        <v>1845</v>
      </c>
      <c r="I203" s="81"/>
      <c r="J203" s="81"/>
    </row>
    <row r="204" spans="1:10">
      <c r="A204" s="72">
        <v>225</v>
      </c>
      <c r="B204" s="115" t="s">
        <v>68</v>
      </c>
      <c r="C204" s="115" t="s">
        <v>69</v>
      </c>
      <c r="D204" s="115" t="s">
        <v>1561</v>
      </c>
      <c r="E204" s="80"/>
      <c r="F204" s="79" t="s">
        <v>1556</v>
      </c>
      <c r="G204" s="77"/>
      <c r="H204" s="78" t="s">
        <v>1845</v>
      </c>
      <c r="I204" s="77"/>
      <c r="J204" s="77"/>
    </row>
    <row r="205" spans="1:10">
      <c r="A205" s="72">
        <v>226</v>
      </c>
      <c r="B205" s="116"/>
      <c r="C205" s="116"/>
      <c r="D205" s="116"/>
      <c r="E205" s="80"/>
      <c r="F205" s="79" t="s">
        <v>1564</v>
      </c>
      <c r="G205" s="77"/>
      <c r="H205" s="78" t="s">
        <v>1845</v>
      </c>
      <c r="I205" s="77"/>
      <c r="J205" s="77"/>
    </row>
    <row r="206" spans="1:10" ht="27.95">
      <c r="A206" s="72">
        <v>227</v>
      </c>
      <c r="B206" s="116"/>
      <c r="C206" s="116"/>
      <c r="D206" s="116"/>
      <c r="E206" s="80"/>
      <c r="F206" s="79" t="s">
        <v>1569</v>
      </c>
      <c r="G206" s="77"/>
      <c r="H206" s="78" t="s">
        <v>1845</v>
      </c>
      <c r="I206" s="77"/>
      <c r="J206" s="77"/>
    </row>
    <row r="207" spans="1:10" ht="27.95">
      <c r="A207" s="72">
        <v>228</v>
      </c>
      <c r="B207" s="117"/>
      <c r="C207" s="117"/>
      <c r="D207" s="117"/>
      <c r="E207" s="80"/>
      <c r="F207" s="79" t="s">
        <v>1573</v>
      </c>
      <c r="G207" s="77"/>
      <c r="H207" s="78" t="s">
        <v>1845</v>
      </c>
      <c r="I207" s="77"/>
      <c r="J207" s="77"/>
    </row>
    <row r="208" spans="1:10" ht="42.75" customHeight="1">
      <c r="A208" s="72">
        <v>229</v>
      </c>
      <c r="B208" s="142" t="s">
        <v>386</v>
      </c>
      <c r="C208" s="142" t="s">
        <v>388</v>
      </c>
      <c r="D208" s="143" t="s">
        <v>1584</v>
      </c>
      <c r="E208" s="76"/>
      <c r="F208" s="75" t="s">
        <v>1579</v>
      </c>
      <c r="G208" s="73"/>
      <c r="H208" s="74" t="s">
        <v>1845</v>
      </c>
      <c r="I208" s="73"/>
      <c r="J208" s="73"/>
    </row>
    <row r="209" spans="1:10">
      <c r="A209" s="72">
        <v>230</v>
      </c>
      <c r="B209" s="144"/>
      <c r="C209" s="144"/>
      <c r="D209" s="145"/>
      <c r="E209" s="76"/>
      <c r="F209" s="75" t="s">
        <v>1587</v>
      </c>
      <c r="G209" s="73"/>
      <c r="H209" s="74" t="s">
        <v>1845</v>
      </c>
      <c r="I209" s="73"/>
      <c r="J209" s="73"/>
    </row>
    <row r="210" spans="1:10">
      <c r="A210" s="72">
        <v>231</v>
      </c>
      <c r="B210" s="144"/>
      <c r="C210" s="144"/>
      <c r="D210" s="145"/>
      <c r="E210" s="76"/>
      <c r="F210" s="75" t="s">
        <v>1591</v>
      </c>
      <c r="G210" s="73"/>
      <c r="H210" s="74" t="s">
        <v>1845</v>
      </c>
      <c r="I210" s="73"/>
      <c r="J210" s="73"/>
    </row>
    <row r="211" spans="1:10" ht="27.95">
      <c r="A211" s="72">
        <v>232</v>
      </c>
      <c r="B211" s="144"/>
      <c r="C211" s="144"/>
      <c r="D211" s="145"/>
      <c r="E211" s="76"/>
      <c r="F211" s="75" t="s">
        <v>1595</v>
      </c>
      <c r="G211" s="73"/>
      <c r="H211" s="74" t="s">
        <v>1845</v>
      </c>
      <c r="I211" s="73"/>
      <c r="J211" s="73"/>
    </row>
    <row r="212" spans="1:10" ht="27.95">
      <c r="A212" s="72">
        <v>233</v>
      </c>
      <c r="B212" s="146"/>
      <c r="C212" s="146"/>
      <c r="D212" s="147"/>
      <c r="E212" s="76"/>
      <c r="F212" s="75" t="s">
        <v>1599</v>
      </c>
      <c r="G212" s="73"/>
      <c r="H212" s="74" t="s">
        <v>1845</v>
      </c>
      <c r="I212" s="73"/>
      <c r="J212" s="73"/>
    </row>
    <row r="213" spans="1:10" ht="28.5" customHeight="1">
      <c r="A213" s="72">
        <v>234</v>
      </c>
      <c r="B213" s="125" t="s">
        <v>1850</v>
      </c>
      <c r="C213" s="125" t="s">
        <v>134</v>
      </c>
      <c r="D213" s="129" t="s">
        <v>1851</v>
      </c>
      <c r="E213" s="71"/>
      <c r="F213" s="70" t="s">
        <v>1605</v>
      </c>
      <c r="G213" s="68"/>
      <c r="H213" s="69" t="s">
        <v>1845</v>
      </c>
      <c r="I213" s="68"/>
      <c r="J213" s="68"/>
    </row>
    <row r="214" spans="1:10" ht="27.95">
      <c r="A214" s="72">
        <v>235</v>
      </c>
      <c r="B214" s="127"/>
      <c r="C214" s="127"/>
      <c r="D214" s="131"/>
      <c r="E214" s="71"/>
      <c r="F214" s="70" t="s">
        <v>1611</v>
      </c>
      <c r="G214" s="68"/>
      <c r="H214" s="69" t="s">
        <v>1845</v>
      </c>
      <c r="I214" s="68"/>
      <c r="J214" s="68"/>
    </row>
    <row r="215" spans="1:10">
      <c r="A215" s="72">
        <v>236</v>
      </c>
      <c r="B215" s="127"/>
      <c r="C215" s="127"/>
      <c r="D215" s="131"/>
      <c r="E215" s="71"/>
      <c r="F215" s="70" t="s">
        <v>1614</v>
      </c>
      <c r="G215" s="68"/>
      <c r="H215" s="69" t="s">
        <v>1845</v>
      </c>
      <c r="I215" s="68"/>
      <c r="J215" s="68"/>
    </row>
    <row r="216" spans="1:10" ht="27.95">
      <c r="A216" s="72">
        <v>237</v>
      </c>
      <c r="B216" s="127"/>
      <c r="C216" s="127"/>
      <c r="D216" s="131"/>
      <c r="E216" s="71"/>
      <c r="F216" s="70" t="s">
        <v>1617</v>
      </c>
      <c r="G216" s="68"/>
      <c r="H216" s="69" t="s">
        <v>1845</v>
      </c>
      <c r="I216" s="68"/>
      <c r="J216" s="68"/>
    </row>
    <row r="217" spans="1:10">
      <c r="A217" s="72">
        <v>238</v>
      </c>
      <c r="B217" s="127"/>
      <c r="C217" s="127"/>
      <c r="D217" s="131"/>
      <c r="E217" s="71"/>
      <c r="F217" s="70" t="s">
        <v>1620</v>
      </c>
      <c r="G217" s="68"/>
      <c r="H217" s="69" t="s">
        <v>1845</v>
      </c>
      <c r="I217" s="68"/>
      <c r="J217" s="68"/>
    </row>
    <row r="218" spans="1:10" ht="27.95">
      <c r="A218" s="72">
        <v>239</v>
      </c>
      <c r="B218" s="148"/>
      <c r="C218" s="128"/>
      <c r="D218" s="130"/>
      <c r="E218" s="71"/>
      <c r="F218" s="70" t="s">
        <v>1623</v>
      </c>
      <c r="G218" s="68"/>
      <c r="H218" s="69" t="s">
        <v>1845</v>
      </c>
      <c r="I218" s="68"/>
      <c r="J218" s="68"/>
    </row>
    <row r="219" spans="1:10">
      <c r="A219" s="67"/>
      <c r="B219" s="66"/>
      <c r="C219" s="66"/>
      <c r="D219" s="66"/>
      <c r="E219" s="66"/>
      <c r="F219" s="65"/>
      <c r="G219" s="65"/>
      <c r="H219" s="65"/>
      <c r="I219" s="64"/>
      <c r="J219" s="64"/>
    </row>
    <row r="220" spans="1:10">
      <c r="A220" s="67"/>
      <c r="B220" s="66"/>
      <c r="C220" s="66"/>
      <c r="D220" s="66"/>
      <c r="E220" s="66"/>
      <c r="F220" s="65"/>
      <c r="G220" s="65"/>
      <c r="H220" s="65"/>
      <c r="I220" s="64"/>
      <c r="J220" s="64"/>
    </row>
    <row r="221" spans="1:10">
      <c r="A221" s="67"/>
      <c r="B221" s="66"/>
      <c r="C221" s="66"/>
      <c r="D221" s="66"/>
      <c r="E221" s="66"/>
      <c r="F221" s="65"/>
      <c r="G221" s="65"/>
      <c r="H221" s="65"/>
      <c r="I221" s="64"/>
      <c r="J221" s="64"/>
    </row>
    <row r="222" spans="1:10">
      <c r="A222" s="67"/>
      <c r="B222" s="66"/>
      <c r="C222" s="66"/>
      <c r="D222" s="66"/>
      <c r="E222" s="66"/>
      <c r="F222" s="65"/>
      <c r="G222" s="65"/>
      <c r="H222" s="65"/>
      <c r="I222" s="64"/>
      <c r="J222" s="64"/>
    </row>
    <row r="223" spans="1:10">
      <c r="A223" s="67"/>
      <c r="B223" s="66"/>
      <c r="C223" s="66"/>
      <c r="D223" s="66"/>
      <c r="E223" s="66"/>
      <c r="F223" s="65"/>
      <c r="G223" s="65"/>
      <c r="H223" s="65"/>
      <c r="I223" s="64"/>
      <c r="J223" s="64"/>
    </row>
    <row r="224" spans="1:10">
      <c r="A224" s="67"/>
      <c r="B224" s="66"/>
      <c r="C224" s="66"/>
      <c r="D224" s="66"/>
      <c r="E224" s="66"/>
      <c r="F224" s="65"/>
      <c r="G224" s="65"/>
      <c r="H224" s="65"/>
      <c r="I224" s="64"/>
      <c r="J224" s="64"/>
    </row>
    <row r="225" spans="1:10">
      <c r="A225" s="67"/>
      <c r="B225" s="66"/>
      <c r="C225" s="66"/>
      <c r="D225" s="66"/>
      <c r="E225" s="66"/>
      <c r="F225" s="65"/>
      <c r="G225" s="65"/>
      <c r="H225" s="65"/>
      <c r="I225" s="64"/>
      <c r="J225" s="64"/>
    </row>
    <row r="226" spans="1:10">
      <c r="A226" s="67"/>
      <c r="B226" s="66"/>
      <c r="C226" s="66"/>
      <c r="D226" s="66"/>
      <c r="E226" s="66"/>
      <c r="F226" s="65"/>
      <c r="G226" s="65"/>
      <c r="H226" s="65"/>
      <c r="I226" s="64"/>
      <c r="J226" s="64"/>
    </row>
    <row r="227" spans="1:10">
      <c r="A227" s="67"/>
      <c r="B227" s="66"/>
      <c r="C227" s="66"/>
      <c r="D227" s="66"/>
      <c r="E227" s="66"/>
      <c r="F227" s="65"/>
      <c r="G227" s="65"/>
      <c r="H227" s="65"/>
      <c r="I227" s="64"/>
      <c r="J227" s="64"/>
    </row>
    <row r="228" spans="1:10">
      <c r="A228" s="67"/>
      <c r="B228" s="66"/>
      <c r="C228" s="66"/>
      <c r="D228" s="66"/>
      <c r="E228" s="66"/>
      <c r="F228" s="65"/>
      <c r="G228" s="65"/>
      <c r="H228" s="65"/>
      <c r="I228" s="64"/>
      <c r="J228" s="64"/>
    </row>
    <row r="229" spans="1:10">
      <c r="A229" s="67"/>
      <c r="B229" s="66"/>
      <c r="C229" s="66"/>
      <c r="D229" s="66"/>
      <c r="E229" s="66"/>
      <c r="F229" s="65"/>
      <c r="G229" s="65"/>
      <c r="H229" s="65"/>
      <c r="I229" s="64"/>
      <c r="J229" s="64"/>
    </row>
    <row r="230" spans="1:10">
      <c r="A230" s="67"/>
      <c r="B230" s="66"/>
      <c r="C230" s="66"/>
      <c r="D230" s="66"/>
      <c r="E230" s="66"/>
      <c r="F230" s="65"/>
      <c r="G230" s="65"/>
      <c r="H230" s="65"/>
      <c r="I230" s="64"/>
      <c r="J230" s="64"/>
    </row>
    <row r="231" spans="1:10">
      <c r="A231" s="67"/>
      <c r="B231" s="66"/>
      <c r="C231" s="66"/>
      <c r="D231" s="66"/>
      <c r="E231" s="66"/>
      <c r="F231" s="65"/>
      <c r="G231" s="65"/>
      <c r="H231" s="65"/>
      <c r="I231" s="64"/>
      <c r="J231" s="64"/>
    </row>
    <row r="232" spans="1:10">
      <c r="A232" s="67"/>
      <c r="B232" s="66"/>
      <c r="C232" s="66"/>
      <c r="D232" s="66"/>
      <c r="E232" s="66"/>
      <c r="F232" s="65"/>
      <c r="G232" s="65"/>
      <c r="H232" s="65"/>
      <c r="I232" s="64"/>
      <c r="J232" s="64"/>
    </row>
    <row r="233" spans="1:10">
      <c r="A233" s="67"/>
      <c r="B233" s="66"/>
      <c r="C233" s="66"/>
      <c r="D233" s="66"/>
      <c r="E233" s="66"/>
      <c r="F233" s="65"/>
      <c r="G233" s="65"/>
      <c r="H233" s="65"/>
      <c r="I233" s="64"/>
      <c r="J233" s="64"/>
    </row>
    <row r="234" spans="1:10">
      <c r="A234" s="67"/>
      <c r="B234" s="66"/>
      <c r="C234" s="66"/>
      <c r="D234" s="66"/>
      <c r="E234" s="66"/>
      <c r="F234" s="65"/>
      <c r="G234" s="65"/>
      <c r="H234" s="65"/>
      <c r="I234" s="64"/>
      <c r="J234" s="64"/>
    </row>
    <row r="235" spans="1:10">
      <c r="A235" s="67"/>
      <c r="B235" s="66"/>
      <c r="C235" s="66"/>
      <c r="D235" s="66"/>
      <c r="E235" s="66"/>
      <c r="F235" s="65"/>
      <c r="G235" s="65"/>
      <c r="H235" s="65"/>
      <c r="I235" s="64"/>
      <c r="J235" s="64"/>
    </row>
    <row r="236" spans="1:10">
      <c r="A236" s="67"/>
      <c r="B236" s="66"/>
      <c r="C236" s="66"/>
      <c r="D236" s="66"/>
      <c r="E236" s="66"/>
      <c r="F236" s="65"/>
      <c r="G236" s="65"/>
      <c r="H236" s="65"/>
      <c r="I236" s="64"/>
      <c r="J236" s="64"/>
    </row>
    <row r="237" spans="1:10">
      <c r="A237" s="67"/>
      <c r="B237" s="66"/>
      <c r="C237" s="66"/>
      <c r="D237" s="66"/>
      <c r="E237" s="66"/>
      <c r="F237" s="65"/>
      <c r="G237" s="65"/>
      <c r="H237" s="65"/>
      <c r="I237" s="64"/>
      <c r="J237" s="64"/>
    </row>
    <row r="238" spans="1:10">
      <c r="A238" s="67"/>
      <c r="B238" s="66"/>
      <c r="C238" s="66"/>
      <c r="D238" s="66"/>
      <c r="E238" s="66"/>
      <c r="F238" s="65"/>
      <c r="G238" s="65"/>
      <c r="H238" s="65"/>
      <c r="I238" s="64"/>
      <c r="J238" s="64"/>
    </row>
    <row r="239" spans="1:10">
      <c r="A239" s="67"/>
      <c r="B239" s="66"/>
      <c r="C239" s="66"/>
      <c r="D239" s="66"/>
      <c r="E239" s="66"/>
      <c r="F239" s="65"/>
      <c r="G239" s="65"/>
      <c r="H239" s="65"/>
      <c r="I239" s="64"/>
      <c r="J239" s="64"/>
    </row>
    <row r="240" spans="1:10">
      <c r="A240" s="67"/>
      <c r="B240" s="66"/>
      <c r="C240" s="66"/>
      <c r="D240" s="66"/>
      <c r="E240" s="66"/>
      <c r="F240" s="65"/>
      <c r="G240" s="65"/>
      <c r="H240" s="65"/>
      <c r="I240" s="64"/>
      <c r="J240" s="64"/>
    </row>
    <row r="241" spans="1:10">
      <c r="A241" s="67"/>
      <c r="B241" s="66"/>
      <c r="C241" s="66"/>
      <c r="D241" s="66"/>
      <c r="E241" s="66"/>
      <c r="F241" s="65"/>
      <c r="G241" s="65"/>
      <c r="H241" s="65"/>
      <c r="I241" s="64"/>
      <c r="J241" s="64"/>
    </row>
    <row r="242" spans="1:10">
      <c r="A242" s="67"/>
      <c r="B242" s="66"/>
      <c r="C242" s="66"/>
      <c r="D242" s="66"/>
      <c r="E242" s="66"/>
      <c r="F242" s="65"/>
      <c r="G242" s="65"/>
      <c r="H242" s="65"/>
      <c r="I242" s="64"/>
      <c r="J242" s="64"/>
    </row>
    <row r="243" spans="1:10">
      <c r="A243" s="67"/>
      <c r="B243" s="66"/>
      <c r="C243" s="66"/>
      <c r="D243" s="66"/>
      <c r="E243" s="66"/>
      <c r="F243" s="65"/>
      <c r="G243" s="65"/>
      <c r="H243" s="65"/>
      <c r="I243" s="64"/>
      <c r="J243" s="64"/>
    </row>
    <row r="244" spans="1:10">
      <c r="A244" s="67"/>
      <c r="B244" s="66"/>
      <c r="C244" s="66"/>
      <c r="D244" s="66"/>
      <c r="E244" s="66"/>
      <c r="F244" s="65"/>
      <c r="G244" s="65"/>
      <c r="H244" s="65"/>
      <c r="I244" s="64"/>
      <c r="J244" s="64"/>
    </row>
    <row r="245" spans="1:10">
      <c r="A245" s="67"/>
      <c r="B245" s="66"/>
      <c r="C245" s="66"/>
      <c r="D245" s="66"/>
      <c r="E245" s="66"/>
      <c r="F245" s="65"/>
      <c r="G245" s="65"/>
      <c r="H245" s="65"/>
      <c r="I245" s="64"/>
      <c r="J245" s="64"/>
    </row>
    <row r="246" spans="1:10">
      <c r="A246" s="67"/>
      <c r="B246" s="66"/>
      <c r="C246" s="66"/>
      <c r="D246" s="66"/>
      <c r="E246" s="66"/>
      <c r="F246" s="65"/>
      <c r="G246" s="65"/>
      <c r="H246" s="65"/>
      <c r="I246" s="64"/>
      <c r="J246" s="64"/>
    </row>
    <row r="247" spans="1:10">
      <c r="A247" s="67"/>
      <c r="B247" s="66"/>
      <c r="C247" s="66"/>
      <c r="D247" s="66"/>
      <c r="E247" s="66"/>
      <c r="F247" s="65"/>
      <c r="G247" s="65"/>
      <c r="H247" s="65"/>
      <c r="I247" s="64"/>
      <c r="J247" s="64"/>
    </row>
    <row r="248" spans="1:10">
      <c r="A248" s="67"/>
      <c r="B248" s="66"/>
      <c r="C248" s="66"/>
      <c r="D248" s="66"/>
      <c r="E248" s="66"/>
      <c r="F248" s="65"/>
      <c r="G248" s="65"/>
      <c r="H248" s="65"/>
      <c r="I248" s="64"/>
      <c r="J248" s="64"/>
    </row>
    <row r="249" spans="1:10">
      <c r="A249" s="67"/>
      <c r="B249" s="66"/>
      <c r="C249" s="66"/>
      <c r="D249" s="66"/>
      <c r="E249" s="66"/>
      <c r="F249" s="65"/>
      <c r="G249" s="65"/>
      <c r="H249" s="65"/>
      <c r="I249" s="64"/>
      <c r="J249" s="64"/>
    </row>
    <row r="250" spans="1:10">
      <c r="A250" s="67"/>
      <c r="B250" s="66"/>
      <c r="C250" s="66"/>
      <c r="D250" s="66"/>
      <c r="E250" s="66"/>
      <c r="F250" s="65"/>
      <c r="G250" s="65"/>
      <c r="H250" s="65"/>
      <c r="I250" s="64"/>
      <c r="J250" s="64"/>
    </row>
    <row r="251" spans="1:10">
      <c r="A251" s="67"/>
      <c r="B251" s="66"/>
      <c r="C251" s="66"/>
      <c r="D251" s="66"/>
      <c r="E251" s="66"/>
      <c r="F251" s="65"/>
      <c r="G251" s="65"/>
      <c r="H251" s="65"/>
      <c r="I251" s="64"/>
      <c r="J251" s="64"/>
    </row>
    <row r="252" spans="1:10">
      <c r="A252" s="67"/>
      <c r="B252" s="66"/>
      <c r="C252" s="66"/>
      <c r="D252" s="66"/>
      <c r="E252" s="66"/>
      <c r="F252" s="65"/>
      <c r="G252" s="65"/>
      <c r="H252" s="65"/>
      <c r="I252" s="64"/>
      <c r="J252" s="64"/>
    </row>
    <row r="253" spans="1:10">
      <c r="A253" s="67"/>
      <c r="B253" s="66"/>
      <c r="C253" s="66"/>
      <c r="D253" s="66"/>
      <c r="E253" s="66"/>
      <c r="F253" s="65"/>
      <c r="G253" s="65"/>
      <c r="H253" s="65"/>
      <c r="I253" s="64"/>
      <c r="J253" s="64"/>
    </row>
    <row r="254" spans="1:10">
      <c r="A254" s="67"/>
      <c r="B254" s="66"/>
      <c r="C254" s="66"/>
      <c r="D254" s="66"/>
      <c r="E254" s="66"/>
      <c r="F254" s="65"/>
      <c r="G254" s="65"/>
      <c r="H254" s="65"/>
      <c r="I254" s="64"/>
      <c r="J254" s="64"/>
    </row>
    <row r="255" spans="1:10">
      <c r="A255" s="67"/>
      <c r="B255" s="66"/>
      <c r="C255" s="66"/>
      <c r="D255" s="66"/>
      <c r="E255" s="66"/>
      <c r="F255" s="65"/>
      <c r="G255" s="65"/>
      <c r="H255" s="65"/>
      <c r="I255" s="64"/>
      <c r="J255" s="64"/>
    </row>
    <row r="256" spans="1:10">
      <c r="A256" s="67"/>
      <c r="B256" s="66"/>
      <c r="C256" s="66"/>
      <c r="D256" s="66"/>
      <c r="E256" s="66"/>
      <c r="F256" s="65"/>
      <c r="G256" s="65"/>
      <c r="H256" s="65"/>
      <c r="I256" s="64"/>
      <c r="J256" s="64"/>
    </row>
    <row r="257" spans="1:10">
      <c r="A257" s="67"/>
      <c r="B257" s="66"/>
      <c r="C257" s="66"/>
      <c r="D257" s="66"/>
      <c r="E257" s="66"/>
      <c r="F257" s="65"/>
      <c r="G257" s="65"/>
      <c r="H257" s="65"/>
      <c r="I257" s="64"/>
      <c r="J257" s="64"/>
    </row>
    <row r="258" spans="1:10">
      <c r="A258" s="67"/>
      <c r="B258" s="66"/>
      <c r="C258" s="66"/>
      <c r="D258" s="66"/>
      <c r="E258" s="66"/>
      <c r="F258" s="65"/>
      <c r="G258" s="65"/>
      <c r="H258" s="65"/>
      <c r="I258" s="64"/>
      <c r="J258" s="64"/>
    </row>
    <row r="259" spans="1:10">
      <c r="A259" s="67"/>
      <c r="B259" s="66"/>
      <c r="C259" s="66"/>
      <c r="D259" s="66"/>
      <c r="E259" s="66"/>
      <c r="F259" s="65"/>
      <c r="G259" s="65"/>
      <c r="H259" s="65"/>
      <c r="I259" s="64"/>
      <c r="J259" s="64"/>
    </row>
    <row r="260" spans="1:10">
      <c r="A260" s="67"/>
      <c r="B260" s="66"/>
      <c r="C260" s="66"/>
      <c r="D260" s="66"/>
      <c r="E260" s="66"/>
      <c r="F260" s="65"/>
      <c r="G260" s="65"/>
      <c r="H260" s="65"/>
      <c r="I260" s="64"/>
      <c r="J260" s="64"/>
    </row>
    <row r="261" spans="1:10">
      <c r="A261" s="67"/>
      <c r="B261" s="66"/>
      <c r="C261" s="66"/>
      <c r="D261" s="66"/>
      <c r="E261" s="66"/>
      <c r="F261" s="65"/>
      <c r="G261" s="65"/>
      <c r="H261" s="65"/>
      <c r="I261" s="64"/>
      <c r="J261" s="64"/>
    </row>
    <row r="262" spans="1:10">
      <c r="A262" s="67"/>
      <c r="B262" s="66"/>
      <c r="C262" s="66"/>
      <c r="D262" s="66"/>
      <c r="E262" s="66"/>
      <c r="F262" s="65"/>
      <c r="G262" s="65"/>
      <c r="H262" s="65"/>
      <c r="I262" s="64"/>
      <c r="J262" s="64"/>
    </row>
    <row r="263" spans="1:10">
      <c r="A263" s="67"/>
      <c r="B263" s="66"/>
      <c r="C263" s="66"/>
      <c r="D263" s="66"/>
      <c r="E263" s="66"/>
      <c r="F263" s="65"/>
      <c r="G263" s="65"/>
      <c r="H263" s="65"/>
      <c r="I263" s="64"/>
      <c r="J263" s="64"/>
    </row>
    <row r="264" spans="1:10">
      <c r="A264" s="67"/>
      <c r="B264" s="66"/>
      <c r="C264" s="66"/>
      <c r="D264" s="66"/>
      <c r="E264" s="66"/>
      <c r="F264" s="65"/>
      <c r="G264" s="65"/>
      <c r="H264" s="65"/>
      <c r="I264" s="64"/>
      <c r="J264" s="64"/>
    </row>
    <row r="265" spans="1:10">
      <c r="A265" s="67"/>
      <c r="B265" s="66"/>
      <c r="C265" s="66"/>
      <c r="D265" s="66"/>
      <c r="E265" s="66"/>
      <c r="F265" s="65"/>
      <c r="G265" s="65"/>
      <c r="H265" s="65"/>
      <c r="I265" s="64"/>
      <c r="J265" s="64"/>
    </row>
    <row r="266" spans="1:10">
      <c r="A266" s="67"/>
      <c r="B266" s="66"/>
      <c r="C266" s="66"/>
      <c r="D266" s="66"/>
      <c r="E266" s="66"/>
      <c r="F266" s="65"/>
      <c r="G266" s="65"/>
      <c r="H266" s="65"/>
      <c r="I266" s="64"/>
      <c r="J266" s="64"/>
    </row>
    <row r="267" spans="1:10">
      <c r="A267" s="67"/>
      <c r="B267" s="66"/>
      <c r="C267" s="66"/>
      <c r="D267" s="66"/>
      <c r="E267" s="66"/>
      <c r="F267" s="65"/>
      <c r="G267" s="65"/>
      <c r="H267" s="65"/>
      <c r="I267" s="64"/>
      <c r="J267" s="64"/>
    </row>
    <row r="268" spans="1:10">
      <c r="A268" s="67"/>
      <c r="B268" s="66"/>
      <c r="C268" s="66"/>
      <c r="D268" s="66"/>
      <c r="E268" s="66"/>
      <c r="F268" s="65"/>
      <c r="G268" s="65"/>
      <c r="H268" s="65"/>
      <c r="I268" s="64"/>
      <c r="J268" s="64"/>
    </row>
    <row r="269" spans="1:10">
      <c r="A269" s="67"/>
      <c r="B269" s="66"/>
      <c r="C269" s="66"/>
      <c r="D269" s="66"/>
      <c r="E269" s="66"/>
      <c r="F269" s="65"/>
      <c r="G269" s="65"/>
      <c r="H269" s="65"/>
      <c r="I269" s="64"/>
      <c r="J269" s="64"/>
    </row>
    <row r="270" spans="1:10">
      <c r="A270" s="67"/>
      <c r="B270" s="66"/>
      <c r="C270" s="66"/>
      <c r="D270" s="66"/>
      <c r="E270" s="66"/>
      <c r="F270" s="65"/>
      <c r="G270" s="65"/>
      <c r="H270" s="65"/>
      <c r="I270" s="64"/>
      <c r="J270" s="64"/>
    </row>
    <row r="271" spans="1:10">
      <c r="A271" s="67"/>
      <c r="B271" s="66"/>
      <c r="C271" s="66"/>
      <c r="D271" s="66"/>
      <c r="E271" s="66"/>
      <c r="F271" s="65"/>
      <c r="G271" s="65"/>
      <c r="H271" s="65"/>
      <c r="I271" s="64"/>
      <c r="J271" s="64"/>
    </row>
    <row r="272" spans="1:10">
      <c r="A272" s="67"/>
      <c r="B272" s="66"/>
      <c r="C272" s="66"/>
      <c r="D272" s="66"/>
      <c r="E272" s="66"/>
      <c r="F272" s="65"/>
      <c r="G272" s="65"/>
      <c r="H272" s="65"/>
      <c r="I272" s="64"/>
      <c r="J272" s="64"/>
    </row>
    <row r="273" spans="1:10">
      <c r="A273" s="67"/>
      <c r="B273" s="66"/>
      <c r="C273" s="66"/>
      <c r="D273" s="66"/>
      <c r="E273" s="66"/>
      <c r="F273" s="65"/>
      <c r="G273" s="65"/>
      <c r="H273" s="65"/>
      <c r="I273" s="64"/>
      <c r="J273" s="64"/>
    </row>
    <row r="274" spans="1:10">
      <c r="A274" s="67"/>
      <c r="B274" s="66"/>
      <c r="C274" s="66"/>
      <c r="D274" s="66"/>
      <c r="E274" s="66"/>
      <c r="F274" s="65"/>
      <c r="G274" s="65"/>
      <c r="H274" s="65"/>
      <c r="I274" s="64"/>
      <c r="J274" s="64"/>
    </row>
    <row r="275" spans="1:10">
      <c r="A275" s="67"/>
      <c r="B275" s="66"/>
      <c r="C275" s="66"/>
      <c r="D275" s="66"/>
      <c r="E275" s="66"/>
      <c r="F275" s="65"/>
      <c r="G275" s="65"/>
      <c r="H275" s="65"/>
      <c r="I275" s="64"/>
      <c r="J275" s="64"/>
    </row>
    <row r="276" spans="1:10">
      <c r="A276" s="67"/>
      <c r="B276" s="66"/>
      <c r="C276" s="66"/>
      <c r="D276" s="66"/>
      <c r="E276" s="66"/>
      <c r="F276" s="65"/>
      <c r="G276" s="65"/>
      <c r="H276" s="65"/>
      <c r="I276" s="64"/>
      <c r="J276" s="64"/>
    </row>
    <row r="277" spans="1:10">
      <c r="A277" s="67"/>
      <c r="B277" s="66"/>
      <c r="C277" s="66"/>
      <c r="D277" s="66"/>
      <c r="E277" s="66"/>
      <c r="F277" s="65"/>
      <c r="G277" s="65"/>
      <c r="H277" s="65"/>
      <c r="I277" s="64"/>
      <c r="J277" s="64"/>
    </row>
    <row r="278" spans="1:10">
      <c r="A278" s="67"/>
      <c r="B278" s="66"/>
      <c r="C278" s="66"/>
      <c r="D278" s="66"/>
      <c r="E278" s="66"/>
      <c r="F278" s="65"/>
      <c r="G278" s="65"/>
      <c r="H278" s="65"/>
      <c r="I278" s="64"/>
      <c r="J278" s="64"/>
    </row>
    <row r="279" spans="1:10">
      <c r="A279" s="67"/>
      <c r="B279" s="66"/>
      <c r="C279" s="66"/>
      <c r="D279" s="66"/>
      <c r="E279" s="66"/>
      <c r="F279" s="65"/>
      <c r="G279" s="65"/>
      <c r="H279" s="65"/>
      <c r="I279" s="64"/>
      <c r="J279" s="64"/>
    </row>
    <row r="280" spans="1:10">
      <c r="A280" s="67"/>
      <c r="B280" s="66"/>
      <c r="C280" s="66"/>
      <c r="D280" s="66"/>
      <c r="E280" s="66"/>
      <c r="F280" s="65"/>
      <c r="G280" s="65"/>
      <c r="H280" s="65"/>
      <c r="I280" s="64"/>
      <c r="J280" s="64"/>
    </row>
    <row r="281" spans="1:10">
      <c r="A281" s="67"/>
      <c r="B281" s="66"/>
      <c r="C281" s="66"/>
      <c r="D281" s="66"/>
      <c r="E281" s="66"/>
      <c r="F281" s="65"/>
      <c r="G281" s="65"/>
      <c r="H281" s="65"/>
      <c r="I281" s="64"/>
      <c r="J281" s="64"/>
    </row>
    <row r="282" spans="1:10">
      <c r="A282" s="67"/>
      <c r="B282" s="66"/>
      <c r="C282" s="66"/>
      <c r="D282" s="66"/>
      <c r="E282" s="66"/>
      <c r="F282" s="65"/>
      <c r="G282" s="65"/>
      <c r="H282" s="65"/>
      <c r="I282" s="64"/>
      <c r="J282" s="64"/>
    </row>
    <row r="283" spans="1:10">
      <c r="A283" s="67"/>
      <c r="B283" s="66"/>
      <c r="C283" s="66"/>
      <c r="D283" s="66"/>
      <c r="E283" s="66"/>
      <c r="F283" s="65"/>
      <c r="G283" s="65"/>
      <c r="H283" s="65"/>
      <c r="I283" s="64"/>
      <c r="J283" s="64"/>
    </row>
    <row r="284" spans="1:10">
      <c r="A284" s="67"/>
      <c r="B284" s="66"/>
      <c r="C284" s="66"/>
      <c r="D284" s="66"/>
      <c r="E284" s="66"/>
      <c r="F284" s="65"/>
      <c r="G284" s="65"/>
      <c r="H284" s="65"/>
      <c r="I284" s="64"/>
      <c r="J284" s="64"/>
    </row>
    <row r="285" spans="1:10">
      <c r="A285" s="67"/>
      <c r="B285" s="66"/>
      <c r="C285" s="66"/>
      <c r="D285" s="66"/>
      <c r="E285" s="66"/>
      <c r="F285" s="65"/>
      <c r="G285" s="65"/>
      <c r="H285" s="65"/>
      <c r="I285" s="64"/>
      <c r="J285" s="64"/>
    </row>
    <row r="286" spans="1:10">
      <c r="A286" s="67"/>
      <c r="B286" s="66"/>
      <c r="C286" s="66"/>
      <c r="D286" s="66"/>
      <c r="E286" s="66"/>
      <c r="F286" s="65"/>
      <c r="G286" s="65"/>
      <c r="H286" s="65"/>
      <c r="I286" s="64"/>
      <c r="J286" s="64"/>
    </row>
    <row r="287" spans="1:10">
      <c r="A287" s="67"/>
      <c r="B287" s="66"/>
      <c r="C287" s="66"/>
      <c r="D287" s="66"/>
      <c r="E287" s="66"/>
      <c r="F287" s="65"/>
      <c r="G287" s="65"/>
      <c r="H287" s="65"/>
      <c r="I287" s="64"/>
      <c r="J287" s="64"/>
    </row>
    <row r="288" spans="1:10">
      <c r="A288" s="67"/>
      <c r="B288" s="66"/>
      <c r="C288" s="66"/>
      <c r="D288" s="66"/>
      <c r="E288" s="66"/>
      <c r="F288" s="65"/>
      <c r="G288" s="65"/>
      <c r="H288" s="65"/>
      <c r="I288" s="64"/>
      <c r="J288" s="64"/>
    </row>
    <row r="289" spans="1:10">
      <c r="A289" s="67"/>
      <c r="B289" s="66"/>
      <c r="C289" s="66"/>
      <c r="D289" s="66"/>
      <c r="E289" s="66"/>
      <c r="F289" s="65"/>
      <c r="G289" s="65"/>
      <c r="H289" s="65"/>
      <c r="I289" s="64"/>
      <c r="J289" s="64"/>
    </row>
    <row r="290" spans="1:10">
      <c r="A290" s="67"/>
      <c r="B290" s="66"/>
      <c r="C290" s="66"/>
      <c r="D290" s="66"/>
      <c r="E290" s="66"/>
      <c r="F290" s="65"/>
      <c r="G290" s="65"/>
      <c r="H290" s="65"/>
      <c r="I290" s="64"/>
      <c r="J290" s="64"/>
    </row>
    <row r="291" spans="1:10">
      <c r="A291" s="67"/>
      <c r="B291" s="66"/>
      <c r="C291" s="66"/>
      <c r="D291" s="66"/>
      <c r="E291" s="66"/>
      <c r="F291" s="65"/>
      <c r="G291" s="65"/>
      <c r="H291" s="65"/>
      <c r="I291" s="64"/>
      <c r="J291" s="64"/>
    </row>
    <row r="292" spans="1:10">
      <c r="A292" s="67"/>
      <c r="B292" s="66"/>
      <c r="C292" s="66"/>
      <c r="D292" s="66"/>
      <c r="E292" s="66"/>
      <c r="F292" s="65"/>
      <c r="G292" s="65"/>
      <c r="H292" s="65"/>
      <c r="I292" s="64"/>
      <c r="J292" s="64"/>
    </row>
    <row r="293" spans="1:10">
      <c r="A293" s="67"/>
      <c r="B293" s="66"/>
      <c r="C293" s="66"/>
      <c r="D293" s="66"/>
      <c r="E293" s="66"/>
      <c r="F293" s="65"/>
      <c r="G293" s="65"/>
      <c r="H293" s="65"/>
      <c r="I293" s="64"/>
      <c r="J293" s="64"/>
    </row>
    <row r="294" spans="1:10">
      <c r="A294" s="67"/>
      <c r="B294" s="66"/>
      <c r="C294" s="66"/>
      <c r="D294" s="66"/>
      <c r="E294" s="66"/>
      <c r="F294" s="65"/>
      <c r="G294" s="65"/>
      <c r="H294" s="65"/>
      <c r="I294" s="64"/>
      <c r="J294" s="64"/>
    </row>
    <row r="295" spans="1:10">
      <c r="A295" s="67"/>
      <c r="B295" s="66"/>
      <c r="C295" s="66"/>
      <c r="D295" s="66"/>
      <c r="E295" s="66"/>
      <c r="F295" s="65"/>
      <c r="G295" s="65"/>
      <c r="H295" s="65"/>
      <c r="I295" s="64"/>
      <c r="J295" s="64"/>
    </row>
    <row r="296" spans="1:10">
      <c r="A296" s="67"/>
      <c r="B296" s="66"/>
      <c r="C296" s="66"/>
      <c r="D296" s="66"/>
      <c r="E296" s="66"/>
      <c r="F296" s="65"/>
      <c r="G296" s="65"/>
      <c r="H296" s="65"/>
      <c r="I296" s="64"/>
      <c r="J296" s="64"/>
    </row>
    <row r="297" spans="1:10">
      <c r="A297" s="67"/>
      <c r="B297" s="66"/>
      <c r="C297" s="66"/>
      <c r="D297" s="66"/>
      <c r="E297" s="66"/>
      <c r="F297" s="65"/>
      <c r="G297" s="65"/>
      <c r="H297" s="65"/>
      <c r="I297" s="64"/>
      <c r="J297" s="64"/>
    </row>
    <row r="298" spans="1:10">
      <c r="A298" s="67"/>
      <c r="B298" s="66"/>
      <c r="C298" s="66"/>
      <c r="D298" s="66"/>
      <c r="E298" s="66"/>
      <c r="F298" s="65"/>
      <c r="G298" s="65"/>
      <c r="H298" s="65"/>
      <c r="I298" s="64"/>
      <c r="J298" s="64"/>
    </row>
    <row r="299" spans="1:10">
      <c r="A299" s="67"/>
      <c r="B299" s="66"/>
      <c r="C299" s="66"/>
      <c r="D299" s="66"/>
      <c r="E299" s="66"/>
      <c r="F299" s="65"/>
      <c r="G299" s="65"/>
      <c r="H299" s="65"/>
      <c r="I299" s="64"/>
      <c r="J299" s="64"/>
    </row>
    <row r="300" spans="1:10">
      <c r="A300" s="67"/>
      <c r="B300" s="66"/>
      <c r="C300" s="66"/>
      <c r="D300" s="66"/>
      <c r="E300" s="66"/>
      <c r="F300" s="65"/>
      <c r="G300" s="65"/>
      <c r="H300" s="65"/>
      <c r="I300" s="64"/>
      <c r="J300" s="64"/>
    </row>
    <row r="301" spans="1:10">
      <c r="A301" s="67"/>
      <c r="B301" s="66"/>
      <c r="C301" s="66"/>
      <c r="D301" s="66"/>
      <c r="E301" s="66"/>
      <c r="F301" s="65"/>
      <c r="G301" s="65"/>
      <c r="H301" s="65"/>
      <c r="I301" s="64"/>
      <c r="J301" s="64"/>
    </row>
    <row r="302" spans="1:10">
      <c r="A302" s="67"/>
      <c r="B302" s="66"/>
      <c r="C302" s="66"/>
      <c r="D302" s="66"/>
      <c r="E302" s="66"/>
      <c r="F302" s="65"/>
      <c r="G302" s="65"/>
      <c r="H302" s="65"/>
      <c r="I302" s="64"/>
      <c r="J302" s="64"/>
    </row>
    <row r="303" spans="1:10">
      <c r="A303" s="67"/>
      <c r="B303" s="66"/>
      <c r="C303" s="66"/>
      <c r="D303" s="66"/>
      <c r="E303" s="66"/>
      <c r="F303" s="65"/>
      <c r="G303" s="65"/>
      <c r="H303" s="65"/>
      <c r="I303" s="64"/>
      <c r="J303" s="64"/>
    </row>
    <row r="304" spans="1:10">
      <c r="A304" s="67"/>
      <c r="B304" s="66"/>
      <c r="C304" s="66"/>
      <c r="D304" s="66"/>
      <c r="E304" s="66"/>
      <c r="F304" s="65"/>
      <c r="G304" s="65"/>
      <c r="H304" s="65"/>
      <c r="I304" s="64"/>
      <c r="J304" s="64"/>
    </row>
    <row r="305" spans="1:10">
      <c r="A305" s="67"/>
      <c r="B305" s="66"/>
      <c r="C305" s="66"/>
      <c r="D305" s="66"/>
      <c r="E305" s="66"/>
      <c r="F305" s="65"/>
      <c r="G305" s="65"/>
      <c r="H305" s="65"/>
      <c r="I305" s="64"/>
      <c r="J305" s="64"/>
    </row>
    <row r="306" spans="1:10">
      <c r="A306" s="67"/>
      <c r="B306" s="66"/>
      <c r="C306" s="66"/>
      <c r="D306" s="66"/>
      <c r="E306" s="66"/>
      <c r="F306" s="65"/>
      <c r="G306" s="65"/>
      <c r="H306" s="65"/>
      <c r="I306" s="64"/>
      <c r="J306" s="64"/>
    </row>
    <row r="307" spans="1:10">
      <c r="A307" s="67"/>
      <c r="B307" s="66"/>
      <c r="C307" s="66"/>
      <c r="D307" s="66"/>
      <c r="E307" s="66"/>
      <c r="F307" s="65"/>
      <c r="G307" s="65"/>
      <c r="H307" s="65"/>
      <c r="I307" s="64"/>
      <c r="J307" s="64"/>
    </row>
    <row r="308" spans="1:10">
      <c r="A308" s="67"/>
      <c r="B308" s="66"/>
      <c r="C308" s="66"/>
      <c r="D308" s="66"/>
      <c r="E308" s="66"/>
      <c r="F308" s="65"/>
      <c r="G308" s="65"/>
      <c r="H308" s="65"/>
      <c r="I308" s="64"/>
      <c r="J308" s="64"/>
    </row>
    <row r="309" spans="1:10">
      <c r="A309" s="67"/>
      <c r="B309" s="66"/>
      <c r="C309" s="66"/>
      <c r="D309" s="66"/>
      <c r="E309" s="66"/>
      <c r="F309" s="65"/>
      <c r="G309" s="65"/>
      <c r="H309" s="65"/>
      <c r="I309" s="64"/>
      <c r="J309" s="64"/>
    </row>
    <row r="310" spans="1:10">
      <c r="A310" s="67"/>
      <c r="B310" s="66"/>
      <c r="C310" s="66"/>
      <c r="D310" s="66"/>
      <c r="E310" s="66"/>
      <c r="F310" s="65"/>
      <c r="G310" s="65"/>
      <c r="H310" s="65"/>
      <c r="I310" s="64"/>
      <c r="J310" s="64"/>
    </row>
    <row r="311" spans="1:10">
      <c r="A311" s="67"/>
      <c r="B311" s="66"/>
      <c r="C311" s="66"/>
      <c r="D311" s="66"/>
      <c r="E311" s="66"/>
      <c r="F311" s="65"/>
      <c r="G311" s="65"/>
      <c r="H311" s="65"/>
      <c r="I311" s="64"/>
      <c r="J311" s="64"/>
    </row>
    <row r="312" spans="1:10">
      <c r="A312" s="67"/>
      <c r="B312" s="66"/>
      <c r="C312" s="66"/>
      <c r="D312" s="66"/>
      <c r="E312" s="66"/>
      <c r="F312" s="65"/>
      <c r="G312" s="65"/>
      <c r="H312" s="65"/>
      <c r="I312" s="64"/>
      <c r="J312" s="64"/>
    </row>
    <row r="313" spans="1:10">
      <c r="A313" s="67"/>
      <c r="B313" s="66"/>
      <c r="C313" s="66"/>
      <c r="D313" s="66"/>
      <c r="E313" s="66"/>
      <c r="F313" s="65"/>
      <c r="G313" s="65"/>
      <c r="H313" s="65"/>
      <c r="I313" s="64"/>
      <c r="J313" s="64"/>
    </row>
    <row r="314" spans="1:10">
      <c r="A314" s="67"/>
      <c r="B314" s="66"/>
      <c r="C314" s="66"/>
      <c r="D314" s="66"/>
      <c r="E314" s="66"/>
      <c r="F314" s="65"/>
      <c r="G314" s="65"/>
      <c r="H314" s="65"/>
      <c r="I314" s="64"/>
      <c r="J314" s="64"/>
    </row>
    <row r="315" spans="1:10">
      <c r="A315" s="67"/>
      <c r="B315" s="66"/>
      <c r="C315" s="66"/>
      <c r="D315" s="66"/>
      <c r="E315" s="66"/>
      <c r="F315" s="65"/>
      <c r="G315" s="65"/>
      <c r="H315" s="65"/>
      <c r="I315" s="64"/>
      <c r="J315" s="64"/>
    </row>
    <row r="316" spans="1:10">
      <c r="A316" s="67"/>
      <c r="B316" s="66"/>
      <c r="C316" s="66"/>
      <c r="D316" s="66"/>
      <c r="E316" s="66"/>
      <c r="F316" s="65"/>
      <c r="G316" s="65"/>
      <c r="H316" s="65"/>
      <c r="I316" s="64"/>
      <c r="J316" s="64"/>
    </row>
    <row r="317" spans="1:10">
      <c r="A317" s="67"/>
      <c r="B317" s="66"/>
      <c r="C317" s="66"/>
      <c r="D317" s="66"/>
      <c r="E317" s="66"/>
      <c r="F317" s="65"/>
      <c r="G317" s="65"/>
      <c r="H317" s="65"/>
      <c r="I317" s="64"/>
      <c r="J317" s="64"/>
    </row>
    <row r="318" spans="1:10">
      <c r="A318" s="67"/>
      <c r="B318" s="66"/>
      <c r="C318" s="66"/>
      <c r="D318" s="66"/>
      <c r="E318" s="66"/>
      <c r="F318" s="65"/>
      <c r="G318" s="65"/>
      <c r="H318" s="65"/>
      <c r="I318" s="64"/>
      <c r="J318" s="64"/>
    </row>
    <row r="319" spans="1:10">
      <c r="A319" s="67"/>
      <c r="B319" s="66"/>
      <c r="C319" s="66"/>
      <c r="D319" s="66"/>
      <c r="E319" s="66"/>
      <c r="F319" s="65"/>
      <c r="G319" s="65"/>
      <c r="H319" s="65"/>
      <c r="I319" s="64"/>
      <c r="J319" s="64"/>
    </row>
    <row r="320" spans="1:10">
      <c r="A320" s="67"/>
      <c r="B320" s="66"/>
      <c r="C320" s="66"/>
      <c r="D320" s="66"/>
      <c r="E320" s="66"/>
      <c r="F320" s="65"/>
      <c r="G320" s="65"/>
      <c r="H320" s="65"/>
      <c r="I320" s="64"/>
      <c r="J320" s="64"/>
    </row>
    <row r="321" spans="1:10">
      <c r="A321" s="67"/>
      <c r="B321" s="66"/>
      <c r="C321" s="66"/>
      <c r="D321" s="66"/>
      <c r="E321" s="66"/>
      <c r="F321" s="65"/>
      <c r="G321" s="65"/>
      <c r="H321" s="65"/>
      <c r="I321" s="64"/>
      <c r="J321" s="64"/>
    </row>
    <row r="322" spans="1:10">
      <c r="A322" s="67"/>
      <c r="B322" s="66"/>
      <c r="C322" s="66"/>
      <c r="D322" s="66"/>
      <c r="E322" s="66"/>
      <c r="F322" s="65"/>
      <c r="G322" s="65"/>
      <c r="H322" s="65"/>
      <c r="I322" s="64"/>
      <c r="J322" s="64"/>
    </row>
    <row r="323" spans="1:10">
      <c r="A323" s="67"/>
      <c r="B323" s="66"/>
      <c r="C323" s="66"/>
      <c r="D323" s="66"/>
      <c r="E323" s="66"/>
      <c r="F323" s="65"/>
      <c r="G323" s="65"/>
      <c r="H323" s="65"/>
      <c r="I323" s="64"/>
      <c r="J323" s="64"/>
    </row>
    <row r="324" spans="1:10">
      <c r="A324" s="67"/>
      <c r="B324" s="66"/>
      <c r="C324" s="66"/>
      <c r="D324" s="66"/>
      <c r="E324" s="66"/>
      <c r="F324" s="65"/>
      <c r="G324" s="65"/>
      <c r="H324" s="65"/>
      <c r="I324" s="64"/>
      <c r="J324" s="64"/>
    </row>
    <row r="325" spans="1:10">
      <c r="A325" s="67"/>
      <c r="B325" s="66"/>
      <c r="C325" s="66"/>
      <c r="D325" s="66"/>
      <c r="E325" s="66"/>
      <c r="F325" s="65"/>
      <c r="G325" s="65"/>
      <c r="H325" s="65"/>
      <c r="I325" s="64"/>
      <c r="J325" s="64"/>
    </row>
    <row r="326" spans="1:10">
      <c r="A326" s="67"/>
      <c r="B326" s="66"/>
      <c r="C326" s="66"/>
      <c r="D326" s="66"/>
      <c r="E326" s="66"/>
      <c r="F326" s="65"/>
      <c r="G326" s="65"/>
      <c r="H326" s="65"/>
      <c r="I326" s="64"/>
      <c r="J326" s="64"/>
    </row>
    <row r="327" spans="1:10">
      <c r="A327" s="67"/>
      <c r="B327" s="66"/>
      <c r="C327" s="66"/>
      <c r="D327" s="66"/>
      <c r="E327" s="66"/>
      <c r="F327" s="65"/>
      <c r="G327" s="65"/>
      <c r="H327" s="65"/>
      <c r="I327" s="64"/>
      <c r="J327" s="64"/>
    </row>
    <row r="328" spans="1:10">
      <c r="A328" s="67"/>
      <c r="B328" s="66"/>
      <c r="C328" s="66"/>
      <c r="D328" s="66"/>
      <c r="E328" s="66"/>
      <c r="F328" s="65"/>
      <c r="G328" s="65"/>
      <c r="H328" s="65"/>
      <c r="I328" s="64"/>
      <c r="J328" s="64"/>
    </row>
    <row r="329" spans="1:10">
      <c r="A329" s="67"/>
      <c r="B329" s="66"/>
      <c r="C329" s="66"/>
      <c r="D329" s="66"/>
      <c r="E329" s="66"/>
      <c r="F329" s="65"/>
      <c r="G329" s="65"/>
      <c r="H329" s="65"/>
      <c r="I329" s="64"/>
      <c r="J329" s="64"/>
    </row>
    <row r="330" spans="1:10">
      <c r="A330" s="67"/>
      <c r="B330" s="66"/>
      <c r="C330" s="66"/>
      <c r="D330" s="66"/>
      <c r="E330" s="66"/>
      <c r="F330" s="65"/>
      <c r="G330" s="65"/>
      <c r="H330" s="65"/>
      <c r="I330" s="64"/>
      <c r="J330" s="64"/>
    </row>
    <row r="331" spans="1:10">
      <c r="A331" s="67"/>
      <c r="B331" s="66"/>
      <c r="C331" s="66"/>
      <c r="D331" s="66"/>
      <c r="E331" s="66"/>
      <c r="F331" s="65"/>
      <c r="G331" s="65"/>
      <c r="H331" s="65"/>
      <c r="I331" s="64"/>
      <c r="J331" s="64"/>
    </row>
    <row r="332" spans="1:10">
      <c r="A332" s="67"/>
      <c r="B332" s="66"/>
      <c r="C332" s="66"/>
      <c r="D332" s="66"/>
      <c r="E332" s="66"/>
      <c r="F332" s="65"/>
      <c r="G332" s="65"/>
      <c r="H332" s="65"/>
      <c r="I332" s="64"/>
      <c r="J332" s="64"/>
    </row>
    <row r="333" spans="1:10">
      <c r="A333" s="67"/>
      <c r="B333" s="66"/>
      <c r="C333" s="66"/>
      <c r="D333" s="66"/>
      <c r="E333" s="66"/>
      <c r="F333" s="65"/>
      <c r="G333" s="65"/>
      <c r="H333" s="65"/>
      <c r="I333" s="64"/>
      <c r="J333" s="64"/>
    </row>
    <row r="334" spans="1:10">
      <c r="A334" s="67"/>
      <c r="B334" s="66"/>
      <c r="C334" s="66"/>
      <c r="D334" s="66"/>
      <c r="E334" s="66"/>
      <c r="F334" s="65"/>
      <c r="G334" s="65"/>
      <c r="H334" s="65"/>
      <c r="I334" s="64"/>
      <c r="J334" s="64"/>
    </row>
    <row r="335" spans="1:10">
      <c r="A335" s="67"/>
      <c r="B335" s="66"/>
      <c r="C335" s="66"/>
      <c r="D335" s="66"/>
      <c r="E335" s="66"/>
      <c r="F335" s="65"/>
      <c r="G335" s="65"/>
      <c r="H335" s="65"/>
      <c r="I335" s="64"/>
      <c r="J335" s="64"/>
    </row>
    <row r="336" spans="1:10">
      <c r="A336" s="67"/>
      <c r="B336" s="66"/>
      <c r="C336" s="66"/>
      <c r="D336" s="66"/>
      <c r="E336" s="66"/>
      <c r="F336" s="65"/>
      <c r="G336" s="65"/>
      <c r="H336" s="65"/>
      <c r="I336" s="64"/>
      <c r="J336" s="64"/>
    </row>
    <row r="337" spans="1:10">
      <c r="A337" s="67"/>
      <c r="B337" s="66"/>
      <c r="C337" s="66"/>
      <c r="D337" s="66"/>
      <c r="E337" s="66"/>
      <c r="F337" s="65"/>
      <c r="G337" s="65"/>
      <c r="H337" s="65"/>
      <c r="I337" s="64"/>
      <c r="J337" s="64"/>
    </row>
    <row r="338" spans="1:10">
      <c r="A338" s="67"/>
      <c r="B338" s="66"/>
      <c r="C338" s="66"/>
      <c r="D338" s="66"/>
      <c r="E338" s="66"/>
      <c r="F338" s="65"/>
      <c r="G338" s="65"/>
      <c r="H338" s="65"/>
      <c r="I338" s="64"/>
      <c r="J338" s="64"/>
    </row>
    <row r="339" spans="1:10">
      <c r="A339" s="67"/>
      <c r="B339" s="66"/>
      <c r="C339" s="66"/>
      <c r="D339" s="66"/>
      <c r="E339" s="66"/>
      <c r="F339" s="65"/>
      <c r="G339" s="65"/>
      <c r="H339" s="65"/>
      <c r="I339" s="64"/>
      <c r="J339" s="64"/>
    </row>
    <row r="340" spans="1:10">
      <c r="A340" s="67"/>
      <c r="B340" s="66"/>
      <c r="C340" s="66"/>
      <c r="D340" s="66"/>
      <c r="E340" s="66"/>
      <c r="F340" s="65"/>
      <c r="G340" s="65"/>
      <c r="H340" s="65"/>
      <c r="I340" s="64"/>
      <c r="J340" s="64"/>
    </row>
    <row r="341" spans="1:10">
      <c r="A341" s="67"/>
      <c r="B341" s="66"/>
      <c r="C341" s="66"/>
      <c r="D341" s="66"/>
      <c r="E341" s="66"/>
      <c r="F341" s="65"/>
      <c r="G341" s="65"/>
      <c r="H341" s="65"/>
      <c r="I341" s="64"/>
      <c r="J341" s="64"/>
    </row>
    <row r="342" spans="1:10">
      <c r="A342" s="67"/>
      <c r="B342" s="66"/>
      <c r="C342" s="66"/>
      <c r="D342" s="66"/>
      <c r="E342" s="66"/>
      <c r="F342" s="65"/>
      <c r="G342" s="65"/>
      <c r="H342" s="65"/>
      <c r="I342" s="64"/>
      <c r="J342" s="64"/>
    </row>
    <row r="343" spans="1:10">
      <c r="A343" s="67"/>
      <c r="B343" s="66"/>
      <c r="C343" s="66"/>
      <c r="D343" s="66"/>
      <c r="E343" s="66"/>
      <c r="F343" s="65"/>
      <c r="G343" s="65"/>
      <c r="H343" s="65"/>
      <c r="I343" s="64"/>
      <c r="J343" s="64"/>
    </row>
    <row r="344" spans="1:10">
      <c r="A344" s="67"/>
      <c r="B344" s="66"/>
      <c r="C344" s="66"/>
      <c r="D344" s="66"/>
      <c r="E344" s="66"/>
      <c r="F344" s="65"/>
      <c r="G344" s="65"/>
      <c r="H344" s="65"/>
      <c r="I344" s="64"/>
      <c r="J344" s="64"/>
    </row>
    <row r="345" spans="1:10">
      <c r="A345" s="67"/>
      <c r="B345" s="66"/>
      <c r="C345" s="66"/>
      <c r="D345" s="66"/>
      <c r="E345" s="66"/>
      <c r="F345" s="65"/>
      <c r="G345" s="65"/>
      <c r="H345" s="65"/>
      <c r="I345" s="64"/>
      <c r="J345" s="64"/>
    </row>
    <row r="346" spans="1:10">
      <c r="A346" s="67"/>
      <c r="B346" s="66"/>
      <c r="C346" s="66"/>
      <c r="D346" s="66"/>
      <c r="E346" s="66"/>
      <c r="F346" s="65"/>
      <c r="G346" s="65"/>
      <c r="H346" s="65"/>
      <c r="I346" s="64"/>
      <c r="J346" s="64"/>
    </row>
    <row r="347" spans="1:10">
      <c r="A347" s="67"/>
      <c r="B347" s="66"/>
      <c r="C347" s="66"/>
      <c r="D347" s="66"/>
      <c r="E347" s="66"/>
      <c r="F347" s="65"/>
      <c r="G347" s="65"/>
      <c r="H347" s="65"/>
      <c r="I347" s="64"/>
      <c r="J347" s="64"/>
    </row>
    <row r="348" spans="1:10">
      <c r="A348" s="67"/>
      <c r="B348" s="66"/>
      <c r="C348" s="66"/>
      <c r="D348" s="66"/>
      <c r="E348" s="66"/>
      <c r="F348" s="65"/>
      <c r="G348" s="65"/>
      <c r="H348" s="65"/>
      <c r="I348" s="64"/>
      <c r="J348" s="64"/>
    </row>
    <row r="349" spans="1:10">
      <c r="A349" s="67"/>
      <c r="B349" s="66"/>
      <c r="C349" s="66"/>
      <c r="D349" s="66"/>
      <c r="E349" s="66"/>
      <c r="F349" s="65"/>
      <c r="G349" s="65"/>
      <c r="H349" s="65"/>
      <c r="I349" s="64"/>
      <c r="J349" s="64"/>
    </row>
    <row r="350" spans="1:10">
      <c r="A350" s="67"/>
      <c r="B350" s="66"/>
      <c r="C350" s="66"/>
      <c r="D350" s="66"/>
      <c r="E350" s="66"/>
      <c r="F350" s="65"/>
      <c r="G350" s="65"/>
      <c r="H350" s="65"/>
      <c r="I350" s="64"/>
      <c r="J350" s="64"/>
    </row>
    <row r="351" spans="1:10">
      <c r="A351" s="67"/>
      <c r="B351" s="66"/>
      <c r="C351" s="66"/>
      <c r="D351" s="66"/>
      <c r="E351" s="66"/>
      <c r="F351" s="65"/>
      <c r="G351" s="65"/>
      <c r="H351" s="65"/>
      <c r="I351" s="64"/>
      <c r="J351" s="64"/>
    </row>
    <row r="352" spans="1:10">
      <c r="A352" s="67"/>
      <c r="B352" s="66"/>
      <c r="C352" s="66"/>
      <c r="D352" s="66"/>
      <c r="E352" s="66"/>
      <c r="F352" s="65"/>
      <c r="G352" s="65"/>
      <c r="H352" s="65"/>
      <c r="I352" s="64"/>
      <c r="J352" s="64"/>
    </row>
    <row r="353" spans="1:10">
      <c r="A353" s="67"/>
      <c r="B353" s="66"/>
      <c r="C353" s="66"/>
      <c r="D353" s="66"/>
      <c r="E353" s="66"/>
      <c r="F353" s="65"/>
      <c r="G353" s="65"/>
      <c r="H353" s="65"/>
      <c r="I353" s="64"/>
      <c r="J353" s="64"/>
    </row>
    <row r="354" spans="1:10">
      <c r="A354" s="67"/>
      <c r="B354" s="66"/>
      <c r="C354" s="66"/>
      <c r="D354" s="66"/>
      <c r="E354" s="66"/>
      <c r="F354" s="65"/>
      <c r="G354" s="65"/>
      <c r="H354" s="65"/>
      <c r="I354" s="64"/>
      <c r="J354" s="64"/>
    </row>
    <row r="355" spans="1:10">
      <c r="A355" s="67"/>
      <c r="B355" s="66"/>
      <c r="C355" s="66"/>
      <c r="D355" s="66"/>
      <c r="E355" s="66"/>
      <c r="F355" s="65"/>
      <c r="G355" s="65"/>
      <c r="H355" s="65"/>
      <c r="I355" s="64"/>
      <c r="J355" s="64"/>
    </row>
    <row r="356" spans="1:10">
      <c r="A356" s="67"/>
      <c r="B356" s="66"/>
      <c r="C356" s="66"/>
      <c r="D356" s="66"/>
      <c r="E356" s="66"/>
      <c r="F356" s="65"/>
      <c r="G356" s="65"/>
      <c r="H356" s="65"/>
      <c r="I356" s="64"/>
      <c r="J356" s="64"/>
    </row>
    <row r="357" spans="1:10">
      <c r="A357" s="67"/>
      <c r="B357" s="66"/>
      <c r="C357" s="66"/>
      <c r="D357" s="66"/>
      <c r="E357" s="66"/>
      <c r="F357" s="65"/>
      <c r="G357" s="65"/>
      <c r="H357" s="65"/>
      <c r="I357" s="64"/>
      <c r="J357" s="64"/>
    </row>
    <row r="358" spans="1:10">
      <c r="A358" s="67"/>
      <c r="B358" s="66"/>
      <c r="C358" s="66"/>
      <c r="D358" s="66"/>
      <c r="E358" s="66"/>
      <c r="F358" s="65"/>
      <c r="G358" s="65"/>
      <c r="H358" s="65"/>
      <c r="I358" s="64"/>
      <c r="J358" s="64"/>
    </row>
    <row r="359" spans="1:10">
      <c r="A359" s="67"/>
      <c r="B359" s="66"/>
      <c r="C359" s="66"/>
      <c r="D359" s="66"/>
      <c r="E359" s="66"/>
      <c r="F359" s="65"/>
      <c r="G359" s="65"/>
      <c r="H359" s="65"/>
      <c r="I359" s="64"/>
      <c r="J359" s="64"/>
    </row>
    <row r="360" spans="1:10">
      <c r="A360" s="67"/>
      <c r="B360" s="66"/>
      <c r="C360" s="66"/>
      <c r="D360" s="66"/>
      <c r="E360" s="66"/>
      <c r="F360" s="65"/>
      <c r="G360" s="65"/>
      <c r="H360" s="65"/>
      <c r="I360" s="64"/>
      <c r="J360" s="64"/>
    </row>
    <row r="361" spans="1:10">
      <c r="A361" s="67"/>
      <c r="B361" s="66"/>
      <c r="C361" s="66"/>
      <c r="D361" s="66"/>
      <c r="E361" s="66"/>
      <c r="F361" s="65"/>
      <c r="G361" s="65"/>
      <c r="H361" s="65"/>
      <c r="I361" s="64"/>
      <c r="J361" s="64"/>
    </row>
    <row r="362" spans="1:10">
      <c r="A362" s="67"/>
      <c r="B362" s="66"/>
      <c r="C362" s="66"/>
      <c r="D362" s="66"/>
      <c r="E362" s="66"/>
      <c r="F362" s="65"/>
      <c r="G362" s="65"/>
      <c r="H362" s="65"/>
      <c r="I362" s="64"/>
      <c r="J362" s="64"/>
    </row>
    <row r="363" spans="1:10">
      <c r="A363" s="67"/>
      <c r="B363" s="66"/>
      <c r="C363" s="66"/>
      <c r="D363" s="66"/>
      <c r="E363" s="66"/>
      <c r="F363" s="65"/>
      <c r="G363" s="65"/>
      <c r="H363" s="65"/>
      <c r="I363" s="64"/>
      <c r="J363" s="64"/>
    </row>
    <row r="364" spans="1:10">
      <c r="A364" s="67"/>
      <c r="B364" s="66"/>
      <c r="C364" s="66"/>
      <c r="D364" s="66"/>
      <c r="E364" s="66"/>
      <c r="F364" s="65"/>
      <c r="G364" s="65"/>
      <c r="H364" s="65"/>
      <c r="I364" s="64"/>
      <c r="J364" s="64"/>
    </row>
    <row r="365" spans="1:10">
      <c r="A365" s="67"/>
      <c r="B365" s="66"/>
      <c r="C365" s="66"/>
      <c r="D365" s="66"/>
      <c r="E365" s="66"/>
      <c r="F365" s="65"/>
      <c r="G365" s="65"/>
      <c r="H365" s="65"/>
      <c r="I365" s="64"/>
      <c r="J365" s="64"/>
    </row>
    <row r="366" spans="1:10">
      <c r="A366" s="67"/>
      <c r="B366" s="66"/>
      <c r="C366" s="66"/>
      <c r="D366" s="66"/>
      <c r="E366" s="66"/>
      <c r="F366" s="65"/>
      <c r="G366" s="65"/>
      <c r="H366" s="65"/>
      <c r="I366" s="64"/>
      <c r="J366" s="64"/>
    </row>
    <row r="367" spans="1:10">
      <c r="A367" s="67"/>
      <c r="B367" s="66"/>
      <c r="C367" s="66"/>
      <c r="D367" s="66"/>
      <c r="E367" s="66"/>
      <c r="F367" s="65"/>
      <c r="G367" s="65"/>
      <c r="H367" s="65"/>
      <c r="I367" s="64"/>
      <c r="J367" s="64"/>
    </row>
    <row r="368" spans="1:10">
      <c r="A368" s="67"/>
      <c r="B368" s="66"/>
      <c r="C368" s="66"/>
      <c r="D368" s="66"/>
      <c r="E368" s="66"/>
      <c r="F368" s="65"/>
      <c r="G368" s="65"/>
      <c r="H368" s="65"/>
      <c r="I368" s="64"/>
      <c r="J368" s="64"/>
    </row>
    <row r="369" spans="1:10">
      <c r="A369" s="67"/>
      <c r="B369" s="66"/>
      <c r="C369" s="66"/>
      <c r="D369" s="66"/>
      <c r="E369" s="66"/>
      <c r="F369" s="65"/>
      <c r="G369" s="65"/>
      <c r="H369" s="65"/>
      <c r="I369" s="64"/>
      <c r="J369" s="64"/>
    </row>
    <row r="370" spans="1:10">
      <c r="A370" s="67"/>
      <c r="B370" s="66"/>
      <c r="C370" s="66"/>
      <c r="D370" s="66"/>
      <c r="E370" s="66"/>
      <c r="F370" s="65"/>
      <c r="G370" s="65"/>
      <c r="H370" s="65"/>
      <c r="I370" s="64"/>
      <c r="J370" s="64"/>
    </row>
    <row r="371" spans="1:10">
      <c r="A371" s="67"/>
      <c r="B371" s="66"/>
      <c r="C371" s="66"/>
      <c r="D371" s="66"/>
      <c r="E371" s="66"/>
      <c r="F371" s="65"/>
      <c r="G371" s="65"/>
      <c r="H371" s="65"/>
      <c r="I371" s="64"/>
      <c r="J371" s="64"/>
    </row>
    <row r="372" spans="1:10">
      <c r="A372" s="67"/>
      <c r="B372" s="66"/>
      <c r="C372" s="66"/>
      <c r="D372" s="66"/>
      <c r="E372" s="66"/>
      <c r="F372" s="65"/>
      <c r="G372" s="65"/>
      <c r="H372" s="65"/>
      <c r="I372" s="64"/>
      <c r="J372" s="64"/>
    </row>
    <row r="373" spans="1:10">
      <c r="A373" s="67"/>
      <c r="B373" s="66"/>
      <c r="C373" s="66"/>
      <c r="D373" s="66"/>
      <c r="E373" s="66"/>
      <c r="F373" s="65"/>
      <c r="G373" s="65"/>
      <c r="H373" s="65"/>
      <c r="I373" s="64"/>
      <c r="J373" s="64"/>
    </row>
    <row r="374" spans="1:10">
      <c r="A374" s="67"/>
      <c r="B374" s="66"/>
      <c r="C374" s="66"/>
      <c r="D374" s="66"/>
      <c r="E374" s="66"/>
      <c r="F374" s="65"/>
      <c r="G374" s="65"/>
      <c r="H374" s="65"/>
      <c r="I374" s="64"/>
      <c r="J374" s="64"/>
    </row>
    <row r="375" spans="1:10">
      <c r="A375" s="67"/>
      <c r="B375" s="66"/>
      <c r="C375" s="66"/>
      <c r="D375" s="66"/>
      <c r="E375" s="66"/>
      <c r="F375" s="65"/>
      <c r="G375" s="65"/>
      <c r="H375" s="65"/>
      <c r="I375" s="64"/>
      <c r="J375" s="64"/>
    </row>
    <row r="376" spans="1:10">
      <c r="A376" s="67"/>
      <c r="B376" s="66"/>
      <c r="C376" s="66"/>
      <c r="D376" s="66"/>
      <c r="E376" s="66"/>
      <c r="F376" s="65"/>
      <c r="G376" s="65"/>
      <c r="H376" s="65"/>
      <c r="I376" s="64"/>
      <c r="J376" s="64"/>
    </row>
    <row r="377" spans="1:10">
      <c r="A377" s="67"/>
      <c r="B377" s="66"/>
      <c r="C377" s="66"/>
      <c r="D377" s="66"/>
      <c r="E377" s="66"/>
      <c r="F377" s="65"/>
      <c r="G377" s="65"/>
      <c r="H377" s="65"/>
      <c r="I377" s="64"/>
      <c r="J377" s="64"/>
    </row>
    <row r="378" spans="1:10">
      <c r="A378" s="67"/>
      <c r="B378" s="66"/>
      <c r="C378" s="66"/>
      <c r="D378" s="66"/>
      <c r="E378" s="66"/>
      <c r="F378" s="65"/>
      <c r="G378" s="65"/>
      <c r="H378" s="65"/>
      <c r="I378" s="64"/>
      <c r="J378" s="64"/>
    </row>
    <row r="379" spans="1:10">
      <c r="A379" s="67"/>
      <c r="B379" s="66"/>
      <c r="C379" s="66"/>
      <c r="D379" s="66"/>
      <c r="E379" s="66"/>
      <c r="F379" s="65"/>
      <c r="G379" s="65"/>
      <c r="H379" s="65"/>
      <c r="I379" s="64"/>
      <c r="J379" s="64"/>
    </row>
    <row r="380" spans="1:10">
      <c r="A380" s="67"/>
      <c r="B380" s="66"/>
      <c r="C380" s="66"/>
      <c r="D380" s="66"/>
      <c r="E380" s="66"/>
      <c r="F380" s="65"/>
      <c r="G380" s="65"/>
      <c r="H380" s="65"/>
      <c r="I380" s="64"/>
      <c r="J380" s="64"/>
    </row>
    <row r="381" spans="1:10">
      <c r="A381" s="67"/>
      <c r="B381" s="66"/>
      <c r="C381" s="66"/>
      <c r="D381" s="66"/>
      <c r="E381" s="66"/>
      <c r="F381" s="65"/>
      <c r="G381" s="65"/>
      <c r="H381" s="65"/>
      <c r="I381" s="64"/>
      <c r="J381" s="64"/>
    </row>
    <row r="382" spans="1:10">
      <c r="A382" s="67"/>
      <c r="B382" s="66"/>
      <c r="C382" s="66"/>
      <c r="D382" s="66"/>
      <c r="E382" s="66"/>
      <c r="F382" s="65"/>
      <c r="G382" s="65"/>
      <c r="H382" s="65"/>
      <c r="I382" s="64"/>
      <c r="J382" s="64"/>
    </row>
    <row r="383" spans="1:10">
      <c r="A383" s="67"/>
      <c r="B383" s="66"/>
      <c r="C383" s="66"/>
      <c r="D383" s="66"/>
      <c r="E383" s="66"/>
      <c r="F383" s="65"/>
      <c r="G383" s="65"/>
      <c r="H383" s="65"/>
      <c r="I383" s="64"/>
      <c r="J383" s="64"/>
    </row>
    <row r="384" spans="1:10">
      <c r="A384" s="67"/>
      <c r="B384" s="66"/>
      <c r="C384" s="66"/>
      <c r="D384" s="66"/>
      <c r="E384" s="66"/>
      <c r="F384" s="65"/>
      <c r="G384" s="65"/>
      <c r="H384" s="65"/>
      <c r="I384" s="64"/>
      <c r="J384" s="64"/>
    </row>
    <row r="385" spans="1:10">
      <c r="A385" s="67"/>
      <c r="B385" s="66"/>
      <c r="C385" s="66"/>
      <c r="D385" s="66"/>
      <c r="E385" s="66"/>
      <c r="F385" s="65"/>
      <c r="G385" s="65"/>
      <c r="H385" s="65"/>
      <c r="I385" s="64"/>
      <c r="J385" s="64"/>
    </row>
    <row r="386" spans="1:10">
      <c r="A386" s="67"/>
      <c r="B386" s="66"/>
      <c r="C386" s="66"/>
      <c r="D386" s="66"/>
      <c r="E386" s="66"/>
      <c r="F386" s="65"/>
      <c r="G386" s="65"/>
      <c r="H386" s="65"/>
      <c r="I386" s="64"/>
      <c r="J386" s="64"/>
    </row>
    <row r="387" spans="1:10">
      <c r="A387" s="67"/>
      <c r="B387" s="66"/>
      <c r="C387" s="66"/>
      <c r="D387" s="66"/>
      <c r="E387" s="66"/>
      <c r="F387" s="65"/>
      <c r="G387" s="65"/>
      <c r="H387" s="65"/>
      <c r="I387" s="64"/>
      <c r="J387" s="64"/>
    </row>
    <row r="388" spans="1:10">
      <c r="A388" s="67"/>
      <c r="B388" s="66"/>
      <c r="C388" s="66"/>
      <c r="D388" s="66"/>
      <c r="E388" s="66"/>
      <c r="F388" s="65"/>
      <c r="G388" s="65"/>
      <c r="H388" s="65"/>
      <c r="I388" s="64"/>
      <c r="J388" s="64"/>
    </row>
    <row r="389" spans="1:10">
      <c r="A389" s="67"/>
      <c r="B389" s="66"/>
      <c r="C389" s="66"/>
      <c r="D389" s="66"/>
      <c r="E389" s="66"/>
      <c r="F389" s="65"/>
      <c r="G389" s="65"/>
      <c r="H389" s="65"/>
      <c r="I389" s="64"/>
      <c r="J389" s="64"/>
    </row>
    <row r="390" spans="1:10">
      <c r="A390" s="67"/>
      <c r="B390" s="66"/>
      <c r="C390" s="66"/>
      <c r="D390" s="66"/>
      <c r="E390" s="66"/>
      <c r="F390" s="65"/>
      <c r="G390" s="65"/>
      <c r="H390" s="65"/>
      <c r="I390" s="64"/>
      <c r="J390" s="64"/>
    </row>
    <row r="391" spans="1:10">
      <c r="A391" s="67"/>
      <c r="B391" s="66"/>
      <c r="C391" s="66"/>
      <c r="D391" s="66"/>
      <c r="E391" s="66"/>
      <c r="F391" s="65"/>
      <c r="G391" s="65"/>
      <c r="H391" s="65"/>
      <c r="I391" s="64"/>
      <c r="J391" s="64"/>
    </row>
    <row r="392" spans="1:10">
      <c r="A392" s="67"/>
      <c r="B392" s="66"/>
      <c r="C392" s="66"/>
      <c r="D392" s="66"/>
      <c r="E392" s="66"/>
      <c r="F392" s="65"/>
      <c r="G392" s="65"/>
      <c r="H392" s="65"/>
      <c r="I392" s="64"/>
      <c r="J392" s="64"/>
    </row>
    <row r="393" spans="1:10">
      <c r="A393" s="67"/>
      <c r="B393" s="66"/>
      <c r="C393" s="66"/>
      <c r="D393" s="66"/>
      <c r="E393" s="66"/>
      <c r="F393" s="65"/>
      <c r="G393" s="65"/>
      <c r="H393" s="65"/>
      <c r="I393" s="64"/>
      <c r="J393" s="64"/>
    </row>
    <row r="394" spans="1:10">
      <c r="A394" s="67"/>
      <c r="B394" s="66"/>
      <c r="C394" s="66"/>
      <c r="D394" s="66"/>
      <c r="E394" s="66"/>
      <c r="F394" s="65"/>
      <c r="G394" s="65"/>
      <c r="H394" s="65"/>
      <c r="I394" s="64"/>
      <c r="J394" s="64"/>
    </row>
    <row r="395" spans="1:10">
      <c r="A395" s="67"/>
      <c r="B395" s="66"/>
      <c r="C395" s="66"/>
      <c r="D395" s="66"/>
      <c r="E395" s="66"/>
      <c r="F395" s="65"/>
      <c r="G395" s="65"/>
      <c r="H395" s="65"/>
      <c r="I395" s="64"/>
      <c r="J395" s="64"/>
    </row>
    <row r="396" spans="1:10">
      <c r="A396" s="67"/>
      <c r="B396" s="66"/>
      <c r="C396" s="66"/>
      <c r="D396" s="66"/>
      <c r="E396" s="66"/>
      <c r="F396" s="65"/>
      <c r="G396" s="65"/>
      <c r="H396" s="65"/>
      <c r="I396" s="64"/>
      <c r="J396" s="64"/>
    </row>
    <row r="397" spans="1:10">
      <c r="A397" s="67"/>
      <c r="B397" s="66"/>
      <c r="C397" s="66"/>
      <c r="D397" s="66"/>
      <c r="E397" s="66"/>
      <c r="F397" s="65"/>
      <c r="G397" s="65"/>
      <c r="H397" s="65"/>
      <c r="I397" s="64"/>
      <c r="J397" s="64"/>
    </row>
    <row r="398" spans="1:10">
      <c r="A398" s="67"/>
      <c r="B398" s="66"/>
      <c r="C398" s="66"/>
      <c r="D398" s="66"/>
      <c r="E398" s="66"/>
      <c r="F398" s="65"/>
      <c r="G398" s="65"/>
      <c r="H398" s="65"/>
      <c r="I398" s="64"/>
      <c r="J398" s="64"/>
    </row>
    <row r="399" spans="1:10">
      <c r="A399" s="67"/>
      <c r="B399" s="66"/>
      <c r="C399" s="66"/>
      <c r="D399" s="66"/>
      <c r="E399" s="66"/>
      <c r="F399" s="65"/>
      <c r="G399" s="65"/>
      <c r="H399" s="65"/>
      <c r="I399" s="64"/>
      <c r="J399" s="64"/>
    </row>
    <row r="400" spans="1:10">
      <c r="A400" s="67"/>
      <c r="B400" s="66"/>
      <c r="C400" s="66"/>
      <c r="D400" s="66"/>
      <c r="E400" s="66"/>
      <c r="F400" s="65"/>
      <c r="G400" s="65"/>
      <c r="H400" s="65"/>
      <c r="I400" s="64"/>
      <c r="J400" s="64"/>
    </row>
    <row r="401" spans="1:10">
      <c r="A401" s="67"/>
      <c r="B401" s="66"/>
      <c r="C401" s="66"/>
      <c r="D401" s="66"/>
      <c r="E401" s="66"/>
      <c r="F401" s="65"/>
      <c r="G401" s="65"/>
      <c r="H401" s="65"/>
      <c r="I401" s="64"/>
      <c r="J401" s="64"/>
    </row>
    <row r="402" spans="1:10">
      <c r="A402" s="67"/>
      <c r="B402" s="66"/>
      <c r="C402" s="66"/>
      <c r="D402" s="66"/>
      <c r="E402" s="66"/>
      <c r="F402" s="65"/>
      <c r="G402" s="65"/>
      <c r="H402" s="65"/>
      <c r="I402" s="64"/>
      <c r="J402" s="64"/>
    </row>
    <row r="403" spans="1:10">
      <c r="A403" s="67"/>
      <c r="B403" s="66"/>
      <c r="C403" s="66"/>
      <c r="D403" s="66"/>
      <c r="E403" s="66"/>
      <c r="F403" s="65"/>
      <c r="G403" s="65"/>
      <c r="H403" s="65"/>
      <c r="I403" s="64"/>
      <c r="J403" s="64"/>
    </row>
    <row r="404" spans="1:10">
      <c r="A404" s="67"/>
      <c r="B404" s="66"/>
      <c r="C404" s="66"/>
      <c r="D404" s="66"/>
      <c r="E404" s="66"/>
      <c r="F404" s="65"/>
      <c r="G404" s="65"/>
      <c r="H404" s="65"/>
      <c r="I404" s="64"/>
      <c r="J404" s="64"/>
    </row>
    <row r="405" spans="1:10">
      <c r="A405" s="67"/>
      <c r="B405" s="66"/>
      <c r="C405" s="66"/>
      <c r="D405" s="66"/>
      <c r="E405" s="66"/>
      <c r="F405" s="65"/>
      <c r="G405" s="65"/>
      <c r="H405" s="65"/>
      <c r="I405" s="64"/>
      <c r="J405" s="64"/>
    </row>
    <row r="406" spans="1:10">
      <c r="A406" s="67"/>
      <c r="B406" s="66"/>
      <c r="C406" s="66"/>
      <c r="D406" s="66"/>
      <c r="E406" s="66"/>
      <c r="F406" s="65"/>
      <c r="G406" s="65"/>
      <c r="H406" s="65"/>
      <c r="I406" s="64"/>
      <c r="J406" s="64"/>
    </row>
    <row r="407" spans="1:10">
      <c r="A407" s="67"/>
      <c r="B407" s="66"/>
      <c r="C407" s="66"/>
      <c r="D407" s="66"/>
      <c r="E407" s="66"/>
      <c r="F407" s="65"/>
      <c r="G407" s="65"/>
      <c r="H407" s="65"/>
      <c r="I407" s="64"/>
      <c r="J407" s="64"/>
    </row>
    <row r="408" spans="1:10">
      <c r="A408" s="67"/>
      <c r="B408" s="66"/>
      <c r="C408" s="66"/>
      <c r="D408" s="66"/>
      <c r="E408" s="66"/>
      <c r="F408" s="65"/>
      <c r="G408" s="65"/>
      <c r="H408" s="65"/>
      <c r="I408" s="64"/>
      <c r="J408" s="64"/>
    </row>
    <row r="409" spans="1:10">
      <c r="A409" s="67"/>
      <c r="B409" s="66"/>
      <c r="C409" s="66"/>
      <c r="D409" s="66"/>
      <c r="E409" s="66"/>
      <c r="F409" s="65"/>
      <c r="G409" s="65"/>
      <c r="H409" s="65"/>
      <c r="I409" s="64"/>
      <c r="J409" s="64"/>
    </row>
    <row r="410" spans="1:10">
      <c r="A410" s="67"/>
      <c r="B410" s="66"/>
      <c r="C410" s="66"/>
      <c r="D410" s="66"/>
      <c r="E410" s="66"/>
      <c r="F410" s="65"/>
      <c r="G410" s="65"/>
      <c r="H410" s="65"/>
      <c r="I410" s="64"/>
      <c r="J410" s="64"/>
    </row>
    <row r="411" spans="1:10">
      <c r="A411" s="67"/>
      <c r="B411" s="66"/>
      <c r="C411" s="66"/>
      <c r="D411" s="66"/>
      <c r="E411" s="66"/>
      <c r="F411" s="65"/>
      <c r="G411" s="65"/>
      <c r="H411" s="65"/>
      <c r="I411" s="64"/>
      <c r="J411" s="64"/>
    </row>
    <row r="412" spans="1:10">
      <c r="A412" s="67"/>
      <c r="B412" s="66"/>
      <c r="C412" s="66"/>
      <c r="D412" s="66"/>
      <c r="E412" s="66"/>
      <c r="F412" s="65"/>
      <c r="G412" s="65"/>
      <c r="H412" s="65"/>
      <c r="I412" s="64"/>
      <c r="J412" s="64"/>
    </row>
    <row r="413" spans="1:10">
      <c r="A413" s="67"/>
      <c r="B413" s="66"/>
      <c r="C413" s="66"/>
      <c r="D413" s="66"/>
      <c r="E413" s="66"/>
      <c r="F413" s="65"/>
      <c r="G413" s="65"/>
      <c r="H413" s="65"/>
      <c r="I413" s="64"/>
      <c r="J413" s="64"/>
    </row>
    <row r="414" spans="1:10">
      <c r="A414" s="67"/>
      <c r="B414" s="66"/>
      <c r="C414" s="66"/>
      <c r="D414" s="66"/>
      <c r="E414" s="66"/>
      <c r="F414" s="65"/>
      <c r="G414" s="65"/>
      <c r="H414" s="65"/>
      <c r="I414" s="64"/>
      <c r="J414" s="64"/>
    </row>
    <row r="415" spans="1:10">
      <c r="A415" s="67"/>
      <c r="B415" s="66"/>
      <c r="C415" s="66"/>
      <c r="D415" s="66"/>
      <c r="E415" s="66"/>
      <c r="F415" s="65"/>
      <c r="G415" s="65"/>
      <c r="H415" s="65"/>
      <c r="I415" s="64"/>
      <c r="J415" s="64"/>
    </row>
    <row r="416" spans="1:10">
      <c r="A416" s="67"/>
      <c r="B416" s="66"/>
      <c r="C416" s="66"/>
      <c r="D416" s="66"/>
      <c r="E416" s="66"/>
      <c r="F416" s="65"/>
      <c r="G416" s="65"/>
      <c r="H416" s="65"/>
      <c r="I416" s="64"/>
      <c r="J416" s="64"/>
    </row>
    <row r="417" spans="1:10">
      <c r="A417" s="67"/>
      <c r="B417" s="66"/>
      <c r="C417" s="66"/>
      <c r="D417" s="66"/>
      <c r="E417" s="66"/>
      <c r="F417" s="65"/>
      <c r="G417" s="65"/>
      <c r="H417" s="65"/>
      <c r="I417" s="64"/>
      <c r="J417" s="64"/>
    </row>
    <row r="418" spans="1:10">
      <c r="A418" s="67"/>
      <c r="B418" s="66"/>
      <c r="C418" s="66"/>
      <c r="D418" s="66"/>
      <c r="E418" s="66"/>
      <c r="F418" s="65"/>
      <c r="G418" s="65"/>
      <c r="H418" s="65"/>
      <c r="I418" s="64"/>
      <c r="J418" s="64"/>
    </row>
    <row r="419" spans="1:10">
      <c r="A419" s="67"/>
      <c r="B419" s="66"/>
      <c r="C419" s="66"/>
      <c r="D419" s="66"/>
      <c r="E419" s="66"/>
      <c r="F419" s="65"/>
      <c r="G419" s="65"/>
      <c r="H419" s="65"/>
      <c r="I419" s="64"/>
      <c r="J419" s="64"/>
    </row>
    <row r="420" spans="1:10">
      <c r="A420" s="67"/>
      <c r="B420" s="66"/>
      <c r="C420" s="66"/>
      <c r="D420" s="66"/>
      <c r="E420" s="66"/>
      <c r="F420" s="65"/>
      <c r="G420" s="65"/>
      <c r="H420" s="65"/>
      <c r="I420" s="64"/>
      <c r="J420" s="64"/>
    </row>
    <row r="421" spans="1:10">
      <c r="A421" s="67"/>
      <c r="B421" s="66"/>
      <c r="C421" s="66"/>
      <c r="D421" s="66"/>
      <c r="E421" s="66"/>
      <c r="F421" s="65"/>
      <c r="G421" s="65"/>
      <c r="H421" s="65"/>
      <c r="I421" s="64"/>
      <c r="J421" s="64"/>
    </row>
    <row r="422" spans="1:10">
      <c r="A422" s="67"/>
      <c r="B422" s="66"/>
      <c r="C422" s="66"/>
      <c r="D422" s="66"/>
      <c r="E422" s="66"/>
      <c r="F422" s="65"/>
      <c r="G422" s="65"/>
      <c r="H422" s="65"/>
      <c r="I422" s="64"/>
      <c r="J422" s="64"/>
    </row>
    <row r="423" spans="1:10">
      <c r="A423" s="67"/>
      <c r="B423" s="66"/>
      <c r="C423" s="66"/>
      <c r="D423" s="66"/>
      <c r="E423" s="66"/>
      <c r="F423" s="65"/>
      <c r="G423" s="65"/>
      <c r="H423" s="65"/>
      <c r="I423" s="64"/>
      <c r="J423" s="64"/>
    </row>
    <row r="424" spans="1:10">
      <c r="A424" s="67"/>
      <c r="B424" s="66"/>
      <c r="C424" s="66"/>
      <c r="D424" s="66"/>
      <c r="E424" s="66"/>
      <c r="F424" s="65"/>
      <c r="G424" s="65"/>
      <c r="H424" s="65"/>
      <c r="I424" s="64"/>
      <c r="J424" s="64"/>
    </row>
    <row r="425" spans="1:10">
      <c r="A425" s="67"/>
      <c r="B425" s="66"/>
      <c r="C425" s="66"/>
      <c r="D425" s="66"/>
      <c r="E425" s="66"/>
      <c r="F425" s="65"/>
      <c r="G425" s="65"/>
      <c r="H425" s="65"/>
      <c r="I425" s="64"/>
      <c r="J425" s="64"/>
    </row>
    <row r="426" spans="1:10">
      <c r="A426" s="67"/>
      <c r="B426" s="66"/>
      <c r="C426" s="66"/>
      <c r="D426" s="66"/>
      <c r="E426" s="66"/>
      <c r="F426" s="65"/>
      <c r="G426" s="65"/>
      <c r="H426" s="65"/>
      <c r="I426" s="64"/>
      <c r="J426" s="64"/>
    </row>
    <row r="427" spans="1:10">
      <c r="A427" s="67"/>
      <c r="B427" s="66"/>
      <c r="C427" s="66"/>
      <c r="D427" s="66"/>
      <c r="E427" s="66"/>
      <c r="F427" s="65"/>
      <c r="G427" s="65"/>
      <c r="H427" s="65"/>
      <c r="I427" s="64"/>
      <c r="J427" s="64"/>
    </row>
    <row r="428" spans="1:10">
      <c r="A428" s="67"/>
      <c r="B428" s="66"/>
      <c r="C428" s="66"/>
      <c r="D428" s="66"/>
      <c r="E428" s="66"/>
      <c r="F428" s="65"/>
      <c r="G428" s="65"/>
      <c r="H428" s="65"/>
      <c r="I428" s="64"/>
      <c r="J428" s="64"/>
    </row>
    <row r="429" spans="1:10">
      <c r="A429" s="67"/>
      <c r="B429" s="66"/>
      <c r="C429" s="66"/>
      <c r="D429" s="66"/>
      <c r="E429" s="66"/>
      <c r="F429" s="65"/>
      <c r="G429" s="65"/>
      <c r="H429" s="65"/>
      <c r="I429" s="64"/>
      <c r="J429" s="64"/>
    </row>
    <row r="430" spans="1:10">
      <c r="A430" s="67"/>
      <c r="B430" s="66"/>
      <c r="C430" s="66"/>
      <c r="D430" s="66"/>
      <c r="E430" s="66"/>
      <c r="F430" s="65"/>
      <c r="G430" s="65"/>
      <c r="H430" s="65"/>
      <c r="I430" s="64"/>
      <c r="J430" s="64"/>
    </row>
    <row r="431" spans="1:10">
      <c r="A431" s="67"/>
      <c r="B431" s="66"/>
      <c r="C431" s="66"/>
      <c r="D431" s="66"/>
      <c r="E431" s="66"/>
      <c r="F431" s="65"/>
      <c r="G431" s="65"/>
      <c r="H431" s="65"/>
      <c r="I431" s="64"/>
      <c r="J431" s="64"/>
    </row>
    <row r="432" spans="1:10">
      <c r="A432" s="67"/>
      <c r="B432" s="66"/>
      <c r="C432" s="66"/>
      <c r="D432" s="66"/>
      <c r="E432" s="66"/>
      <c r="F432" s="65"/>
      <c r="G432" s="65"/>
      <c r="H432" s="65"/>
      <c r="I432" s="64"/>
      <c r="J432" s="64"/>
    </row>
    <row r="433" spans="1:10">
      <c r="A433" s="67"/>
      <c r="B433" s="66"/>
      <c r="C433" s="66"/>
      <c r="D433" s="66"/>
      <c r="E433" s="66"/>
      <c r="F433" s="65"/>
      <c r="G433" s="65"/>
      <c r="H433" s="65"/>
      <c r="I433" s="64"/>
      <c r="J433" s="64"/>
    </row>
    <row r="434" spans="1:10">
      <c r="A434" s="67"/>
      <c r="B434" s="66"/>
      <c r="C434" s="66"/>
      <c r="D434" s="66"/>
      <c r="E434" s="66"/>
      <c r="F434" s="65"/>
      <c r="G434" s="65"/>
      <c r="H434" s="65"/>
      <c r="I434" s="64"/>
      <c r="J434" s="64"/>
    </row>
    <row r="435" spans="1:10">
      <c r="A435" s="67"/>
      <c r="B435" s="66"/>
      <c r="C435" s="66"/>
      <c r="D435" s="66"/>
      <c r="E435" s="66"/>
      <c r="F435" s="65"/>
      <c r="G435" s="65"/>
      <c r="H435" s="65"/>
      <c r="I435" s="64"/>
      <c r="J435" s="64"/>
    </row>
    <row r="436" spans="1:10">
      <c r="A436" s="67"/>
      <c r="B436" s="66"/>
      <c r="C436" s="66"/>
      <c r="D436" s="66"/>
      <c r="E436" s="66"/>
      <c r="F436" s="65"/>
      <c r="G436" s="65"/>
      <c r="H436" s="65"/>
      <c r="I436" s="64"/>
      <c r="J436" s="64"/>
    </row>
    <row r="437" spans="1:10">
      <c r="A437" s="67"/>
      <c r="B437" s="66"/>
      <c r="C437" s="66"/>
      <c r="D437" s="66"/>
      <c r="E437" s="66"/>
      <c r="F437" s="65"/>
      <c r="G437" s="65"/>
      <c r="H437" s="65"/>
      <c r="I437" s="64"/>
      <c r="J437" s="64"/>
    </row>
    <row r="438" spans="1:10">
      <c r="A438" s="67"/>
      <c r="B438" s="66"/>
      <c r="C438" s="66"/>
      <c r="D438" s="66"/>
      <c r="E438" s="66"/>
      <c r="F438" s="65"/>
      <c r="G438" s="65"/>
      <c r="H438" s="65"/>
      <c r="I438" s="64"/>
      <c r="J438" s="64"/>
    </row>
    <row r="439" spans="1:10">
      <c r="A439" s="67"/>
      <c r="B439" s="66"/>
      <c r="C439" s="66"/>
      <c r="D439" s="66"/>
      <c r="E439" s="66"/>
      <c r="F439" s="65"/>
      <c r="G439" s="65"/>
      <c r="H439" s="65"/>
      <c r="I439" s="64"/>
      <c r="J439" s="64"/>
    </row>
    <row r="440" spans="1:10">
      <c r="A440" s="67"/>
      <c r="B440" s="66"/>
      <c r="C440" s="66"/>
      <c r="D440" s="66"/>
      <c r="E440" s="66"/>
      <c r="F440" s="65"/>
      <c r="G440" s="65"/>
      <c r="H440" s="65"/>
      <c r="I440" s="64"/>
      <c r="J440" s="64"/>
    </row>
    <row r="441" spans="1:10">
      <c r="A441" s="67"/>
      <c r="B441" s="66"/>
      <c r="C441" s="66"/>
      <c r="D441" s="66"/>
      <c r="E441" s="66"/>
      <c r="F441" s="65"/>
      <c r="G441" s="65"/>
      <c r="H441" s="65"/>
      <c r="I441" s="64"/>
      <c r="J441" s="64"/>
    </row>
    <row r="442" spans="1:10">
      <c r="A442" s="67"/>
      <c r="B442" s="66"/>
      <c r="C442" s="66"/>
      <c r="D442" s="66"/>
      <c r="E442" s="66"/>
      <c r="F442" s="65"/>
      <c r="G442" s="65"/>
      <c r="H442" s="65"/>
      <c r="I442" s="64"/>
      <c r="J442" s="64"/>
    </row>
    <row r="443" spans="1:10">
      <c r="A443" s="67"/>
      <c r="B443" s="66"/>
      <c r="C443" s="66"/>
      <c r="D443" s="66"/>
      <c r="E443" s="66"/>
      <c r="F443" s="65"/>
      <c r="G443" s="65"/>
      <c r="H443" s="65"/>
      <c r="I443" s="64"/>
      <c r="J443" s="64"/>
    </row>
    <row r="444" spans="1:10">
      <c r="A444" s="67"/>
      <c r="B444" s="66"/>
      <c r="C444" s="66"/>
      <c r="D444" s="66"/>
      <c r="E444" s="66"/>
      <c r="F444" s="65"/>
      <c r="G444" s="65"/>
      <c r="H444" s="65"/>
      <c r="I444" s="64"/>
      <c r="J444" s="64"/>
    </row>
    <row r="445" spans="1:10">
      <c r="A445" s="67"/>
      <c r="B445" s="66"/>
      <c r="C445" s="66"/>
      <c r="D445" s="66"/>
      <c r="E445" s="66"/>
      <c r="F445" s="65"/>
      <c r="G445" s="65"/>
      <c r="H445" s="65"/>
      <c r="I445" s="64"/>
      <c r="J445" s="64"/>
    </row>
    <row r="446" spans="1:10">
      <c r="A446" s="67"/>
      <c r="B446" s="66"/>
      <c r="C446" s="66"/>
      <c r="D446" s="66"/>
      <c r="E446" s="66"/>
      <c r="F446" s="65"/>
      <c r="G446" s="65"/>
      <c r="H446" s="65"/>
      <c r="I446" s="64"/>
      <c r="J446" s="64"/>
    </row>
    <row r="447" spans="1:10">
      <c r="A447" s="67"/>
      <c r="B447" s="66"/>
      <c r="C447" s="66"/>
      <c r="D447" s="66"/>
      <c r="E447" s="66"/>
      <c r="F447" s="65"/>
      <c r="G447" s="65"/>
      <c r="H447" s="65"/>
      <c r="I447" s="64"/>
      <c r="J447" s="64"/>
    </row>
    <row r="448" spans="1:10">
      <c r="A448" s="67"/>
      <c r="B448" s="66"/>
      <c r="C448" s="66"/>
      <c r="D448" s="66"/>
      <c r="E448" s="66"/>
      <c r="F448" s="65"/>
      <c r="G448" s="65"/>
      <c r="H448" s="65"/>
      <c r="I448" s="64"/>
      <c r="J448" s="64"/>
    </row>
    <row r="449" spans="1:10">
      <c r="A449" s="67"/>
      <c r="B449" s="66"/>
      <c r="C449" s="66"/>
      <c r="D449" s="66"/>
      <c r="E449" s="66"/>
      <c r="F449" s="65"/>
      <c r="G449" s="65"/>
      <c r="H449" s="65"/>
      <c r="I449" s="64"/>
      <c r="J449" s="64"/>
    </row>
    <row r="450" spans="1:10">
      <c r="A450" s="67"/>
      <c r="B450" s="66"/>
      <c r="C450" s="66"/>
      <c r="D450" s="66"/>
      <c r="E450" s="66"/>
      <c r="F450" s="65"/>
      <c r="G450" s="65"/>
      <c r="H450" s="65"/>
      <c r="I450" s="64"/>
      <c r="J450" s="64"/>
    </row>
    <row r="451" spans="1:10">
      <c r="A451" s="67"/>
      <c r="B451" s="66"/>
      <c r="C451" s="66"/>
      <c r="D451" s="66"/>
      <c r="E451" s="66"/>
      <c r="F451" s="65"/>
      <c r="G451" s="65"/>
      <c r="H451" s="65"/>
      <c r="I451" s="64"/>
      <c r="J451" s="64"/>
    </row>
    <row r="452" spans="1:10">
      <c r="A452" s="67"/>
      <c r="B452" s="66"/>
      <c r="C452" s="66"/>
      <c r="D452" s="66"/>
      <c r="E452" s="66"/>
      <c r="F452" s="65"/>
      <c r="G452" s="65"/>
      <c r="H452" s="65"/>
      <c r="I452" s="64"/>
      <c r="J452" s="64"/>
    </row>
    <row r="453" spans="1:10">
      <c r="A453" s="67"/>
      <c r="B453" s="66"/>
      <c r="C453" s="66"/>
      <c r="D453" s="66"/>
      <c r="E453" s="66"/>
      <c r="F453" s="65"/>
      <c r="G453" s="65"/>
      <c r="H453" s="65"/>
      <c r="I453" s="64"/>
      <c r="J453" s="64"/>
    </row>
    <row r="454" spans="1:10">
      <c r="A454" s="67"/>
      <c r="B454" s="66"/>
      <c r="C454" s="66"/>
      <c r="D454" s="66"/>
      <c r="E454" s="66"/>
      <c r="F454" s="65"/>
      <c r="G454" s="65"/>
      <c r="H454" s="65"/>
      <c r="I454" s="64"/>
      <c r="J454" s="64"/>
    </row>
    <row r="455" spans="1:10">
      <c r="A455" s="67"/>
      <c r="B455" s="66"/>
      <c r="C455" s="66"/>
      <c r="D455" s="66"/>
      <c r="E455" s="66"/>
      <c r="F455" s="65"/>
      <c r="G455" s="65"/>
      <c r="H455" s="65"/>
      <c r="I455" s="64"/>
      <c r="J455" s="64"/>
    </row>
    <row r="456" spans="1:10">
      <c r="A456" s="67"/>
      <c r="B456" s="66"/>
      <c r="C456" s="66"/>
      <c r="D456" s="66"/>
      <c r="E456" s="66"/>
      <c r="F456" s="65"/>
      <c r="G456" s="65"/>
      <c r="H456" s="65"/>
      <c r="I456" s="64"/>
      <c r="J456" s="64"/>
    </row>
    <row r="457" spans="1:10">
      <c r="A457" s="67"/>
      <c r="B457" s="66"/>
      <c r="C457" s="66"/>
      <c r="D457" s="66"/>
      <c r="E457" s="66"/>
      <c r="F457" s="65"/>
      <c r="G457" s="65"/>
      <c r="H457" s="65"/>
      <c r="I457" s="64"/>
      <c r="J457" s="64"/>
    </row>
    <row r="458" spans="1:10">
      <c r="A458" s="67"/>
      <c r="B458" s="66"/>
      <c r="C458" s="66"/>
      <c r="D458" s="66"/>
      <c r="E458" s="66"/>
      <c r="F458" s="65"/>
      <c r="G458" s="65"/>
      <c r="H458" s="65"/>
      <c r="I458" s="64"/>
      <c r="J458" s="64"/>
    </row>
    <row r="459" spans="1:10">
      <c r="A459" s="67"/>
      <c r="B459" s="66"/>
      <c r="C459" s="66"/>
      <c r="D459" s="66"/>
      <c r="E459" s="66"/>
      <c r="F459" s="65"/>
      <c r="G459" s="65"/>
      <c r="H459" s="65"/>
      <c r="I459" s="64"/>
      <c r="J459" s="64"/>
    </row>
    <row r="460" spans="1:10">
      <c r="A460" s="67"/>
      <c r="B460" s="66"/>
      <c r="C460" s="66"/>
      <c r="D460" s="66"/>
      <c r="E460" s="66"/>
      <c r="F460" s="65"/>
      <c r="G460" s="65"/>
      <c r="H460" s="65"/>
      <c r="I460" s="64"/>
      <c r="J460" s="64"/>
    </row>
    <row r="461" spans="1:10">
      <c r="A461" s="67"/>
      <c r="B461" s="66"/>
      <c r="C461" s="66"/>
      <c r="D461" s="66"/>
      <c r="E461" s="66"/>
      <c r="F461" s="65"/>
      <c r="G461" s="65"/>
      <c r="H461" s="65"/>
      <c r="I461" s="64"/>
      <c r="J461" s="64"/>
    </row>
    <row r="462" spans="1:10">
      <c r="A462" s="67"/>
      <c r="B462" s="66"/>
      <c r="C462" s="66"/>
      <c r="D462" s="66"/>
      <c r="E462" s="66"/>
      <c r="F462" s="65"/>
      <c r="G462" s="65"/>
      <c r="H462" s="65"/>
      <c r="I462" s="64"/>
      <c r="J462" s="64"/>
    </row>
    <row r="463" spans="1:10">
      <c r="A463" s="67"/>
      <c r="B463" s="66"/>
      <c r="C463" s="66"/>
      <c r="D463" s="66"/>
      <c r="E463" s="66"/>
      <c r="F463" s="65"/>
      <c r="G463" s="65"/>
      <c r="H463" s="65"/>
      <c r="I463" s="64"/>
      <c r="J463" s="64"/>
    </row>
    <row r="464" spans="1:10">
      <c r="A464" s="67"/>
      <c r="B464" s="66"/>
      <c r="C464" s="66"/>
      <c r="D464" s="66"/>
      <c r="E464" s="66"/>
      <c r="F464" s="65"/>
      <c r="G464" s="65"/>
      <c r="H464" s="65"/>
      <c r="I464" s="64"/>
      <c r="J464" s="64"/>
    </row>
    <row r="465" spans="1:10">
      <c r="A465" s="67"/>
      <c r="B465" s="66"/>
      <c r="C465" s="66"/>
      <c r="D465" s="66"/>
      <c r="E465" s="66"/>
      <c r="F465" s="65"/>
      <c r="G465" s="65"/>
      <c r="H465" s="65"/>
      <c r="I465" s="64"/>
      <c r="J465" s="64"/>
    </row>
    <row r="466" spans="1:10">
      <c r="A466" s="67"/>
      <c r="B466" s="66"/>
      <c r="C466" s="66"/>
      <c r="D466" s="66"/>
      <c r="E466" s="66"/>
      <c r="F466" s="65"/>
      <c r="G466" s="65"/>
      <c r="H466" s="65"/>
      <c r="I466" s="64"/>
      <c r="J466" s="64"/>
    </row>
    <row r="467" spans="1:10">
      <c r="A467" s="67"/>
      <c r="B467" s="66"/>
      <c r="C467" s="66"/>
      <c r="D467" s="66"/>
      <c r="E467" s="66"/>
      <c r="F467" s="65"/>
      <c r="G467" s="65"/>
      <c r="H467" s="65"/>
      <c r="I467" s="64"/>
      <c r="J467" s="64"/>
    </row>
    <row r="468" spans="1:10">
      <c r="A468" s="67"/>
      <c r="B468" s="66"/>
      <c r="C468" s="66"/>
      <c r="D468" s="66"/>
      <c r="E468" s="66"/>
      <c r="F468" s="65"/>
      <c r="G468" s="65"/>
      <c r="H468" s="65"/>
      <c r="I468" s="64"/>
      <c r="J468" s="64"/>
    </row>
    <row r="469" spans="1:10">
      <c r="A469" s="67"/>
      <c r="B469" s="66"/>
      <c r="C469" s="66"/>
      <c r="D469" s="66"/>
      <c r="E469" s="66"/>
      <c r="F469" s="65"/>
      <c r="G469" s="65"/>
      <c r="H469" s="65"/>
      <c r="I469" s="64"/>
      <c r="J469" s="64"/>
    </row>
    <row r="470" spans="1:10">
      <c r="A470" s="67"/>
      <c r="B470" s="66"/>
      <c r="C470" s="66"/>
      <c r="D470" s="66"/>
      <c r="E470" s="66"/>
      <c r="F470" s="65"/>
      <c r="G470" s="65"/>
      <c r="H470" s="65"/>
      <c r="I470" s="64"/>
      <c r="J470" s="64"/>
    </row>
    <row r="471" spans="1:10">
      <c r="A471" s="67"/>
      <c r="B471" s="66"/>
      <c r="C471" s="66"/>
      <c r="D471" s="66"/>
      <c r="E471" s="66"/>
      <c r="F471" s="65"/>
      <c r="G471" s="65"/>
      <c r="H471" s="65"/>
      <c r="I471" s="64"/>
      <c r="J471" s="64"/>
    </row>
    <row r="472" spans="1:10">
      <c r="A472" s="67"/>
      <c r="B472" s="66"/>
      <c r="C472" s="66"/>
      <c r="D472" s="66"/>
      <c r="E472" s="66"/>
      <c r="F472" s="65"/>
      <c r="G472" s="65"/>
      <c r="H472" s="65"/>
      <c r="I472" s="64"/>
      <c r="J472" s="64"/>
    </row>
    <row r="473" spans="1:10">
      <c r="A473" s="67"/>
      <c r="B473" s="66"/>
      <c r="C473" s="66"/>
      <c r="D473" s="66"/>
      <c r="E473" s="66"/>
      <c r="F473" s="65"/>
      <c r="G473" s="65"/>
      <c r="H473" s="65"/>
      <c r="I473" s="64"/>
      <c r="J473" s="64"/>
    </row>
    <row r="474" spans="1:10">
      <c r="A474" s="67"/>
      <c r="B474" s="66"/>
      <c r="C474" s="66"/>
      <c r="D474" s="66"/>
      <c r="E474" s="66"/>
      <c r="F474" s="65"/>
      <c r="G474" s="65"/>
      <c r="H474" s="65"/>
      <c r="I474" s="64"/>
      <c r="J474" s="64"/>
    </row>
    <row r="475" spans="1:10">
      <c r="A475" s="67"/>
      <c r="B475" s="66"/>
      <c r="C475" s="66"/>
      <c r="D475" s="66"/>
      <c r="E475" s="66"/>
      <c r="F475" s="65"/>
      <c r="G475" s="65"/>
      <c r="H475" s="65"/>
      <c r="I475" s="64"/>
      <c r="J475" s="64"/>
    </row>
    <row r="476" spans="1:10">
      <c r="A476" s="67"/>
      <c r="B476" s="66"/>
      <c r="C476" s="66"/>
      <c r="D476" s="66"/>
      <c r="E476" s="66"/>
      <c r="F476" s="65"/>
      <c r="G476" s="65"/>
      <c r="H476" s="65"/>
      <c r="I476" s="64"/>
      <c r="J476" s="64"/>
    </row>
    <row r="477" spans="1:10">
      <c r="A477" s="67"/>
      <c r="B477" s="66"/>
      <c r="C477" s="66"/>
      <c r="D477" s="66"/>
      <c r="E477" s="66"/>
      <c r="F477" s="65"/>
      <c r="G477" s="65"/>
      <c r="H477" s="65"/>
      <c r="I477" s="64"/>
      <c r="J477" s="64"/>
    </row>
    <row r="478" spans="1:10">
      <c r="A478" s="67"/>
      <c r="B478" s="66"/>
      <c r="C478" s="66"/>
      <c r="D478" s="66"/>
      <c r="E478" s="66"/>
      <c r="F478" s="65"/>
      <c r="G478" s="65"/>
      <c r="H478" s="65"/>
      <c r="I478" s="64"/>
      <c r="J478" s="64"/>
    </row>
    <row r="479" spans="1:10">
      <c r="A479" s="67"/>
      <c r="B479" s="66"/>
      <c r="C479" s="66"/>
      <c r="D479" s="66"/>
      <c r="E479" s="66"/>
      <c r="F479" s="65"/>
      <c r="G479" s="65"/>
      <c r="H479" s="65"/>
      <c r="I479" s="64"/>
      <c r="J479" s="64"/>
    </row>
    <row r="480" spans="1:10">
      <c r="A480" s="67"/>
      <c r="B480" s="66"/>
      <c r="C480" s="66"/>
      <c r="D480" s="66"/>
      <c r="E480" s="66"/>
      <c r="F480" s="65"/>
      <c r="G480" s="65"/>
      <c r="H480" s="65"/>
      <c r="I480" s="64"/>
      <c r="J480" s="64"/>
    </row>
    <row r="481" spans="1:10">
      <c r="A481" s="67"/>
      <c r="B481" s="66"/>
      <c r="C481" s="66"/>
      <c r="D481" s="66"/>
      <c r="E481" s="66"/>
      <c r="F481" s="65"/>
      <c r="G481" s="65"/>
      <c r="H481" s="65"/>
      <c r="I481" s="64"/>
      <c r="J481" s="64"/>
    </row>
    <row r="482" spans="1:10">
      <c r="A482" s="67"/>
      <c r="B482" s="66"/>
      <c r="C482" s="66"/>
      <c r="D482" s="66"/>
      <c r="E482" s="66"/>
      <c r="F482" s="65"/>
      <c r="G482" s="65"/>
      <c r="H482" s="65"/>
      <c r="I482" s="64"/>
      <c r="J482" s="64"/>
    </row>
    <row r="483" spans="1:10">
      <c r="A483" s="67"/>
      <c r="B483" s="66"/>
      <c r="C483" s="66"/>
      <c r="D483" s="66"/>
      <c r="E483" s="66"/>
      <c r="F483" s="65"/>
      <c r="G483" s="65"/>
      <c r="H483" s="65"/>
      <c r="I483" s="64"/>
      <c r="J483" s="64"/>
    </row>
    <row r="484" spans="1:10">
      <c r="A484" s="67"/>
      <c r="B484" s="66"/>
      <c r="C484" s="66"/>
      <c r="D484" s="66"/>
      <c r="E484" s="66"/>
      <c r="F484" s="65"/>
      <c r="G484" s="65"/>
      <c r="H484" s="65"/>
      <c r="I484" s="64"/>
      <c r="J484" s="64"/>
    </row>
    <row r="485" spans="1:10">
      <c r="A485" s="67"/>
      <c r="B485" s="66"/>
      <c r="C485" s="66"/>
      <c r="D485" s="66"/>
      <c r="E485" s="66"/>
      <c r="F485" s="65"/>
      <c r="G485" s="65"/>
      <c r="H485" s="65"/>
      <c r="I485" s="64"/>
      <c r="J485" s="64"/>
    </row>
    <row r="486" spans="1:10">
      <c r="A486" s="67"/>
      <c r="B486" s="66"/>
      <c r="C486" s="66"/>
      <c r="D486" s="66"/>
      <c r="E486" s="66"/>
      <c r="F486" s="65"/>
      <c r="G486" s="65"/>
      <c r="H486" s="65"/>
      <c r="I486" s="64"/>
      <c r="J486" s="64"/>
    </row>
    <row r="487" spans="1:10">
      <c r="A487" s="67"/>
      <c r="B487" s="66"/>
      <c r="C487" s="66"/>
      <c r="D487" s="66"/>
      <c r="E487" s="66"/>
      <c r="F487" s="65"/>
      <c r="G487" s="65"/>
      <c r="H487" s="65"/>
      <c r="I487" s="64"/>
      <c r="J487" s="64"/>
    </row>
    <row r="488" spans="1:10">
      <c r="A488" s="67"/>
      <c r="B488" s="66"/>
      <c r="C488" s="66"/>
      <c r="D488" s="66"/>
      <c r="E488" s="66"/>
      <c r="F488" s="65"/>
      <c r="G488" s="65"/>
      <c r="H488" s="65"/>
      <c r="I488" s="64"/>
      <c r="J488" s="64"/>
    </row>
    <row r="489" spans="1:10">
      <c r="A489" s="67"/>
      <c r="B489" s="66"/>
      <c r="C489" s="66"/>
      <c r="D489" s="66"/>
      <c r="E489" s="66"/>
      <c r="F489" s="65"/>
      <c r="G489" s="65"/>
      <c r="H489" s="65"/>
      <c r="I489" s="64"/>
      <c r="J489" s="64"/>
    </row>
    <row r="490" spans="1:10">
      <c r="A490" s="67"/>
      <c r="B490" s="66"/>
      <c r="C490" s="66"/>
      <c r="D490" s="66"/>
      <c r="E490" s="66"/>
      <c r="F490" s="65"/>
      <c r="G490" s="65"/>
      <c r="H490" s="65"/>
      <c r="I490" s="64"/>
      <c r="J490" s="64"/>
    </row>
    <row r="491" spans="1:10">
      <c r="A491" s="67"/>
      <c r="B491" s="66"/>
      <c r="C491" s="66"/>
      <c r="D491" s="66"/>
      <c r="E491" s="66"/>
      <c r="F491" s="65"/>
      <c r="G491" s="65"/>
      <c r="H491" s="65"/>
      <c r="I491" s="64"/>
      <c r="J491" s="64"/>
    </row>
    <row r="492" spans="1:10">
      <c r="A492" s="67"/>
      <c r="B492" s="66"/>
      <c r="C492" s="66"/>
      <c r="D492" s="66"/>
      <c r="E492" s="66"/>
      <c r="F492" s="65"/>
      <c r="G492" s="65"/>
      <c r="H492" s="65"/>
      <c r="I492" s="64"/>
      <c r="J492" s="64"/>
    </row>
    <row r="493" spans="1:10">
      <c r="A493" s="67"/>
      <c r="B493" s="66"/>
      <c r="C493" s="66"/>
      <c r="D493" s="66"/>
      <c r="E493" s="66"/>
      <c r="F493" s="65"/>
      <c r="G493" s="65"/>
      <c r="H493" s="65"/>
      <c r="I493" s="64"/>
      <c r="J493" s="64"/>
    </row>
    <row r="494" spans="1:10">
      <c r="A494" s="67"/>
      <c r="B494" s="66"/>
      <c r="C494" s="66"/>
      <c r="D494" s="66"/>
      <c r="E494" s="66"/>
      <c r="F494" s="65"/>
      <c r="G494" s="65"/>
      <c r="H494" s="65"/>
      <c r="I494" s="64"/>
      <c r="J494" s="64"/>
    </row>
    <row r="495" spans="1:10">
      <c r="A495" s="67"/>
      <c r="B495" s="66"/>
      <c r="C495" s="66"/>
      <c r="D495" s="66"/>
      <c r="E495" s="66"/>
      <c r="F495" s="65"/>
      <c r="G495" s="65"/>
      <c r="H495" s="65"/>
      <c r="I495" s="64"/>
      <c r="J495" s="64"/>
    </row>
    <row r="496" spans="1:10">
      <c r="A496" s="67"/>
      <c r="B496" s="66"/>
      <c r="C496" s="66"/>
      <c r="D496" s="66"/>
      <c r="E496" s="66"/>
      <c r="F496" s="65"/>
      <c r="G496" s="65"/>
      <c r="H496" s="65"/>
      <c r="I496" s="64"/>
      <c r="J496" s="64"/>
    </row>
    <row r="497" spans="1:10">
      <c r="A497" s="67"/>
      <c r="B497" s="66"/>
      <c r="C497" s="66"/>
      <c r="D497" s="66"/>
      <c r="E497" s="66"/>
      <c r="F497" s="65"/>
      <c r="G497" s="65"/>
      <c r="H497" s="65"/>
      <c r="I497" s="64"/>
      <c r="J497" s="64"/>
    </row>
    <row r="498" spans="1:10">
      <c r="A498" s="67"/>
      <c r="B498" s="66"/>
      <c r="C498" s="66"/>
      <c r="D498" s="66"/>
      <c r="E498" s="66"/>
      <c r="F498" s="65"/>
      <c r="G498" s="65"/>
      <c r="H498" s="65"/>
      <c r="I498" s="64"/>
      <c r="J498" s="64"/>
    </row>
    <row r="499" spans="1:10">
      <c r="A499" s="67"/>
      <c r="B499" s="66"/>
      <c r="C499" s="66"/>
      <c r="D499" s="66"/>
      <c r="E499" s="66"/>
      <c r="F499" s="65"/>
      <c r="G499" s="65"/>
      <c r="H499" s="65"/>
      <c r="I499" s="64"/>
      <c r="J499" s="64"/>
    </row>
    <row r="500" spans="1:10">
      <c r="A500" s="67"/>
      <c r="B500" s="66"/>
      <c r="C500" s="66"/>
      <c r="D500" s="66"/>
      <c r="E500" s="66"/>
      <c r="F500" s="65"/>
      <c r="G500" s="65"/>
      <c r="H500" s="65"/>
      <c r="I500" s="64"/>
      <c r="J500" s="64"/>
    </row>
    <row r="501" spans="1:10">
      <c r="A501" s="67"/>
      <c r="B501" s="66"/>
      <c r="C501" s="66"/>
      <c r="D501" s="66"/>
      <c r="E501" s="66"/>
      <c r="F501" s="65"/>
      <c r="G501" s="65"/>
      <c r="H501" s="65"/>
      <c r="I501" s="64"/>
      <c r="J501" s="64"/>
    </row>
    <row r="502" spans="1:10">
      <c r="A502" s="67"/>
      <c r="B502" s="66"/>
      <c r="C502" s="66"/>
      <c r="D502" s="66"/>
      <c r="E502" s="66"/>
      <c r="F502" s="65"/>
      <c r="G502" s="65"/>
      <c r="H502" s="65"/>
      <c r="I502" s="64"/>
      <c r="J502" s="64"/>
    </row>
    <row r="503" spans="1:10">
      <c r="A503" s="67"/>
      <c r="B503" s="66"/>
      <c r="C503" s="66"/>
      <c r="D503" s="66"/>
      <c r="E503" s="66"/>
      <c r="F503" s="65"/>
      <c r="G503" s="65"/>
      <c r="H503" s="65"/>
      <c r="I503" s="64"/>
      <c r="J503" s="64"/>
    </row>
    <row r="504" spans="1:10">
      <c r="A504" s="67"/>
      <c r="B504" s="66"/>
      <c r="C504" s="66"/>
      <c r="D504" s="66"/>
      <c r="E504" s="66"/>
      <c r="F504" s="65"/>
      <c r="G504" s="65"/>
      <c r="H504" s="65"/>
      <c r="I504" s="64"/>
      <c r="J504" s="64"/>
    </row>
    <row r="505" spans="1:10">
      <c r="A505" s="67"/>
      <c r="B505" s="66"/>
      <c r="C505" s="66"/>
      <c r="D505" s="66"/>
      <c r="E505" s="66"/>
      <c r="F505" s="65"/>
      <c r="G505" s="65"/>
      <c r="H505" s="65"/>
      <c r="I505" s="64"/>
      <c r="J505" s="64"/>
    </row>
    <row r="506" spans="1:10">
      <c r="A506" s="67"/>
      <c r="B506" s="66"/>
      <c r="C506" s="66"/>
      <c r="D506" s="66"/>
      <c r="E506" s="66"/>
      <c r="F506" s="65"/>
      <c r="G506" s="65"/>
      <c r="H506" s="65"/>
      <c r="I506" s="64"/>
      <c r="J506" s="64"/>
    </row>
    <row r="507" spans="1:10">
      <c r="A507" s="67"/>
      <c r="B507" s="66"/>
      <c r="C507" s="66"/>
      <c r="D507" s="66"/>
      <c r="E507" s="66"/>
      <c r="F507" s="65"/>
      <c r="G507" s="65"/>
      <c r="H507" s="65"/>
      <c r="I507" s="64"/>
      <c r="J507" s="64"/>
    </row>
    <row r="508" spans="1:10">
      <c r="A508" s="67"/>
      <c r="B508" s="66"/>
      <c r="C508" s="66"/>
      <c r="D508" s="66"/>
      <c r="E508" s="66"/>
      <c r="F508" s="65"/>
      <c r="G508" s="65"/>
      <c r="H508" s="65"/>
      <c r="I508" s="64"/>
      <c r="J508" s="64"/>
    </row>
    <row r="509" spans="1:10">
      <c r="A509" s="67"/>
      <c r="B509" s="66"/>
      <c r="C509" s="66"/>
      <c r="D509" s="66"/>
      <c r="E509" s="66"/>
      <c r="F509" s="65"/>
      <c r="G509" s="65"/>
      <c r="H509" s="65"/>
      <c r="I509" s="64"/>
      <c r="J509" s="64"/>
    </row>
    <row r="510" spans="1:10">
      <c r="A510" s="67"/>
      <c r="B510" s="66"/>
      <c r="C510" s="66"/>
      <c r="D510" s="66"/>
      <c r="E510" s="66"/>
      <c r="F510" s="65"/>
      <c r="G510" s="65"/>
      <c r="H510" s="65"/>
      <c r="I510" s="64"/>
      <c r="J510" s="64"/>
    </row>
    <row r="511" spans="1:10">
      <c r="A511" s="67"/>
      <c r="B511" s="66"/>
      <c r="C511" s="66"/>
      <c r="D511" s="66"/>
      <c r="E511" s="66"/>
      <c r="F511" s="65"/>
      <c r="G511" s="65"/>
      <c r="H511" s="65"/>
      <c r="I511" s="64"/>
      <c r="J511" s="64"/>
    </row>
    <row r="512" spans="1:10">
      <c r="A512" s="67"/>
      <c r="B512" s="66"/>
      <c r="C512" s="66"/>
      <c r="D512" s="66"/>
      <c r="E512" s="66"/>
      <c r="F512" s="65"/>
      <c r="G512" s="65"/>
      <c r="H512" s="65"/>
      <c r="I512" s="64"/>
      <c r="J512" s="64"/>
    </row>
    <row r="513" spans="1:10">
      <c r="A513" s="67"/>
      <c r="B513" s="66"/>
      <c r="C513" s="66"/>
      <c r="D513" s="66"/>
      <c r="E513" s="66"/>
      <c r="F513" s="65"/>
      <c r="G513" s="65"/>
      <c r="H513" s="65"/>
      <c r="I513" s="64"/>
      <c r="J513" s="64"/>
    </row>
    <row r="514" spans="1:10">
      <c r="A514" s="67"/>
      <c r="B514" s="66"/>
      <c r="C514" s="66"/>
      <c r="D514" s="66"/>
      <c r="E514" s="66"/>
      <c r="F514" s="65"/>
      <c r="G514" s="65"/>
      <c r="H514" s="65"/>
      <c r="I514" s="64"/>
      <c r="J514" s="64"/>
    </row>
    <row r="515" spans="1:10">
      <c r="A515" s="67"/>
      <c r="B515" s="66"/>
      <c r="C515" s="66"/>
      <c r="D515" s="66"/>
      <c r="E515" s="66"/>
      <c r="F515" s="65"/>
      <c r="G515" s="65"/>
      <c r="H515" s="65"/>
      <c r="I515" s="64"/>
      <c r="J515" s="64"/>
    </row>
    <row r="516" spans="1:10">
      <c r="A516" s="67"/>
      <c r="B516" s="66"/>
      <c r="C516" s="66"/>
      <c r="D516" s="66"/>
      <c r="E516" s="66"/>
      <c r="F516" s="65"/>
      <c r="G516" s="65"/>
      <c r="H516" s="65"/>
      <c r="I516" s="64"/>
      <c r="J516" s="64"/>
    </row>
    <row r="517" spans="1:10">
      <c r="A517" s="67"/>
      <c r="B517" s="66"/>
      <c r="C517" s="66"/>
      <c r="D517" s="66"/>
      <c r="E517" s="66"/>
      <c r="F517" s="65"/>
      <c r="G517" s="65"/>
      <c r="H517" s="65"/>
      <c r="I517" s="64"/>
      <c r="J517" s="64"/>
    </row>
    <row r="518" spans="1:10">
      <c r="A518" s="67"/>
      <c r="B518" s="66"/>
      <c r="C518" s="66"/>
      <c r="D518" s="66"/>
      <c r="E518" s="66"/>
      <c r="F518" s="65"/>
      <c r="G518" s="65"/>
      <c r="H518" s="65"/>
      <c r="I518" s="64"/>
      <c r="J518" s="64"/>
    </row>
    <row r="519" spans="1:10">
      <c r="A519" s="67"/>
      <c r="B519" s="66"/>
      <c r="C519" s="66"/>
      <c r="D519" s="66"/>
      <c r="E519" s="66"/>
      <c r="F519" s="65"/>
      <c r="G519" s="65"/>
      <c r="H519" s="65"/>
      <c r="I519" s="64"/>
      <c r="J519" s="64"/>
    </row>
    <row r="520" spans="1:10">
      <c r="A520" s="67"/>
      <c r="B520" s="66"/>
      <c r="C520" s="66"/>
      <c r="D520" s="66"/>
      <c r="E520" s="66"/>
      <c r="F520" s="65"/>
      <c r="G520" s="65"/>
      <c r="H520" s="65"/>
      <c r="I520" s="64"/>
      <c r="J520" s="64"/>
    </row>
    <row r="521" spans="1:10">
      <c r="A521" s="67"/>
      <c r="B521" s="66"/>
      <c r="C521" s="66"/>
      <c r="D521" s="66"/>
      <c r="E521" s="66"/>
      <c r="F521" s="65"/>
      <c r="G521" s="65"/>
      <c r="H521" s="65"/>
      <c r="I521" s="64"/>
      <c r="J521" s="64"/>
    </row>
    <row r="522" spans="1:10">
      <c r="A522" s="67"/>
      <c r="B522" s="66"/>
      <c r="C522" s="66"/>
      <c r="D522" s="66"/>
      <c r="E522" s="66"/>
      <c r="F522" s="65"/>
      <c r="G522" s="65"/>
      <c r="H522" s="65"/>
      <c r="I522" s="64"/>
      <c r="J522" s="64"/>
    </row>
    <row r="523" spans="1:10">
      <c r="A523" s="67"/>
      <c r="B523" s="66"/>
      <c r="C523" s="66"/>
      <c r="D523" s="66"/>
      <c r="E523" s="66"/>
      <c r="F523" s="65"/>
      <c r="G523" s="65"/>
      <c r="H523" s="65"/>
      <c r="I523" s="64"/>
      <c r="J523" s="64"/>
    </row>
    <row r="524" spans="1:10">
      <c r="A524" s="67"/>
      <c r="B524" s="66"/>
      <c r="C524" s="66"/>
      <c r="D524" s="66"/>
      <c r="E524" s="66"/>
      <c r="F524" s="65"/>
      <c r="G524" s="65"/>
      <c r="H524" s="65"/>
      <c r="I524" s="64"/>
      <c r="J524" s="64"/>
    </row>
    <row r="525" spans="1:10">
      <c r="A525" s="67"/>
      <c r="B525" s="66"/>
      <c r="C525" s="66"/>
      <c r="D525" s="66"/>
      <c r="E525" s="66"/>
      <c r="F525" s="65"/>
      <c r="G525" s="65"/>
      <c r="H525" s="65"/>
      <c r="I525" s="64"/>
      <c r="J525" s="64"/>
    </row>
    <row r="526" spans="1:10">
      <c r="A526" s="67"/>
      <c r="B526" s="66"/>
      <c r="C526" s="66"/>
      <c r="D526" s="66"/>
      <c r="E526" s="66"/>
      <c r="F526" s="65"/>
      <c r="G526" s="65"/>
      <c r="H526" s="65"/>
      <c r="I526" s="64"/>
      <c r="J526" s="64"/>
    </row>
    <row r="527" spans="1:10">
      <c r="A527" s="67"/>
      <c r="B527" s="66"/>
      <c r="C527" s="66"/>
      <c r="D527" s="66"/>
      <c r="E527" s="66"/>
      <c r="F527" s="65"/>
      <c r="G527" s="65"/>
      <c r="H527" s="65"/>
      <c r="I527" s="64"/>
      <c r="J527" s="64"/>
    </row>
    <row r="528" spans="1:10">
      <c r="A528" s="67"/>
      <c r="B528" s="66"/>
      <c r="C528" s="66"/>
      <c r="D528" s="66"/>
      <c r="E528" s="66"/>
      <c r="F528" s="65"/>
      <c r="G528" s="65"/>
      <c r="H528" s="65"/>
      <c r="I528" s="64"/>
      <c r="J528" s="64"/>
    </row>
    <row r="529" spans="1:10">
      <c r="A529" s="67"/>
      <c r="B529" s="66"/>
      <c r="C529" s="66"/>
      <c r="D529" s="66"/>
      <c r="E529" s="66"/>
      <c r="F529" s="65"/>
      <c r="G529" s="65"/>
      <c r="H529" s="65"/>
      <c r="I529" s="64"/>
      <c r="J529" s="64"/>
    </row>
    <row r="530" spans="1:10">
      <c r="A530" s="67"/>
      <c r="B530" s="66"/>
      <c r="C530" s="66"/>
      <c r="D530" s="66"/>
      <c r="E530" s="66"/>
      <c r="F530" s="65"/>
      <c r="G530" s="65"/>
      <c r="H530" s="65"/>
      <c r="I530" s="64"/>
      <c r="J530" s="64"/>
    </row>
    <row r="531" spans="1:10">
      <c r="A531" s="67"/>
      <c r="B531" s="66"/>
      <c r="C531" s="66"/>
      <c r="D531" s="66"/>
      <c r="E531" s="66"/>
      <c r="F531" s="65"/>
      <c r="G531" s="65"/>
      <c r="H531" s="65"/>
      <c r="I531" s="64"/>
      <c r="J531" s="64"/>
    </row>
    <row r="532" spans="1:10">
      <c r="A532" s="67"/>
      <c r="B532" s="66"/>
      <c r="C532" s="66"/>
      <c r="D532" s="66"/>
      <c r="E532" s="66"/>
      <c r="F532" s="65"/>
      <c r="G532" s="65"/>
      <c r="H532" s="65"/>
      <c r="I532" s="64"/>
      <c r="J532" s="64"/>
    </row>
    <row r="533" spans="1:10">
      <c r="A533" s="67"/>
      <c r="B533" s="66"/>
      <c r="C533" s="66"/>
      <c r="D533" s="66"/>
      <c r="E533" s="66"/>
      <c r="F533" s="65"/>
      <c r="G533" s="65"/>
      <c r="H533" s="65"/>
      <c r="I533" s="64"/>
      <c r="J533" s="64"/>
    </row>
    <row r="534" spans="1:10">
      <c r="A534" s="67"/>
      <c r="B534" s="66"/>
      <c r="C534" s="66"/>
      <c r="D534" s="66"/>
      <c r="E534" s="66"/>
      <c r="F534" s="65"/>
      <c r="G534" s="65"/>
      <c r="H534" s="65"/>
      <c r="I534" s="64"/>
      <c r="J534" s="64"/>
    </row>
    <row r="535" spans="1:10">
      <c r="A535" s="67"/>
      <c r="B535" s="66"/>
      <c r="C535" s="66"/>
      <c r="D535" s="66"/>
      <c r="E535" s="66"/>
      <c r="F535" s="65"/>
      <c r="G535" s="65"/>
      <c r="H535" s="65"/>
      <c r="I535" s="64"/>
      <c r="J535" s="64"/>
    </row>
    <row r="536" spans="1:10">
      <c r="A536" s="67"/>
      <c r="B536" s="66"/>
      <c r="C536" s="66"/>
      <c r="D536" s="66"/>
      <c r="E536" s="66"/>
      <c r="F536" s="65"/>
      <c r="G536" s="65"/>
      <c r="H536" s="65"/>
      <c r="I536" s="64"/>
      <c r="J536" s="64"/>
    </row>
    <row r="537" spans="1:10">
      <c r="A537" s="67"/>
      <c r="B537" s="66"/>
      <c r="C537" s="66"/>
      <c r="D537" s="66"/>
      <c r="E537" s="66"/>
      <c r="F537" s="65"/>
      <c r="G537" s="65"/>
      <c r="H537" s="65"/>
      <c r="I537" s="64"/>
      <c r="J537" s="64"/>
    </row>
    <row r="538" spans="1:10">
      <c r="A538" s="67"/>
      <c r="B538" s="66"/>
      <c r="C538" s="66"/>
      <c r="D538" s="66"/>
      <c r="E538" s="66"/>
      <c r="F538" s="65"/>
      <c r="G538" s="65"/>
      <c r="H538" s="65"/>
      <c r="I538" s="64"/>
      <c r="J538" s="64"/>
    </row>
    <row r="539" spans="1:10">
      <c r="A539" s="67"/>
      <c r="B539" s="66"/>
      <c r="C539" s="66"/>
      <c r="D539" s="66"/>
      <c r="E539" s="66"/>
      <c r="F539" s="65"/>
      <c r="G539" s="65"/>
      <c r="H539" s="65"/>
      <c r="I539" s="64"/>
      <c r="J539" s="64"/>
    </row>
    <row r="540" spans="1:10">
      <c r="A540" s="67"/>
      <c r="B540" s="66"/>
      <c r="C540" s="66"/>
      <c r="D540" s="66"/>
      <c r="E540" s="66"/>
      <c r="F540" s="65"/>
      <c r="G540" s="65"/>
      <c r="H540" s="65"/>
      <c r="I540" s="64"/>
      <c r="J540" s="64"/>
    </row>
    <row r="541" spans="1:10">
      <c r="A541" s="67"/>
      <c r="B541" s="66"/>
      <c r="C541" s="66"/>
      <c r="D541" s="66"/>
      <c r="E541" s="66"/>
      <c r="F541" s="65"/>
      <c r="G541" s="65"/>
      <c r="H541" s="65"/>
      <c r="I541" s="64"/>
      <c r="J541" s="64"/>
    </row>
    <row r="542" spans="1:10">
      <c r="A542" s="67"/>
      <c r="B542" s="66"/>
      <c r="C542" s="66"/>
      <c r="D542" s="66"/>
      <c r="E542" s="66"/>
      <c r="F542" s="65"/>
      <c r="G542" s="65"/>
      <c r="H542" s="65"/>
      <c r="I542" s="64"/>
      <c r="J542" s="64"/>
    </row>
    <row r="543" spans="1:10">
      <c r="A543" s="67"/>
      <c r="B543" s="66"/>
      <c r="C543" s="66"/>
      <c r="D543" s="66"/>
      <c r="E543" s="66"/>
      <c r="F543" s="65"/>
      <c r="G543" s="65"/>
      <c r="H543" s="65"/>
      <c r="I543" s="64"/>
      <c r="J543" s="64"/>
    </row>
    <row r="544" spans="1:10">
      <c r="A544" s="67"/>
      <c r="B544" s="66"/>
      <c r="C544" s="66"/>
      <c r="D544" s="66"/>
      <c r="E544" s="66"/>
      <c r="F544" s="65"/>
      <c r="G544" s="65"/>
      <c r="H544" s="65"/>
      <c r="I544" s="64"/>
      <c r="J544" s="64"/>
    </row>
    <row r="545" spans="1:10">
      <c r="A545" s="67"/>
      <c r="B545" s="66"/>
      <c r="C545" s="66"/>
      <c r="D545" s="66"/>
      <c r="E545" s="66"/>
      <c r="F545" s="65"/>
      <c r="G545" s="65"/>
      <c r="H545" s="65"/>
      <c r="I545" s="64"/>
      <c r="J545" s="64"/>
    </row>
    <row r="546" spans="1:10">
      <c r="A546" s="67"/>
      <c r="B546" s="66"/>
      <c r="C546" s="66"/>
      <c r="D546" s="66"/>
      <c r="E546" s="66"/>
      <c r="F546" s="65"/>
      <c r="G546" s="65"/>
      <c r="H546" s="65"/>
      <c r="I546" s="64"/>
      <c r="J546" s="64"/>
    </row>
    <row r="547" spans="1:10">
      <c r="A547" s="67"/>
      <c r="B547" s="66"/>
      <c r="C547" s="66"/>
      <c r="D547" s="66"/>
      <c r="E547" s="66"/>
      <c r="F547" s="65"/>
      <c r="G547" s="65"/>
      <c r="H547" s="65"/>
      <c r="I547" s="64"/>
      <c r="J547" s="64"/>
    </row>
    <row r="548" spans="1:10">
      <c r="A548" s="67"/>
      <c r="B548" s="66"/>
      <c r="C548" s="66"/>
      <c r="D548" s="66"/>
      <c r="E548" s="66"/>
      <c r="F548" s="65"/>
      <c r="G548" s="65"/>
      <c r="H548" s="65"/>
      <c r="I548" s="64"/>
      <c r="J548" s="64"/>
    </row>
    <row r="549" spans="1:10">
      <c r="A549" s="67"/>
      <c r="B549" s="66"/>
      <c r="C549" s="66"/>
      <c r="D549" s="66"/>
      <c r="E549" s="66"/>
      <c r="F549" s="65"/>
      <c r="G549" s="65"/>
      <c r="H549" s="65"/>
      <c r="I549" s="64"/>
      <c r="J549" s="64"/>
    </row>
    <row r="550" spans="1:10">
      <c r="A550" s="67"/>
      <c r="B550" s="66"/>
      <c r="C550" s="66"/>
      <c r="D550" s="66"/>
      <c r="E550" s="66"/>
      <c r="F550" s="65"/>
      <c r="G550" s="65"/>
      <c r="H550" s="65"/>
      <c r="I550" s="64"/>
      <c r="J550" s="64"/>
    </row>
    <row r="551" spans="1:10">
      <c r="A551" s="67"/>
      <c r="B551" s="66"/>
      <c r="C551" s="66"/>
      <c r="D551" s="66"/>
      <c r="E551" s="66"/>
      <c r="F551" s="65"/>
      <c r="G551" s="65"/>
      <c r="H551" s="65"/>
      <c r="I551" s="64"/>
      <c r="J551" s="64"/>
    </row>
    <row r="552" spans="1:10">
      <c r="A552" s="67"/>
      <c r="B552" s="66"/>
      <c r="C552" s="66"/>
      <c r="D552" s="66"/>
      <c r="E552" s="66"/>
      <c r="F552" s="65"/>
      <c r="G552" s="65"/>
      <c r="H552" s="65"/>
      <c r="I552" s="64"/>
      <c r="J552" s="64"/>
    </row>
    <row r="553" spans="1:10">
      <c r="A553" s="67"/>
      <c r="B553" s="66"/>
      <c r="C553" s="66"/>
      <c r="D553" s="66"/>
      <c r="E553" s="66"/>
      <c r="F553" s="65"/>
      <c r="G553" s="65"/>
      <c r="H553" s="65"/>
      <c r="I553" s="64"/>
      <c r="J553" s="64"/>
    </row>
    <row r="554" spans="1:10">
      <c r="A554" s="67"/>
      <c r="B554" s="66"/>
      <c r="C554" s="66"/>
      <c r="D554" s="66"/>
      <c r="E554" s="66"/>
      <c r="F554" s="65"/>
      <c r="G554" s="65"/>
      <c r="H554" s="65"/>
      <c r="I554" s="64"/>
      <c r="J554" s="64"/>
    </row>
    <row r="555" spans="1:10">
      <c r="A555" s="67"/>
      <c r="B555" s="66"/>
      <c r="C555" s="66"/>
      <c r="D555" s="66"/>
      <c r="E555" s="66"/>
      <c r="F555" s="65"/>
      <c r="G555" s="65"/>
      <c r="H555" s="65"/>
      <c r="I555" s="64"/>
      <c r="J555" s="64"/>
    </row>
    <row r="556" spans="1:10">
      <c r="A556" s="67"/>
      <c r="B556" s="66"/>
      <c r="C556" s="66"/>
      <c r="D556" s="66"/>
      <c r="E556" s="66"/>
      <c r="F556" s="65"/>
      <c r="G556" s="65"/>
      <c r="H556" s="65"/>
      <c r="I556" s="64"/>
      <c r="J556" s="64"/>
    </row>
    <row r="557" spans="1:10">
      <c r="A557" s="67"/>
      <c r="B557" s="66"/>
      <c r="C557" s="66"/>
      <c r="D557" s="66"/>
      <c r="E557" s="66"/>
      <c r="F557" s="65"/>
      <c r="G557" s="65"/>
      <c r="H557" s="65"/>
      <c r="I557" s="64"/>
      <c r="J557" s="64"/>
    </row>
    <row r="558" spans="1:10">
      <c r="A558" s="67"/>
      <c r="B558" s="66"/>
      <c r="C558" s="66"/>
      <c r="D558" s="66"/>
      <c r="E558" s="66"/>
      <c r="F558" s="65"/>
      <c r="G558" s="65"/>
      <c r="H558" s="65"/>
      <c r="I558" s="64"/>
      <c r="J558" s="64"/>
    </row>
    <row r="559" spans="1:10">
      <c r="A559" s="67"/>
      <c r="B559" s="66"/>
      <c r="C559" s="66"/>
      <c r="D559" s="66"/>
      <c r="E559" s="66"/>
      <c r="F559" s="65"/>
      <c r="G559" s="65"/>
      <c r="H559" s="65"/>
      <c r="I559" s="64"/>
      <c r="J559" s="64"/>
    </row>
    <row r="560" spans="1:10">
      <c r="A560" s="67"/>
      <c r="B560" s="66"/>
      <c r="C560" s="66"/>
      <c r="D560" s="66"/>
      <c r="E560" s="66"/>
      <c r="F560" s="65"/>
      <c r="G560" s="65"/>
      <c r="H560" s="65"/>
      <c r="I560" s="64"/>
      <c r="J560" s="64"/>
    </row>
    <row r="561" spans="1:10">
      <c r="A561" s="67"/>
      <c r="B561" s="66"/>
      <c r="C561" s="66"/>
      <c r="D561" s="66"/>
      <c r="E561" s="66"/>
      <c r="F561" s="65"/>
      <c r="G561" s="65"/>
      <c r="H561" s="65"/>
      <c r="I561" s="64"/>
      <c r="J561" s="64"/>
    </row>
    <row r="562" spans="1:10">
      <c r="A562" s="67"/>
      <c r="B562" s="66"/>
      <c r="C562" s="66"/>
      <c r="D562" s="66"/>
      <c r="E562" s="66"/>
      <c r="F562" s="65"/>
      <c r="G562" s="65"/>
      <c r="H562" s="65"/>
      <c r="I562" s="64"/>
      <c r="J562" s="64"/>
    </row>
    <row r="563" spans="1:10">
      <c r="A563" s="67"/>
      <c r="B563" s="66"/>
      <c r="C563" s="66"/>
      <c r="D563" s="66"/>
      <c r="E563" s="66"/>
      <c r="F563" s="65"/>
      <c r="G563" s="65"/>
      <c r="H563" s="65"/>
      <c r="I563" s="64"/>
      <c r="J563" s="64"/>
    </row>
    <row r="564" spans="1:10">
      <c r="A564" s="67"/>
      <c r="B564" s="66"/>
      <c r="C564" s="66"/>
      <c r="D564" s="66"/>
      <c r="E564" s="66"/>
      <c r="F564" s="65"/>
      <c r="G564" s="65"/>
      <c r="H564" s="65"/>
      <c r="I564" s="64"/>
      <c r="J564" s="64"/>
    </row>
    <row r="565" spans="1:10">
      <c r="A565" s="67"/>
      <c r="B565" s="66"/>
      <c r="C565" s="66"/>
      <c r="D565" s="66"/>
      <c r="E565" s="66"/>
      <c r="F565" s="65"/>
      <c r="G565" s="65"/>
      <c r="H565" s="65"/>
      <c r="I565" s="64"/>
      <c r="J565" s="64"/>
    </row>
    <row r="566" spans="1:10">
      <c r="A566" s="67"/>
      <c r="B566" s="66"/>
      <c r="C566" s="66"/>
      <c r="D566" s="66"/>
      <c r="E566" s="66"/>
      <c r="F566" s="65"/>
      <c r="G566" s="65"/>
      <c r="H566" s="65"/>
      <c r="I566" s="64"/>
      <c r="J566" s="64"/>
    </row>
    <row r="567" spans="1:10">
      <c r="A567" s="67"/>
      <c r="B567" s="66"/>
      <c r="C567" s="66"/>
      <c r="D567" s="66"/>
      <c r="E567" s="66"/>
      <c r="F567" s="65"/>
      <c r="G567" s="65"/>
      <c r="H567" s="65"/>
      <c r="I567" s="64"/>
      <c r="J567" s="64"/>
    </row>
    <row r="568" spans="1:10">
      <c r="A568" s="67"/>
      <c r="B568" s="66"/>
      <c r="C568" s="66"/>
      <c r="D568" s="66"/>
      <c r="E568" s="66"/>
      <c r="F568" s="65"/>
      <c r="G568" s="65"/>
      <c r="H568" s="65"/>
      <c r="I568" s="64"/>
      <c r="J568" s="64"/>
    </row>
    <row r="569" spans="1:10">
      <c r="A569" s="67"/>
      <c r="B569" s="66"/>
      <c r="C569" s="66"/>
      <c r="D569" s="66"/>
      <c r="E569" s="66"/>
      <c r="F569" s="65"/>
      <c r="G569" s="65"/>
      <c r="H569" s="65"/>
      <c r="I569" s="64"/>
      <c r="J569" s="64"/>
    </row>
    <row r="570" spans="1:10">
      <c r="A570" s="67"/>
      <c r="B570" s="66"/>
      <c r="C570" s="66"/>
      <c r="D570" s="66"/>
      <c r="E570" s="66"/>
      <c r="F570" s="65"/>
      <c r="G570" s="65"/>
      <c r="H570" s="65"/>
      <c r="I570" s="64"/>
      <c r="J570" s="64"/>
    </row>
    <row r="571" spans="1:10">
      <c r="A571" s="67"/>
      <c r="B571" s="66"/>
      <c r="C571" s="66"/>
      <c r="D571" s="66"/>
      <c r="E571" s="66"/>
      <c r="F571" s="65"/>
      <c r="G571" s="65"/>
      <c r="H571" s="65"/>
      <c r="I571" s="64"/>
      <c r="J571" s="64"/>
    </row>
    <row r="572" spans="1:10">
      <c r="A572" s="67"/>
      <c r="B572" s="66"/>
      <c r="C572" s="66"/>
      <c r="D572" s="66"/>
      <c r="E572" s="66"/>
      <c r="F572" s="65"/>
      <c r="G572" s="65"/>
      <c r="H572" s="65"/>
      <c r="I572" s="64"/>
      <c r="J572" s="64"/>
    </row>
    <row r="573" spans="1:10">
      <c r="A573" s="67"/>
      <c r="B573" s="66"/>
      <c r="C573" s="66"/>
      <c r="D573" s="66"/>
      <c r="E573" s="66"/>
      <c r="F573" s="65"/>
      <c r="G573" s="65"/>
      <c r="H573" s="65"/>
      <c r="I573" s="64"/>
      <c r="J573" s="64"/>
    </row>
    <row r="574" spans="1:10">
      <c r="A574" s="67"/>
      <c r="B574" s="66"/>
      <c r="C574" s="66"/>
      <c r="D574" s="66"/>
      <c r="E574" s="66"/>
      <c r="F574" s="65"/>
      <c r="G574" s="65"/>
      <c r="H574" s="65"/>
      <c r="I574" s="64"/>
      <c r="J574" s="64"/>
    </row>
    <row r="575" spans="1:10">
      <c r="A575" s="67"/>
      <c r="B575" s="66"/>
      <c r="C575" s="66"/>
      <c r="D575" s="66"/>
      <c r="E575" s="66"/>
      <c r="F575" s="65"/>
      <c r="G575" s="65"/>
      <c r="H575" s="65"/>
      <c r="I575" s="64"/>
      <c r="J575" s="64"/>
    </row>
    <row r="576" spans="1:10">
      <c r="A576" s="67"/>
      <c r="B576" s="66"/>
      <c r="C576" s="66"/>
      <c r="D576" s="66"/>
      <c r="E576" s="66"/>
      <c r="F576" s="65"/>
      <c r="G576" s="65"/>
      <c r="H576" s="65"/>
      <c r="I576" s="64"/>
      <c r="J576" s="64"/>
    </row>
    <row r="577" spans="1:10">
      <c r="A577" s="67"/>
      <c r="B577" s="66"/>
      <c r="C577" s="66"/>
      <c r="D577" s="66"/>
      <c r="E577" s="66"/>
      <c r="F577" s="65"/>
      <c r="G577" s="65"/>
      <c r="H577" s="65"/>
      <c r="I577" s="64"/>
      <c r="J577" s="64"/>
    </row>
    <row r="578" spans="1:10">
      <c r="A578" s="67"/>
      <c r="B578" s="66"/>
      <c r="C578" s="66"/>
      <c r="D578" s="66"/>
      <c r="E578" s="66"/>
      <c r="F578" s="65"/>
      <c r="G578" s="65"/>
      <c r="H578" s="65"/>
      <c r="I578" s="64"/>
      <c r="J578" s="64"/>
    </row>
    <row r="579" spans="1:10">
      <c r="A579" s="67"/>
      <c r="B579" s="66"/>
      <c r="C579" s="66"/>
      <c r="D579" s="66"/>
      <c r="E579" s="66"/>
      <c r="F579" s="65"/>
      <c r="G579" s="65"/>
      <c r="H579" s="65"/>
      <c r="I579" s="64"/>
      <c r="J579" s="64"/>
    </row>
    <row r="580" spans="1:10">
      <c r="A580" s="67"/>
      <c r="B580" s="66"/>
      <c r="C580" s="66"/>
      <c r="D580" s="66"/>
      <c r="E580" s="66"/>
      <c r="F580" s="65"/>
      <c r="G580" s="65"/>
      <c r="H580" s="65"/>
      <c r="I580" s="64"/>
      <c r="J580" s="64"/>
    </row>
    <row r="581" spans="1:10">
      <c r="A581" s="67"/>
      <c r="B581" s="66"/>
      <c r="C581" s="66"/>
      <c r="D581" s="66"/>
      <c r="E581" s="66"/>
      <c r="F581" s="65"/>
      <c r="G581" s="65"/>
      <c r="H581" s="65"/>
      <c r="I581" s="64"/>
      <c r="J581" s="64"/>
    </row>
    <row r="582" spans="1:10">
      <c r="A582" s="67"/>
      <c r="B582" s="66"/>
      <c r="C582" s="66"/>
      <c r="D582" s="66"/>
      <c r="E582" s="66"/>
      <c r="F582" s="65"/>
      <c r="G582" s="65"/>
      <c r="H582" s="65"/>
      <c r="I582" s="64"/>
      <c r="J582" s="64"/>
    </row>
    <row r="583" spans="1:10">
      <c r="A583" s="67"/>
      <c r="B583" s="66"/>
      <c r="C583" s="66"/>
      <c r="D583" s="66"/>
      <c r="E583" s="66"/>
      <c r="F583" s="65"/>
      <c r="G583" s="65"/>
      <c r="H583" s="65"/>
      <c r="I583" s="64"/>
      <c r="J583" s="64"/>
    </row>
    <row r="584" spans="1:10">
      <c r="A584" s="67"/>
      <c r="B584" s="66"/>
      <c r="C584" s="66"/>
      <c r="D584" s="66"/>
      <c r="E584" s="66"/>
      <c r="F584" s="65"/>
      <c r="G584" s="65"/>
      <c r="H584" s="65"/>
      <c r="I584" s="64"/>
      <c r="J584" s="64"/>
    </row>
    <row r="585" spans="1:10">
      <c r="A585" s="67"/>
      <c r="B585" s="66"/>
      <c r="C585" s="66"/>
      <c r="D585" s="66"/>
      <c r="E585" s="66"/>
      <c r="F585" s="65"/>
      <c r="G585" s="65"/>
      <c r="H585" s="65"/>
      <c r="I585" s="64"/>
      <c r="J585" s="64"/>
    </row>
    <row r="586" spans="1:10">
      <c r="A586" s="67"/>
      <c r="B586" s="66"/>
      <c r="C586" s="66"/>
      <c r="D586" s="66"/>
      <c r="E586" s="66"/>
      <c r="F586" s="65"/>
      <c r="G586" s="65"/>
      <c r="H586" s="65"/>
      <c r="I586" s="64"/>
      <c r="J586" s="64"/>
    </row>
    <row r="587" spans="1:10">
      <c r="A587" s="67"/>
      <c r="B587" s="66"/>
      <c r="C587" s="66"/>
      <c r="D587" s="66"/>
      <c r="E587" s="66"/>
      <c r="F587" s="65"/>
      <c r="G587" s="65"/>
      <c r="H587" s="65"/>
      <c r="I587" s="64"/>
      <c r="J587" s="64"/>
    </row>
    <row r="588" spans="1:10">
      <c r="A588" s="67"/>
      <c r="B588" s="66"/>
      <c r="C588" s="66"/>
      <c r="D588" s="66"/>
      <c r="E588" s="66"/>
      <c r="F588" s="65"/>
      <c r="G588" s="65"/>
      <c r="H588" s="65"/>
      <c r="I588" s="64"/>
      <c r="J588" s="64"/>
    </row>
    <row r="589" spans="1:10">
      <c r="A589" s="67"/>
      <c r="B589" s="66"/>
      <c r="C589" s="66"/>
      <c r="D589" s="66"/>
      <c r="E589" s="66"/>
      <c r="F589" s="65"/>
      <c r="G589" s="65"/>
      <c r="H589" s="65"/>
      <c r="I589" s="64"/>
      <c r="J589" s="64"/>
    </row>
    <row r="590" spans="1:10">
      <c r="A590" s="67"/>
      <c r="B590" s="66"/>
      <c r="C590" s="66"/>
      <c r="D590" s="66"/>
      <c r="E590" s="66"/>
      <c r="F590" s="65"/>
      <c r="G590" s="65"/>
      <c r="H590" s="65"/>
      <c r="I590" s="64"/>
      <c r="J590" s="64"/>
    </row>
    <row r="591" spans="1:10">
      <c r="A591" s="67"/>
      <c r="B591" s="66"/>
      <c r="C591" s="66"/>
      <c r="D591" s="66"/>
      <c r="E591" s="66"/>
      <c r="F591" s="65"/>
      <c r="G591" s="65"/>
      <c r="H591" s="65"/>
      <c r="I591" s="64"/>
      <c r="J591" s="64"/>
    </row>
    <row r="592" spans="1:10">
      <c r="A592" s="67"/>
      <c r="B592" s="66"/>
      <c r="C592" s="66"/>
      <c r="D592" s="66"/>
      <c r="E592" s="66"/>
      <c r="F592" s="65"/>
      <c r="G592" s="65"/>
      <c r="H592" s="65"/>
      <c r="I592" s="64"/>
      <c r="J592" s="64"/>
    </row>
    <row r="593" spans="1:10">
      <c r="A593" s="67"/>
      <c r="B593" s="66"/>
      <c r="C593" s="66"/>
      <c r="D593" s="66"/>
      <c r="E593" s="66"/>
      <c r="F593" s="65"/>
      <c r="G593" s="65"/>
      <c r="H593" s="65"/>
      <c r="I593" s="64"/>
      <c r="J593" s="64"/>
    </row>
    <row r="594" spans="1:10">
      <c r="A594" s="67"/>
      <c r="B594" s="66"/>
      <c r="C594" s="66"/>
      <c r="D594" s="66"/>
      <c r="E594" s="66"/>
      <c r="F594" s="65"/>
      <c r="G594" s="65"/>
      <c r="H594" s="65"/>
      <c r="I594" s="64"/>
      <c r="J594" s="64"/>
    </row>
    <row r="595" spans="1:10">
      <c r="A595" s="67"/>
      <c r="B595" s="66"/>
      <c r="C595" s="66"/>
      <c r="D595" s="66"/>
      <c r="E595" s="66"/>
      <c r="F595" s="65"/>
      <c r="G595" s="65"/>
      <c r="H595" s="65"/>
      <c r="I595" s="64"/>
      <c r="J595" s="64"/>
    </row>
    <row r="596" spans="1:10">
      <c r="A596" s="67"/>
      <c r="B596" s="66"/>
      <c r="C596" s="66"/>
      <c r="D596" s="66"/>
      <c r="E596" s="66"/>
      <c r="F596" s="65"/>
      <c r="G596" s="65"/>
      <c r="H596" s="65"/>
      <c r="I596" s="64"/>
      <c r="J596" s="64"/>
    </row>
    <row r="597" spans="1:10">
      <c r="A597" s="67"/>
      <c r="B597" s="66"/>
      <c r="C597" s="66"/>
      <c r="D597" s="66"/>
      <c r="E597" s="66"/>
      <c r="F597" s="65"/>
      <c r="G597" s="65"/>
      <c r="H597" s="65"/>
      <c r="I597" s="64"/>
      <c r="J597" s="64"/>
    </row>
    <row r="598" spans="1:10">
      <c r="A598" s="67"/>
      <c r="B598" s="66"/>
      <c r="C598" s="66"/>
      <c r="D598" s="66"/>
      <c r="E598" s="66"/>
      <c r="F598" s="65"/>
      <c r="G598" s="65"/>
      <c r="H598" s="65"/>
      <c r="I598" s="64"/>
      <c r="J598" s="64"/>
    </row>
    <row r="599" spans="1:10">
      <c r="A599" s="67"/>
      <c r="B599" s="66"/>
      <c r="C599" s="66"/>
      <c r="D599" s="66"/>
      <c r="E599" s="66"/>
      <c r="F599" s="65"/>
      <c r="G599" s="65"/>
      <c r="H599" s="65"/>
      <c r="I599" s="64"/>
      <c r="J599" s="64"/>
    </row>
    <row r="600" spans="1:10">
      <c r="A600" s="67"/>
      <c r="B600" s="66"/>
      <c r="C600" s="66"/>
      <c r="D600" s="66"/>
      <c r="E600" s="66"/>
      <c r="F600" s="65"/>
      <c r="G600" s="65"/>
      <c r="H600" s="65"/>
      <c r="I600" s="64"/>
      <c r="J600" s="64"/>
    </row>
    <row r="601" spans="1:10">
      <c r="A601" s="67"/>
      <c r="B601" s="66"/>
      <c r="C601" s="66"/>
      <c r="D601" s="66"/>
      <c r="E601" s="66"/>
      <c r="F601" s="65"/>
      <c r="G601" s="65"/>
      <c r="H601" s="65"/>
      <c r="I601" s="64"/>
      <c r="J601" s="64"/>
    </row>
    <row r="602" spans="1:10">
      <c r="A602" s="67"/>
      <c r="B602" s="66"/>
      <c r="C602" s="66"/>
      <c r="D602" s="66"/>
      <c r="E602" s="66"/>
      <c r="F602" s="65"/>
      <c r="G602" s="65"/>
      <c r="H602" s="65"/>
      <c r="I602" s="64"/>
      <c r="J602" s="64"/>
    </row>
    <row r="603" spans="1:10">
      <c r="A603" s="67"/>
      <c r="B603" s="66"/>
      <c r="C603" s="66"/>
      <c r="D603" s="66"/>
      <c r="E603" s="66"/>
      <c r="F603" s="65"/>
      <c r="G603" s="65"/>
      <c r="H603" s="65"/>
      <c r="I603" s="64"/>
      <c r="J603" s="64"/>
    </row>
    <row r="604" spans="1:10">
      <c r="A604" s="67"/>
      <c r="B604" s="66"/>
      <c r="C604" s="66"/>
      <c r="D604" s="66"/>
      <c r="E604" s="66"/>
      <c r="F604" s="65"/>
      <c r="G604" s="65"/>
      <c r="H604" s="65"/>
      <c r="I604" s="64"/>
      <c r="J604" s="64"/>
    </row>
    <row r="605" spans="1:10">
      <c r="A605" s="67"/>
      <c r="B605" s="66"/>
      <c r="C605" s="66"/>
      <c r="D605" s="66"/>
      <c r="E605" s="66"/>
      <c r="F605" s="65"/>
      <c r="G605" s="65"/>
      <c r="H605" s="65"/>
      <c r="I605" s="64"/>
      <c r="J605" s="64"/>
    </row>
    <row r="606" spans="1:10">
      <c r="A606" s="67"/>
      <c r="B606" s="66"/>
      <c r="C606" s="66"/>
      <c r="D606" s="66"/>
      <c r="E606" s="66"/>
      <c r="F606" s="65"/>
      <c r="G606" s="65"/>
      <c r="H606" s="65"/>
      <c r="I606" s="64"/>
      <c r="J606" s="64"/>
    </row>
    <row r="607" spans="1:10">
      <c r="A607" s="67"/>
      <c r="B607" s="66"/>
      <c r="C607" s="66"/>
      <c r="D607" s="66"/>
      <c r="E607" s="66"/>
      <c r="F607" s="65"/>
      <c r="G607" s="65"/>
      <c r="H607" s="65"/>
      <c r="I607" s="64"/>
      <c r="J607" s="64"/>
    </row>
    <row r="608" spans="1:10">
      <c r="A608" s="67"/>
      <c r="B608" s="66"/>
      <c r="C608" s="66"/>
      <c r="D608" s="66"/>
      <c r="E608" s="66"/>
      <c r="F608" s="65"/>
      <c r="G608" s="65"/>
      <c r="H608" s="65"/>
      <c r="I608" s="64"/>
      <c r="J608" s="64"/>
    </row>
    <row r="609" spans="1:10">
      <c r="A609" s="67"/>
      <c r="B609" s="66"/>
      <c r="C609" s="66"/>
      <c r="D609" s="66"/>
      <c r="E609" s="66"/>
      <c r="F609" s="65"/>
      <c r="G609" s="65"/>
      <c r="H609" s="65"/>
      <c r="I609" s="64"/>
      <c r="J609" s="64"/>
    </row>
    <row r="610" spans="1:10">
      <c r="A610" s="67"/>
      <c r="B610" s="66"/>
      <c r="C610" s="66"/>
      <c r="D610" s="66"/>
      <c r="E610" s="66"/>
      <c r="F610" s="65"/>
      <c r="G610" s="65"/>
      <c r="H610" s="65"/>
      <c r="I610" s="64"/>
      <c r="J610" s="64"/>
    </row>
    <row r="611" spans="1:10">
      <c r="A611" s="67"/>
      <c r="B611" s="66"/>
      <c r="C611" s="66"/>
      <c r="D611" s="66"/>
      <c r="E611" s="66"/>
      <c r="F611" s="65"/>
      <c r="G611" s="65"/>
      <c r="H611" s="65"/>
      <c r="I611" s="64"/>
      <c r="J611" s="64"/>
    </row>
    <row r="612" spans="1:10">
      <c r="A612" s="67"/>
      <c r="B612" s="66"/>
      <c r="C612" s="66"/>
      <c r="D612" s="66"/>
      <c r="E612" s="66"/>
      <c r="F612" s="65"/>
      <c r="G612" s="65"/>
      <c r="H612" s="65"/>
      <c r="I612" s="64"/>
      <c r="J612" s="64"/>
    </row>
    <row r="613" spans="1:10">
      <c r="A613" s="67"/>
      <c r="B613" s="66"/>
      <c r="C613" s="66"/>
      <c r="D613" s="66"/>
      <c r="E613" s="66"/>
      <c r="F613" s="65"/>
      <c r="G613" s="65"/>
      <c r="H613" s="65"/>
      <c r="I613" s="64"/>
      <c r="J613" s="64"/>
    </row>
    <row r="614" spans="1:10">
      <c r="A614" s="67"/>
      <c r="B614" s="66"/>
      <c r="C614" s="66"/>
      <c r="D614" s="66"/>
      <c r="E614" s="66"/>
      <c r="F614" s="65"/>
      <c r="G614" s="65"/>
      <c r="H614" s="65"/>
      <c r="I614" s="64"/>
      <c r="J614" s="64"/>
    </row>
    <row r="615" spans="1:10">
      <c r="A615" s="67"/>
      <c r="B615" s="66"/>
      <c r="C615" s="66"/>
      <c r="D615" s="66"/>
      <c r="E615" s="66"/>
      <c r="F615" s="65"/>
      <c r="G615" s="65"/>
      <c r="H615" s="65"/>
      <c r="I615" s="64"/>
      <c r="J615" s="64"/>
    </row>
    <row r="616" spans="1:10">
      <c r="A616" s="67"/>
      <c r="B616" s="66"/>
      <c r="C616" s="66"/>
      <c r="D616" s="66"/>
      <c r="E616" s="66"/>
      <c r="F616" s="65"/>
      <c r="G616" s="65"/>
      <c r="H616" s="65"/>
      <c r="I616" s="64"/>
      <c r="J616" s="64"/>
    </row>
    <row r="617" spans="1:10">
      <c r="A617" s="67"/>
      <c r="B617" s="66"/>
      <c r="C617" s="66"/>
      <c r="D617" s="66"/>
      <c r="E617" s="66"/>
      <c r="F617" s="65"/>
      <c r="G617" s="65"/>
      <c r="H617" s="65"/>
      <c r="I617" s="64"/>
      <c r="J617" s="64"/>
    </row>
    <row r="618" spans="1:10">
      <c r="A618" s="67"/>
      <c r="B618" s="66"/>
      <c r="C618" s="66"/>
      <c r="D618" s="66"/>
      <c r="E618" s="66"/>
      <c r="F618" s="65"/>
      <c r="G618" s="65"/>
      <c r="H618" s="65"/>
      <c r="I618" s="64"/>
      <c r="J618" s="64"/>
    </row>
    <row r="619" spans="1:10">
      <c r="A619" s="67"/>
      <c r="B619" s="66"/>
      <c r="C619" s="66"/>
      <c r="D619" s="66"/>
      <c r="E619" s="66"/>
      <c r="F619" s="65"/>
      <c r="G619" s="65"/>
      <c r="H619" s="65"/>
      <c r="I619" s="64"/>
      <c r="J619" s="64"/>
    </row>
    <row r="620" spans="1:10">
      <c r="A620" s="67"/>
      <c r="B620" s="66"/>
      <c r="C620" s="66"/>
      <c r="D620" s="66"/>
      <c r="E620" s="66"/>
      <c r="F620" s="65"/>
      <c r="G620" s="65"/>
      <c r="H620" s="65"/>
      <c r="I620" s="64"/>
      <c r="J620" s="64"/>
    </row>
    <row r="621" spans="1:10">
      <c r="A621" s="67"/>
      <c r="B621" s="66"/>
      <c r="C621" s="66"/>
      <c r="D621" s="66"/>
      <c r="E621" s="66"/>
      <c r="F621" s="65"/>
      <c r="G621" s="65"/>
      <c r="H621" s="65"/>
      <c r="I621" s="64"/>
      <c r="J621" s="64"/>
    </row>
    <row r="622" spans="1:10">
      <c r="A622" s="67"/>
      <c r="B622" s="66"/>
      <c r="C622" s="66"/>
      <c r="D622" s="66"/>
      <c r="E622" s="66"/>
      <c r="F622" s="65"/>
      <c r="G622" s="65"/>
      <c r="H622" s="65"/>
      <c r="I622" s="64"/>
      <c r="J622" s="64"/>
    </row>
    <row r="623" spans="1:10">
      <c r="A623" s="67"/>
      <c r="B623" s="66"/>
      <c r="C623" s="66"/>
      <c r="D623" s="66"/>
      <c r="E623" s="66"/>
      <c r="F623" s="65"/>
      <c r="G623" s="65"/>
      <c r="H623" s="65"/>
      <c r="I623" s="64"/>
      <c r="J623" s="64"/>
    </row>
    <row r="624" spans="1:10">
      <c r="A624" s="67"/>
      <c r="B624" s="66"/>
      <c r="C624" s="66"/>
      <c r="D624" s="66"/>
      <c r="E624" s="66"/>
      <c r="F624" s="65"/>
      <c r="G624" s="65"/>
      <c r="H624" s="65"/>
      <c r="I624" s="64"/>
      <c r="J624" s="64"/>
    </row>
    <row r="625" spans="1:10">
      <c r="A625" s="67"/>
      <c r="B625" s="66"/>
      <c r="C625" s="66"/>
      <c r="D625" s="66"/>
      <c r="E625" s="66"/>
      <c r="F625" s="65"/>
      <c r="G625" s="65"/>
      <c r="H625" s="65"/>
      <c r="I625" s="64"/>
      <c r="J625" s="64"/>
    </row>
    <row r="626" spans="1:10">
      <c r="A626" s="67"/>
      <c r="B626" s="66"/>
      <c r="C626" s="66"/>
      <c r="D626" s="66"/>
      <c r="E626" s="66"/>
      <c r="F626" s="65"/>
      <c r="G626" s="65"/>
      <c r="H626" s="65"/>
      <c r="I626" s="64"/>
      <c r="J626" s="64"/>
    </row>
    <row r="627" spans="1:10">
      <c r="A627" s="67"/>
      <c r="B627" s="66"/>
      <c r="C627" s="66"/>
      <c r="D627" s="66"/>
      <c r="E627" s="66"/>
      <c r="F627" s="65"/>
      <c r="G627" s="65"/>
      <c r="H627" s="65"/>
      <c r="I627" s="64"/>
      <c r="J627" s="64"/>
    </row>
    <row r="628" spans="1:10">
      <c r="A628" s="67"/>
      <c r="B628" s="66"/>
      <c r="C628" s="66"/>
      <c r="D628" s="66"/>
      <c r="E628" s="66"/>
      <c r="F628" s="65"/>
      <c r="G628" s="65"/>
      <c r="H628" s="65"/>
      <c r="I628" s="64"/>
      <c r="J628" s="64"/>
    </row>
    <row r="629" spans="1:10">
      <c r="A629" s="67"/>
      <c r="B629" s="66"/>
      <c r="C629" s="66"/>
      <c r="D629" s="66"/>
      <c r="E629" s="66"/>
      <c r="F629" s="65"/>
      <c r="G629" s="65"/>
      <c r="H629" s="65"/>
      <c r="I629" s="64"/>
      <c r="J629" s="64"/>
    </row>
    <row r="630" spans="1:10">
      <c r="A630" s="67"/>
      <c r="B630" s="66"/>
      <c r="C630" s="66"/>
      <c r="D630" s="66"/>
      <c r="E630" s="66"/>
      <c r="F630" s="65"/>
      <c r="G630" s="65"/>
      <c r="H630" s="65"/>
      <c r="I630" s="64"/>
      <c r="J630" s="64"/>
    </row>
    <row r="631" spans="1:10">
      <c r="A631" s="67"/>
      <c r="B631" s="66"/>
      <c r="C631" s="66"/>
      <c r="D631" s="66"/>
      <c r="E631" s="66"/>
      <c r="F631" s="65"/>
      <c r="G631" s="65"/>
      <c r="H631" s="65"/>
      <c r="I631" s="64"/>
      <c r="J631" s="64"/>
    </row>
    <row r="632" spans="1:10">
      <c r="A632" s="67"/>
      <c r="B632" s="66"/>
      <c r="C632" s="66"/>
      <c r="D632" s="66"/>
      <c r="E632" s="66"/>
      <c r="F632" s="65"/>
      <c r="G632" s="65"/>
      <c r="H632" s="65"/>
      <c r="I632" s="64"/>
      <c r="J632" s="64"/>
    </row>
    <row r="633" spans="1:10">
      <c r="A633" s="67"/>
      <c r="B633" s="66"/>
      <c r="C633" s="66"/>
      <c r="D633" s="66"/>
      <c r="E633" s="66"/>
      <c r="F633" s="65"/>
      <c r="G633" s="65"/>
      <c r="H633" s="65"/>
      <c r="I633" s="64"/>
      <c r="J633" s="64"/>
    </row>
    <row r="634" spans="1:10">
      <c r="A634" s="67"/>
      <c r="B634" s="66"/>
      <c r="C634" s="66"/>
      <c r="D634" s="66"/>
      <c r="E634" s="66"/>
      <c r="F634" s="65"/>
      <c r="G634" s="65"/>
      <c r="H634" s="65"/>
      <c r="I634" s="64"/>
      <c r="J634" s="64"/>
    </row>
    <row r="635" spans="1:10">
      <c r="A635" s="67"/>
      <c r="B635" s="66"/>
      <c r="C635" s="66"/>
      <c r="D635" s="66"/>
      <c r="E635" s="66"/>
      <c r="F635" s="65"/>
      <c r="G635" s="65"/>
      <c r="H635" s="65"/>
      <c r="I635" s="64"/>
      <c r="J635" s="64"/>
    </row>
    <row r="636" spans="1:10">
      <c r="A636" s="67"/>
      <c r="B636" s="66"/>
      <c r="C636" s="66"/>
      <c r="D636" s="66"/>
      <c r="E636" s="66"/>
      <c r="F636" s="65"/>
      <c r="G636" s="65"/>
      <c r="H636" s="65"/>
      <c r="I636" s="64"/>
      <c r="J636" s="64"/>
    </row>
    <row r="637" spans="1:10">
      <c r="A637" s="67"/>
      <c r="B637" s="66"/>
      <c r="C637" s="66"/>
      <c r="D637" s="66"/>
      <c r="E637" s="66"/>
      <c r="F637" s="65"/>
      <c r="G637" s="65"/>
      <c r="H637" s="65"/>
      <c r="I637" s="64"/>
      <c r="J637" s="64"/>
    </row>
    <row r="638" spans="1:10">
      <c r="A638" s="67"/>
      <c r="B638" s="66"/>
      <c r="C638" s="66"/>
      <c r="D638" s="66"/>
      <c r="E638" s="66"/>
      <c r="F638" s="65"/>
      <c r="G638" s="65"/>
      <c r="H638" s="65"/>
      <c r="I638" s="64"/>
      <c r="J638" s="64"/>
    </row>
    <row r="639" spans="1:10">
      <c r="A639" s="67"/>
      <c r="B639" s="66"/>
      <c r="C639" s="66"/>
      <c r="D639" s="66"/>
      <c r="E639" s="66"/>
      <c r="F639" s="65"/>
      <c r="G639" s="65"/>
      <c r="H639" s="65"/>
      <c r="I639" s="64"/>
      <c r="J639" s="64"/>
    </row>
    <row r="640" spans="1:10">
      <c r="A640" s="67"/>
      <c r="B640" s="66"/>
      <c r="C640" s="66"/>
      <c r="D640" s="66"/>
      <c r="E640" s="66"/>
      <c r="F640" s="65"/>
      <c r="G640" s="65"/>
      <c r="H640" s="65"/>
      <c r="I640" s="64"/>
      <c r="J640" s="64"/>
    </row>
    <row r="641" spans="1:10">
      <c r="A641" s="67"/>
      <c r="B641" s="66"/>
      <c r="C641" s="66"/>
      <c r="D641" s="66"/>
      <c r="E641" s="66"/>
      <c r="F641" s="65"/>
      <c r="G641" s="65"/>
      <c r="H641" s="65"/>
      <c r="I641" s="64"/>
      <c r="J641" s="64"/>
    </row>
    <row r="642" spans="1:10">
      <c r="A642" s="67"/>
      <c r="B642" s="66"/>
      <c r="C642" s="66"/>
      <c r="D642" s="66"/>
      <c r="E642" s="66"/>
      <c r="F642" s="65"/>
      <c r="G642" s="65"/>
      <c r="H642" s="65"/>
      <c r="I642" s="64"/>
      <c r="J642" s="64"/>
    </row>
    <row r="643" spans="1:10">
      <c r="A643" s="67"/>
      <c r="B643" s="66"/>
      <c r="C643" s="66"/>
      <c r="D643" s="66"/>
      <c r="E643" s="66"/>
      <c r="F643" s="65"/>
      <c r="G643" s="65"/>
      <c r="H643" s="65"/>
      <c r="I643" s="64"/>
      <c r="J643" s="64"/>
    </row>
    <row r="644" spans="1:10">
      <c r="A644" s="67"/>
      <c r="B644" s="66"/>
      <c r="C644" s="66"/>
      <c r="D644" s="66"/>
      <c r="E644" s="66"/>
      <c r="F644" s="65"/>
      <c r="G644" s="65"/>
      <c r="H644" s="65"/>
      <c r="I644" s="64"/>
      <c r="J644" s="64"/>
    </row>
    <row r="645" spans="1:10">
      <c r="A645" s="67"/>
      <c r="B645" s="66"/>
      <c r="C645" s="66"/>
      <c r="D645" s="66"/>
      <c r="E645" s="66"/>
      <c r="F645" s="65"/>
      <c r="G645" s="65"/>
      <c r="H645" s="65"/>
      <c r="I645" s="64"/>
      <c r="J645" s="64"/>
    </row>
    <row r="646" spans="1:10">
      <c r="A646" s="67"/>
      <c r="B646" s="66"/>
      <c r="C646" s="66"/>
      <c r="D646" s="66"/>
      <c r="E646" s="66"/>
      <c r="F646" s="65"/>
      <c r="G646" s="65"/>
      <c r="H646" s="65"/>
      <c r="I646" s="64"/>
      <c r="J646" s="64"/>
    </row>
    <row r="647" spans="1:10">
      <c r="A647" s="67"/>
      <c r="B647" s="66"/>
      <c r="C647" s="66"/>
      <c r="D647" s="66"/>
      <c r="E647" s="66"/>
      <c r="F647" s="65"/>
      <c r="G647" s="65"/>
      <c r="H647" s="65"/>
      <c r="I647" s="64"/>
      <c r="J647" s="64"/>
    </row>
    <row r="648" spans="1:10">
      <c r="A648" s="67"/>
      <c r="B648" s="66"/>
      <c r="C648" s="66"/>
      <c r="D648" s="66"/>
      <c r="E648" s="66"/>
      <c r="F648" s="65"/>
      <c r="G648" s="65"/>
      <c r="H648" s="65"/>
      <c r="I648" s="64"/>
      <c r="J648" s="64"/>
    </row>
    <row r="649" spans="1:10">
      <c r="A649" s="67"/>
      <c r="B649" s="66"/>
      <c r="C649" s="66"/>
      <c r="D649" s="66"/>
      <c r="E649" s="66"/>
      <c r="F649" s="65"/>
      <c r="G649" s="65"/>
      <c r="H649" s="65"/>
      <c r="I649" s="64"/>
      <c r="J649" s="64"/>
    </row>
    <row r="650" spans="1:10">
      <c r="A650" s="67"/>
      <c r="B650" s="66"/>
      <c r="C650" s="66"/>
      <c r="D650" s="66"/>
      <c r="E650" s="66"/>
      <c r="F650" s="65"/>
      <c r="G650" s="65"/>
      <c r="H650" s="65"/>
      <c r="I650" s="64"/>
      <c r="J650" s="64"/>
    </row>
    <row r="651" spans="1:10">
      <c r="A651" s="67"/>
      <c r="B651" s="66"/>
      <c r="C651" s="66"/>
      <c r="D651" s="66"/>
      <c r="E651" s="66"/>
      <c r="F651" s="65"/>
      <c r="G651" s="65"/>
      <c r="H651" s="65"/>
      <c r="I651" s="64"/>
      <c r="J651" s="64"/>
    </row>
    <row r="652" spans="1:10">
      <c r="A652" s="67"/>
      <c r="B652" s="66"/>
      <c r="C652" s="66"/>
      <c r="D652" s="66"/>
      <c r="E652" s="66"/>
      <c r="F652" s="65"/>
      <c r="G652" s="65"/>
      <c r="H652" s="65"/>
      <c r="I652" s="64"/>
      <c r="J652" s="64"/>
    </row>
    <row r="653" spans="1:10">
      <c r="A653" s="67"/>
      <c r="B653" s="66"/>
      <c r="C653" s="66"/>
      <c r="D653" s="66"/>
      <c r="E653" s="66"/>
      <c r="F653" s="65"/>
      <c r="G653" s="65"/>
      <c r="H653" s="65"/>
      <c r="I653" s="64"/>
      <c r="J653" s="64"/>
    </row>
    <row r="654" spans="1:10">
      <c r="A654" s="67"/>
      <c r="B654" s="66"/>
      <c r="C654" s="66"/>
      <c r="D654" s="66"/>
      <c r="E654" s="66"/>
      <c r="F654" s="65"/>
      <c r="G654" s="65"/>
      <c r="H654" s="65"/>
      <c r="I654" s="64"/>
      <c r="J654" s="64"/>
    </row>
    <row r="655" spans="1:10">
      <c r="A655" s="67"/>
      <c r="B655" s="66"/>
      <c r="C655" s="66"/>
      <c r="D655" s="66"/>
      <c r="E655" s="66"/>
      <c r="F655" s="65"/>
      <c r="G655" s="65"/>
      <c r="H655" s="65"/>
      <c r="I655" s="64"/>
      <c r="J655" s="64"/>
    </row>
    <row r="656" spans="1:10">
      <c r="A656" s="67"/>
      <c r="B656" s="66"/>
      <c r="C656" s="66"/>
      <c r="D656" s="66"/>
      <c r="E656" s="66"/>
      <c r="F656" s="65"/>
      <c r="G656" s="65"/>
      <c r="H656" s="65"/>
      <c r="I656" s="64"/>
      <c r="J656" s="64"/>
    </row>
    <row r="657" spans="1:10">
      <c r="A657" s="67"/>
      <c r="B657" s="66"/>
      <c r="C657" s="66"/>
      <c r="D657" s="66"/>
      <c r="E657" s="66"/>
      <c r="F657" s="65"/>
      <c r="G657" s="65"/>
      <c r="H657" s="65"/>
      <c r="I657" s="64"/>
      <c r="J657" s="64"/>
    </row>
    <row r="658" spans="1:10">
      <c r="A658" s="67"/>
      <c r="B658" s="66"/>
      <c r="C658" s="66"/>
      <c r="D658" s="66"/>
      <c r="E658" s="66"/>
      <c r="F658" s="65"/>
      <c r="G658" s="65"/>
      <c r="H658" s="65"/>
      <c r="I658" s="64"/>
      <c r="J658" s="64"/>
    </row>
    <row r="659" spans="1:10">
      <c r="A659" s="67"/>
      <c r="B659" s="66"/>
      <c r="C659" s="66"/>
      <c r="D659" s="66"/>
      <c r="E659" s="66"/>
      <c r="F659" s="65"/>
      <c r="G659" s="65"/>
      <c r="H659" s="65"/>
      <c r="I659" s="64"/>
      <c r="J659" s="64"/>
    </row>
    <row r="660" spans="1:10">
      <c r="A660" s="67"/>
      <c r="B660" s="66"/>
      <c r="C660" s="66"/>
      <c r="D660" s="66"/>
      <c r="E660" s="66"/>
      <c r="F660" s="65"/>
      <c r="G660" s="65"/>
      <c r="H660" s="65"/>
      <c r="I660" s="64"/>
      <c r="J660" s="64"/>
    </row>
    <row r="661" spans="1:10">
      <c r="A661" s="67"/>
      <c r="B661" s="66"/>
      <c r="C661" s="66"/>
      <c r="D661" s="66"/>
      <c r="E661" s="66"/>
      <c r="F661" s="65"/>
      <c r="G661" s="65"/>
      <c r="H661" s="65"/>
      <c r="I661" s="64"/>
      <c r="J661" s="64"/>
    </row>
    <row r="662" spans="1:10">
      <c r="A662" s="67"/>
      <c r="B662" s="66"/>
      <c r="C662" s="66"/>
      <c r="D662" s="66"/>
      <c r="E662" s="66"/>
      <c r="F662" s="65"/>
      <c r="G662" s="65"/>
      <c r="H662" s="65"/>
      <c r="I662" s="64"/>
      <c r="J662" s="64"/>
    </row>
    <row r="663" spans="1:10">
      <c r="A663" s="67"/>
      <c r="B663" s="66"/>
      <c r="C663" s="66"/>
      <c r="D663" s="66"/>
      <c r="E663" s="66"/>
      <c r="F663" s="65"/>
      <c r="G663" s="65"/>
      <c r="H663" s="65"/>
      <c r="I663" s="64"/>
      <c r="J663" s="64"/>
    </row>
    <row r="664" spans="1:10">
      <c r="A664" s="67"/>
      <c r="B664" s="66"/>
      <c r="C664" s="66"/>
      <c r="D664" s="66"/>
      <c r="E664" s="66"/>
      <c r="F664" s="65"/>
      <c r="G664" s="65"/>
      <c r="H664" s="65"/>
      <c r="I664" s="64"/>
      <c r="J664" s="64"/>
    </row>
    <row r="665" spans="1:10">
      <c r="A665" s="67"/>
      <c r="B665" s="66"/>
      <c r="C665" s="66"/>
      <c r="D665" s="66"/>
      <c r="E665" s="66"/>
      <c r="F665" s="65"/>
      <c r="G665" s="65"/>
      <c r="H665" s="65"/>
      <c r="I665" s="64"/>
      <c r="J665" s="64"/>
    </row>
    <row r="666" spans="1:10">
      <c r="A666" s="67"/>
      <c r="B666" s="66"/>
      <c r="C666" s="66"/>
      <c r="D666" s="66"/>
      <c r="E666" s="66"/>
      <c r="F666" s="65"/>
      <c r="G666" s="65"/>
      <c r="H666" s="65"/>
      <c r="I666" s="64"/>
      <c r="J666" s="64"/>
    </row>
    <row r="667" spans="1:10">
      <c r="A667" s="67"/>
      <c r="B667" s="66"/>
      <c r="C667" s="66"/>
      <c r="D667" s="66"/>
      <c r="E667" s="66"/>
      <c r="F667" s="65"/>
      <c r="G667" s="65"/>
      <c r="H667" s="65"/>
      <c r="I667" s="64"/>
      <c r="J667" s="64"/>
    </row>
    <row r="668" spans="1:10">
      <c r="A668" s="67"/>
      <c r="B668" s="66"/>
      <c r="C668" s="66"/>
      <c r="D668" s="66"/>
      <c r="E668" s="66"/>
      <c r="F668" s="65"/>
      <c r="G668" s="65"/>
      <c r="H668" s="65"/>
      <c r="I668" s="64"/>
      <c r="J668" s="64"/>
    </row>
    <row r="669" spans="1:10">
      <c r="A669" s="67"/>
      <c r="B669" s="66"/>
      <c r="C669" s="66"/>
      <c r="D669" s="66"/>
      <c r="E669" s="66"/>
      <c r="F669" s="65"/>
      <c r="G669" s="65"/>
      <c r="H669" s="65"/>
      <c r="I669" s="64"/>
      <c r="J669" s="64"/>
    </row>
    <row r="670" spans="1:10">
      <c r="A670" s="67"/>
      <c r="B670" s="66"/>
      <c r="C670" s="66"/>
      <c r="D670" s="66"/>
      <c r="E670" s="66"/>
      <c r="F670" s="65"/>
      <c r="G670" s="65"/>
      <c r="H670" s="65"/>
      <c r="I670" s="64"/>
      <c r="J670" s="64"/>
    </row>
    <row r="671" spans="1:10">
      <c r="A671" s="67"/>
      <c r="B671" s="66"/>
      <c r="C671" s="66"/>
      <c r="D671" s="66"/>
      <c r="E671" s="66"/>
      <c r="F671" s="65"/>
      <c r="G671" s="65"/>
      <c r="H671" s="65"/>
      <c r="I671" s="64"/>
      <c r="J671" s="64"/>
    </row>
    <row r="672" spans="1:10">
      <c r="A672" s="67"/>
      <c r="B672" s="66"/>
      <c r="C672" s="66"/>
      <c r="D672" s="66"/>
      <c r="E672" s="66"/>
      <c r="F672" s="65"/>
      <c r="G672" s="65"/>
      <c r="H672" s="65"/>
      <c r="I672" s="64"/>
      <c r="J672" s="64"/>
    </row>
    <row r="673" spans="1:10">
      <c r="A673" s="67"/>
      <c r="B673" s="66"/>
      <c r="C673" s="66"/>
      <c r="D673" s="66"/>
      <c r="E673" s="66"/>
      <c r="F673" s="65"/>
      <c r="G673" s="65"/>
      <c r="H673" s="65"/>
      <c r="I673" s="64"/>
      <c r="J673" s="64"/>
    </row>
    <row r="674" spans="1:10">
      <c r="A674" s="67"/>
      <c r="B674" s="66"/>
      <c r="C674" s="66"/>
      <c r="D674" s="66"/>
      <c r="E674" s="66"/>
      <c r="F674" s="65"/>
      <c r="G674" s="65"/>
      <c r="H674" s="65"/>
      <c r="I674" s="64"/>
      <c r="J674" s="64"/>
    </row>
    <row r="675" spans="1:10">
      <c r="A675" s="67"/>
      <c r="B675" s="66"/>
      <c r="C675" s="66"/>
      <c r="D675" s="66"/>
      <c r="E675" s="66"/>
      <c r="F675" s="65"/>
      <c r="G675" s="65"/>
      <c r="H675" s="65"/>
      <c r="I675" s="64"/>
      <c r="J675" s="64"/>
    </row>
    <row r="676" spans="1:10">
      <c r="A676" s="67"/>
      <c r="B676" s="66"/>
      <c r="C676" s="66"/>
      <c r="D676" s="66"/>
      <c r="E676" s="66"/>
      <c r="F676" s="65"/>
      <c r="G676" s="65"/>
      <c r="H676" s="65"/>
      <c r="I676" s="64"/>
      <c r="J676" s="64"/>
    </row>
    <row r="677" spans="1:10">
      <c r="A677" s="67"/>
      <c r="B677" s="66"/>
      <c r="C677" s="66"/>
      <c r="D677" s="66"/>
      <c r="E677" s="66"/>
      <c r="F677" s="65"/>
      <c r="G677" s="65"/>
      <c r="H677" s="65"/>
      <c r="I677" s="64"/>
      <c r="J677" s="64"/>
    </row>
    <row r="678" spans="1:10">
      <c r="A678" s="67"/>
      <c r="B678" s="66"/>
      <c r="C678" s="66"/>
      <c r="D678" s="66"/>
      <c r="E678" s="66"/>
      <c r="F678" s="65"/>
      <c r="G678" s="65"/>
      <c r="H678" s="65"/>
      <c r="I678" s="64"/>
      <c r="J678" s="64"/>
    </row>
    <row r="679" spans="1:10">
      <c r="A679" s="67"/>
      <c r="B679" s="66"/>
      <c r="C679" s="66"/>
      <c r="D679" s="66"/>
      <c r="E679" s="66"/>
      <c r="F679" s="65"/>
      <c r="G679" s="65"/>
      <c r="H679" s="65"/>
      <c r="I679" s="64"/>
      <c r="J679" s="64"/>
    </row>
    <row r="680" spans="1:10">
      <c r="A680" s="67"/>
      <c r="B680" s="66"/>
      <c r="C680" s="66"/>
      <c r="D680" s="66"/>
      <c r="E680" s="66"/>
      <c r="F680" s="65"/>
      <c r="G680" s="65"/>
      <c r="H680" s="65"/>
      <c r="I680" s="64"/>
      <c r="J680" s="64"/>
    </row>
    <row r="681" spans="1:10">
      <c r="A681" s="67"/>
      <c r="B681" s="66"/>
      <c r="C681" s="66"/>
      <c r="D681" s="66"/>
      <c r="E681" s="66"/>
      <c r="F681" s="65"/>
      <c r="G681" s="65"/>
      <c r="H681" s="65"/>
      <c r="I681" s="64"/>
      <c r="J681" s="64"/>
    </row>
    <row r="682" spans="1:10">
      <c r="A682" s="67"/>
      <c r="B682" s="66"/>
      <c r="C682" s="66"/>
      <c r="D682" s="66"/>
      <c r="E682" s="66"/>
      <c r="F682" s="65"/>
      <c r="G682" s="65"/>
      <c r="H682" s="65"/>
      <c r="I682" s="64"/>
      <c r="J682" s="64"/>
    </row>
    <row r="683" spans="1:10">
      <c r="A683" s="67"/>
      <c r="B683" s="66"/>
      <c r="C683" s="66"/>
      <c r="D683" s="66"/>
      <c r="E683" s="66"/>
      <c r="F683" s="65"/>
      <c r="G683" s="65"/>
      <c r="H683" s="65"/>
      <c r="I683" s="64"/>
      <c r="J683" s="64"/>
    </row>
    <row r="684" spans="1:10">
      <c r="A684" s="67"/>
      <c r="B684" s="66"/>
      <c r="C684" s="66"/>
      <c r="D684" s="66"/>
      <c r="E684" s="66"/>
      <c r="F684" s="65"/>
      <c r="G684" s="65"/>
      <c r="H684" s="65"/>
      <c r="I684" s="64"/>
      <c r="J684" s="64"/>
    </row>
    <row r="685" spans="1:10">
      <c r="A685" s="67"/>
      <c r="B685" s="66"/>
      <c r="C685" s="66"/>
      <c r="D685" s="66"/>
      <c r="E685" s="66"/>
      <c r="F685" s="65"/>
      <c r="G685" s="65"/>
      <c r="H685" s="65"/>
      <c r="I685" s="64"/>
      <c r="J685" s="64"/>
    </row>
    <row r="686" spans="1:10">
      <c r="A686" s="67"/>
      <c r="B686" s="66"/>
      <c r="C686" s="66"/>
      <c r="D686" s="66"/>
      <c r="E686" s="66"/>
      <c r="F686" s="65"/>
      <c r="G686" s="65"/>
      <c r="H686" s="65"/>
      <c r="I686" s="64"/>
      <c r="J686" s="64"/>
    </row>
    <row r="687" spans="1:10">
      <c r="A687" s="67"/>
      <c r="B687" s="66"/>
      <c r="C687" s="66"/>
      <c r="D687" s="66"/>
      <c r="E687" s="66"/>
      <c r="F687" s="65"/>
      <c r="G687" s="65"/>
      <c r="H687" s="65"/>
      <c r="I687" s="64"/>
      <c r="J687" s="64"/>
    </row>
    <row r="688" spans="1:10">
      <c r="A688" s="67"/>
      <c r="B688" s="66"/>
      <c r="C688" s="66"/>
      <c r="D688" s="66"/>
      <c r="E688" s="66"/>
      <c r="F688" s="65"/>
      <c r="G688" s="65"/>
      <c r="H688" s="65"/>
      <c r="I688" s="64"/>
      <c r="J688" s="64"/>
    </row>
    <row r="689" spans="1:10">
      <c r="A689" s="67"/>
      <c r="B689" s="66"/>
      <c r="C689" s="66"/>
      <c r="D689" s="66"/>
      <c r="E689" s="66"/>
      <c r="F689" s="65"/>
      <c r="G689" s="65"/>
      <c r="H689" s="65"/>
      <c r="I689" s="64"/>
      <c r="J689" s="64"/>
    </row>
    <row r="690" spans="1:10">
      <c r="A690" s="67"/>
      <c r="B690" s="66"/>
      <c r="C690" s="66"/>
      <c r="D690" s="66"/>
      <c r="E690" s="66"/>
      <c r="F690" s="65"/>
      <c r="G690" s="65"/>
      <c r="H690" s="65"/>
      <c r="I690" s="64"/>
      <c r="J690" s="64"/>
    </row>
    <row r="691" spans="1:10">
      <c r="A691" s="67"/>
      <c r="B691" s="66"/>
      <c r="C691" s="66"/>
      <c r="D691" s="66"/>
      <c r="E691" s="66"/>
      <c r="F691" s="65"/>
      <c r="G691" s="65"/>
      <c r="H691" s="65"/>
      <c r="I691" s="64"/>
      <c r="J691" s="64"/>
    </row>
    <row r="692" spans="1:10">
      <c r="A692" s="67"/>
      <c r="B692" s="66"/>
      <c r="C692" s="66"/>
      <c r="D692" s="66"/>
      <c r="E692" s="66"/>
      <c r="F692" s="65"/>
      <c r="G692" s="65"/>
      <c r="H692" s="65"/>
      <c r="I692" s="64"/>
      <c r="J692" s="64"/>
    </row>
    <row r="693" spans="1:10">
      <c r="A693" s="67"/>
      <c r="B693" s="66"/>
      <c r="C693" s="66"/>
      <c r="D693" s="66"/>
      <c r="E693" s="66"/>
      <c r="F693" s="65"/>
      <c r="G693" s="65"/>
      <c r="H693" s="65"/>
      <c r="I693" s="64"/>
      <c r="J693" s="64"/>
    </row>
    <row r="694" spans="1:10">
      <c r="A694" s="67"/>
      <c r="B694" s="66"/>
      <c r="C694" s="66"/>
      <c r="D694" s="66"/>
      <c r="E694" s="66"/>
      <c r="F694" s="65"/>
      <c r="G694" s="65"/>
      <c r="H694" s="65"/>
      <c r="I694" s="64"/>
      <c r="J694" s="64"/>
    </row>
    <row r="695" spans="1:10">
      <c r="A695" s="67"/>
      <c r="B695" s="66"/>
      <c r="C695" s="66"/>
      <c r="D695" s="66"/>
      <c r="E695" s="66"/>
      <c r="F695" s="65"/>
      <c r="G695" s="65"/>
      <c r="H695" s="65"/>
      <c r="I695" s="64"/>
      <c r="J695" s="64"/>
    </row>
    <row r="696" spans="1:10">
      <c r="A696" s="67"/>
      <c r="B696" s="66"/>
      <c r="C696" s="66"/>
      <c r="D696" s="66"/>
      <c r="E696" s="66"/>
      <c r="F696" s="65"/>
      <c r="G696" s="65"/>
      <c r="H696" s="65"/>
      <c r="I696" s="64"/>
      <c r="J696" s="64"/>
    </row>
    <row r="697" spans="1:10">
      <c r="A697" s="67"/>
      <c r="B697" s="66"/>
      <c r="C697" s="66"/>
      <c r="D697" s="66"/>
      <c r="E697" s="66"/>
      <c r="F697" s="65"/>
      <c r="G697" s="65"/>
      <c r="H697" s="65"/>
      <c r="I697" s="64"/>
      <c r="J697" s="64"/>
    </row>
    <row r="698" spans="1:10">
      <c r="A698" s="67"/>
      <c r="B698" s="66"/>
      <c r="C698" s="66"/>
      <c r="D698" s="66"/>
      <c r="E698" s="66"/>
      <c r="F698" s="65"/>
      <c r="G698" s="65"/>
      <c r="H698" s="65"/>
      <c r="I698" s="64"/>
      <c r="J698" s="64"/>
    </row>
    <row r="699" spans="1:10">
      <c r="A699" s="67"/>
      <c r="B699" s="66"/>
      <c r="C699" s="66"/>
      <c r="D699" s="66"/>
      <c r="E699" s="66"/>
      <c r="F699" s="65"/>
      <c r="G699" s="65"/>
      <c r="H699" s="65"/>
      <c r="I699" s="64"/>
      <c r="J699" s="64"/>
    </row>
    <row r="700" spans="1:10">
      <c r="A700" s="67"/>
      <c r="B700" s="66"/>
      <c r="C700" s="66"/>
      <c r="D700" s="66"/>
      <c r="E700" s="66"/>
      <c r="F700" s="65"/>
      <c r="G700" s="65"/>
      <c r="H700" s="65"/>
      <c r="I700" s="64"/>
      <c r="J700" s="64"/>
    </row>
    <row r="701" spans="1:10">
      <c r="A701" s="67"/>
      <c r="B701" s="66"/>
      <c r="C701" s="66"/>
      <c r="D701" s="66"/>
      <c r="E701" s="66"/>
      <c r="F701" s="65"/>
      <c r="G701" s="65"/>
      <c r="H701" s="65"/>
      <c r="I701" s="64"/>
      <c r="J701" s="64"/>
    </row>
    <row r="702" spans="1:10">
      <c r="A702" s="67"/>
      <c r="B702" s="66"/>
      <c r="C702" s="66"/>
      <c r="D702" s="66"/>
      <c r="E702" s="66"/>
      <c r="F702" s="65"/>
      <c r="G702" s="65"/>
      <c r="H702" s="65"/>
      <c r="I702" s="64"/>
      <c r="J702" s="64"/>
    </row>
    <row r="703" spans="1:10">
      <c r="A703" s="67"/>
      <c r="B703" s="66"/>
      <c r="C703" s="66"/>
      <c r="D703" s="66"/>
      <c r="E703" s="66"/>
      <c r="F703" s="65"/>
      <c r="G703" s="65"/>
      <c r="H703" s="65"/>
      <c r="I703" s="64"/>
      <c r="J703" s="64"/>
    </row>
    <row r="704" spans="1:10">
      <c r="A704" s="67"/>
      <c r="B704" s="66"/>
      <c r="C704" s="66"/>
      <c r="D704" s="66"/>
      <c r="E704" s="66"/>
      <c r="F704" s="65"/>
      <c r="G704" s="65"/>
      <c r="H704" s="65"/>
      <c r="I704" s="64"/>
      <c r="J704" s="64"/>
    </row>
    <row r="705" spans="1:10">
      <c r="A705" s="67"/>
      <c r="B705" s="66"/>
      <c r="C705" s="66"/>
      <c r="D705" s="66"/>
      <c r="E705" s="66"/>
      <c r="F705" s="65"/>
      <c r="G705" s="65"/>
      <c r="H705" s="65"/>
      <c r="I705" s="64"/>
      <c r="J705" s="64"/>
    </row>
    <row r="706" spans="1:10">
      <c r="A706" s="67"/>
      <c r="B706" s="66"/>
      <c r="C706" s="66"/>
      <c r="D706" s="66"/>
      <c r="E706" s="66"/>
      <c r="F706" s="65"/>
      <c r="G706" s="65"/>
      <c r="H706" s="65"/>
      <c r="I706" s="64"/>
      <c r="J706" s="64"/>
    </row>
    <row r="707" spans="1:10">
      <c r="A707" s="67"/>
      <c r="B707" s="66"/>
      <c r="C707" s="66"/>
      <c r="D707" s="66"/>
      <c r="E707" s="66"/>
      <c r="F707" s="65"/>
      <c r="G707" s="65"/>
      <c r="H707" s="65"/>
      <c r="I707" s="64"/>
      <c r="J707" s="64"/>
    </row>
    <row r="708" spans="1:10">
      <c r="A708" s="67"/>
      <c r="B708" s="66"/>
      <c r="C708" s="66"/>
      <c r="D708" s="66"/>
      <c r="E708" s="66"/>
      <c r="F708" s="65"/>
      <c r="G708" s="65"/>
      <c r="H708" s="65"/>
      <c r="I708" s="64"/>
      <c r="J708" s="64"/>
    </row>
    <row r="709" spans="1:10">
      <c r="A709" s="67"/>
      <c r="B709" s="66"/>
      <c r="C709" s="66"/>
      <c r="D709" s="66"/>
      <c r="E709" s="66"/>
      <c r="F709" s="65"/>
      <c r="G709" s="65"/>
      <c r="H709" s="65"/>
      <c r="I709" s="64"/>
      <c r="J709" s="64"/>
    </row>
    <row r="710" spans="1:10">
      <c r="A710" s="67"/>
      <c r="B710" s="66"/>
      <c r="C710" s="66"/>
      <c r="D710" s="66"/>
      <c r="E710" s="66"/>
      <c r="F710" s="65"/>
      <c r="G710" s="65"/>
      <c r="H710" s="65"/>
      <c r="I710" s="64"/>
      <c r="J710" s="64"/>
    </row>
    <row r="711" spans="1:10">
      <c r="A711" s="67"/>
      <c r="B711" s="66"/>
      <c r="C711" s="66"/>
      <c r="D711" s="66"/>
      <c r="E711" s="66"/>
      <c r="F711" s="65"/>
      <c r="G711" s="65"/>
      <c r="H711" s="65"/>
      <c r="I711" s="64"/>
      <c r="J711" s="64"/>
    </row>
    <row r="712" spans="1:10">
      <c r="A712" s="67"/>
      <c r="B712" s="66"/>
      <c r="C712" s="66"/>
      <c r="D712" s="66"/>
      <c r="E712" s="66"/>
      <c r="F712" s="65"/>
      <c r="G712" s="65"/>
      <c r="H712" s="65"/>
      <c r="I712" s="64"/>
      <c r="J712" s="64"/>
    </row>
    <row r="713" spans="1:10">
      <c r="A713" s="67"/>
      <c r="B713" s="66"/>
      <c r="C713" s="66"/>
      <c r="D713" s="66"/>
      <c r="E713" s="66"/>
      <c r="F713" s="65"/>
      <c r="G713" s="65"/>
      <c r="H713" s="65"/>
      <c r="I713" s="64"/>
      <c r="J713" s="64"/>
    </row>
    <row r="714" spans="1:10">
      <c r="A714" s="67"/>
      <c r="B714" s="66"/>
      <c r="C714" s="66"/>
      <c r="D714" s="66"/>
      <c r="E714" s="66"/>
      <c r="F714" s="65"/>
      <c r="G714" s="65"/>
      <c r="H714" s="65"/>
      <c r="I714" s="64"/>
      <c r="J714" s="64"/>
    </row>
    <row r="715" spans="1:10">
      <c r="A715" s="67"/>
      <c r="B715" s="66"/>
      <c r="C715" s="66"/>
      <c r="D715" s="66"/>
      <c r="E715" s="66"/>
      <c r="F715" s="65"/>
      <c r="G715" s="65"/>
      <c r="H715" s="65"/>
      <c r="I715" s="64"/>
      <c r="J715" s="64"/>
    </row>
    <row r="716" spans="1:10">
      <c r="A716" s="67"/>
      <c r="B716" s="66"/>
      <c r="C716" s="66"/>
      <c r="D716" s="66"/>
      <c r="E716" s="66"/>
      <c r="F716" s="65"/>
      <c r="G716" s="65"/>
      <c r="H716" s="65"/>
      <c r="I716" s="64"/>
      <c r="J716" s="64"/>
    </row>
    <row r="717" spans="1:10">
      <c r="A717" s="67"/>
      <c r="B717" s="66"/>
      <c r="C717" s="66"/>
      <c r="D717" s="66"/>
      <c r="E717" s="66"/>
      <c r="F717" s="65"/>
      <c r="G717" s="65"/>
      <c r="H717" s="65"/>
      <c r="I717" s="64"/>
      <c r="J717" s="64"/>
    </row>
    <row r="718" spans="1:10">
      <c r="A718" s="67"/>
      <c r="B718" s="66"/>
      <c r="C718" s="66"/>
      <c r="D718" s="66"/>
      <c r="E718" s="66"/>
      <c r="F718" s="65"/>
      <c r="G718" s="65"/>
      <c r="H718" s="65"/>
      <c r="I718" s="64"/>
      <c r="J718" s="64"/>
    </row>
    <row r="719" spans="1:10">
      <c r="A719" s="67"/>
      <c r="B719" s="66"/>
      <c r="C719" s="66"/>
      <c r="D719" s="66"/>
      <c r="E719" s="66"/>
      <c r="F719" s="65"/>
      <c r="G719" s="65"/>
      <c r="H719" s="65"/>
      <c r="I719" s="64"/>
      <c r="J719" s="64"/>
    </row>
    <row r="720" spans="1:10">
      <c r="A720" s="67"/>
      <c r="B720" s="66"/>
      <c r="C720" s="66"/>
      <c r="D720" s="66"/>
      <c r="E720" s="66"/>
      <c r="F720" s="65"/>
      <c r="G720" s="65"/>
      <c r="H720" s="65"/>
      <c r="I720" s="64"/>
      <c r="J720" s="64"/>
    </row>
    <row r="721" spans="1:10">
      <c r="A721" s="67"/>
      <c r="B721" s="66"/>
      <c r="C721" s="66"/>
      <c r="D721" s="66"/>
      <c r="E721" s="66"/>
      <c r="F721" s="65"/>
      <c r="G721" s="65"/>
      <c r="H721" s="65"/>
      <c r="I721" s="64"/>
      <c r="J721" s="64"/>
    </row>
    <row r="722" spans="1:10">
      <c r="A722" s="67"/>
      <c r="B722" s="66"/>
      <c r="C722" s="66"/>
      <c r="D722" s="66"/>
      <c r="E722" s="66"/>
      <c r="F722" s="65"/>
      <c r="G722" s="65"/>
      <c r="H722" s="65"/>
      <c r="I722" s="64"/>
      <c r="J722" s="64"/>
    </row>
    <row r="723" spans="1:10">
      <c r="A723" s="67"/>
      <c r="B723" s="66"/>
      <c r="C723" s="66"/>
      <c r="D723" s="66"/>
      <c r="E723" s="66"/>
      <c r="F723" s="65"/>
      <c r="G723" s="65"/>
      <c r="H723" s="65"/>
      <c r="I723" s="64"/>
      <c r="J723" s="64"/>
    </row>
    <row r="724" spans="1:10">
      <c r="A724" s="67"/>
      <c r="B724" s="66"/>
      <c r="C724" s="66"/>
      <c r="D724" s="66"/>
      <c r="E724" s="66"/>
      <c r="F724" s="65"/>
      <c r="G724" s="65"/>
      <c r="H724" s="65"/>
      <c r="I724" s="64"/>
      <c r="J724" s="64"/>
    </row>
    <row r="725" spans="1:10">
      <c r="A725" s="67"/>
      <c r="B725" s="66"/>
      <c r="C725" s="66"/>
      <c r="D725" s="66"/>
      <c r="E725" s="66"/>
      <c r="F725" s="65"/>
      <c r="G725" s="65"/>
      <c r="H725" s="65"/>
      <c r="I725" s="64"/>
      <c r="J725" s="64"/>
    </row>
    <row r="726" spans="1:10">
      <c r="A726" s="67"/>
      <c r="B726" s="66"/>
      <c r="C726" s="66"/>
      <c r="D726" s="66"/>
      <c r="E726" s="66"/>
      <c r="F726" s="65"/>
      <c r="G726" s="65"/>
      <c r="H726" s="65"/>
      <c r="I726" s="64"/>
      <c r="J726" s="64"/>
    </row>
    <row r="727" spans="1:10">
      <c r="A727" s="67"/>
      <c r="B727" s="66"/>
      <c r="C727" s="66"/>
      <c r="D727" s="66"/>
      <c r="E727" s="66"/>
      <c r="F727" s="65"/>
      <c r="G727" s="65"/>
      <c r="H727" s="65"/>
      <c r="I727" s="64"/>
      <c r="J727" s="64"/>
    </row>
    <row r="728" spans="1:10">
      <c r="A728" s="67"/>
      <c r="B728" s="66"/>
      <c r="C728" s="66"/>
      <c r="D728" s="66"/>
      <c r="E728" s="66"/>
      <c r="F728" s="65"/>
      <c r="G728" s="65"/>
      <c r="H728" s="65"/>
      <c r="I728" s="64"/>
      <c r="J728" s="64"/>
    </row>
    <row r="729" spans="1:10">
      <c r="A729" s="67"/>
      <c r="B729" s="66"/>
      <c r="C729" s="66"/>
      <c r="D729" s="66"/>
      <c r="E729" s="66"/>
      <c r="F729" s="65"/>
      <c r="G729" s="65"/>
      <c r="H729" s="65"/>
      <c r="I729" s="64"/>
      <c r="J729" s="64"/>
    </row>
    <row r="730" spans="1:10">
      <c r="A730" s="67"/>
      <c r="B730" s="66"/>
      <c r="C730" s="66"/>
      <c r="D730" s="66"/>
      <c r="E730" s="66"/>
      <c r="F730" s="65"/>
      <c r="G730" s="65"/>
      <c r="H730" s="65"/>
      <c r="I730" s="64"/>
      <c r="J730" s="64"/>
    </row>
    <row r="731" spans="1:10">
      <c r="A731" s="67"/>
      <c r="B731" s="66"/>
      <c r="C731" s="66"/>
      <c r="D731" s="66"/>
      <c r="E731" s="66"/>
      <c r="F731" s="65"/>
      <c r="G731" s="65"/>
      <c r="H731" s="65"/>
      <c r="I731" s="64"/>
      <c r="J731" s="64"/>
    </row>
    <row r="732" spans="1:10">
      <c r="A732" s="67"/>
      <c r="B732" s="66"/>
      <c r="C732" s="66"/>
      <c r="D732" s="66"/>
      <c r="E732" s="66"/>
      <c r="F732" s="65"/>
      <c r="G732" s="65"/>
      <c r="H732" s="65"/>
      <c r="I732" s="64"/>
      <c r="J732" s="64"/>
    </row>
    <row r="733" spans="1:10">
      <c r="A733" s="67"/>
      <c r="B733" s="66"/>
      <c r="C733" s="66"/>
      <c r="D733" s="66"/>
      <c r="E733" s="66"/>
      <c r="F733" s="65"/>
      <c r="G733" s="65"/>
      <c r="H733" s="65"/>
      <c r="I733" s="64"/>
      <c r="J733" s="64"/>
    </row>
    <row r="734" spans="1:10">
      <c r="A734" s="67"/>
      <c r="B734" s="66"/>
      <c r="C734" s="66"/>
      <c r="D734" s="66"/>
      <c r="E734" s="66"/>
      <c r="F734" s="65"/>
      <c r="G734" s="65"/>
      <c r="H734" s="65"/>
      <c r="I734" s="64"/>
      <c r="J734" s="64"/>
    </row>
    <row r="735" spans="1:10">
      <c r="A735" s="67"/>
      <c r="B735" s="66"/>
      <c r="C735" s="66"/>
      <c r="D735" s="66"/>
      <c r="E735" s="66"/>
      <c r="F735" s="65"/>
      <c r="G735" s="65"/>
      <c r="H735" s="65"/>
      <c r="I735" s="64"/>
      <c r="J735" s="64"/>
    </row>
    <row r="736" spans="1:10">
      <c r="A736" s="67"/>
      <c r="B736" s="66"/>
      <c r="C736" s="66"/>
      <c r="D736" s="66"/>
      <c r="E736" s="66"/>
      <c r="F736" s="65"/>
      <c r="G736" s="65"/>
      <c r="H736" s="65"/>
      <c r="I736" s="64"/>
      <c r="J736" s="64"/>
    </row>
    <row r="737" spans="1:10">
      <c r="A737" s="67"/>
      <c r="B737" s="66"/>
      <c r="C737" s="66"/>
      <c r="D737" s="66"/>
      <c r="E737" s="66"/>
      <c r="F737" s="65"/>
      <c r="G737" s="65"/>
      <c r="H737" s="65"/>
      <c r="I737" s="64"/>
      <c r="J737" s="64"/>
    </row>
    <row r="738" spans="1:10">
      <c r="A738" s="67"/>
      <c r="B738" s="66"/>
      <c r="C738" s="66"/>
      <c r="D738" s="66"/>
      <c r="E738" s="66"/>
      <c r="F738" s="65"/>
      <c r="G738" s="65"/>
      <c r="H738" s="65"/>
      <c r="I738" s="64"/>
      <c r="J738" s="64"/>
    </row>
    <row r="739" spans="1:10">
      <c r="A739" s="67"/>
      <c r="B739" s="66"/>
      <c r="C739" s="66"/>
      <c r="D739" s="66"/>
      <c r="E739" s="66"/>
      <c r="F739" s="65"/>
      <c r="G739" s="65"/>
      <c r="H739" s="65"/>
      <c r="I739" s="64"/>
      <c r="J739" s="64"/>
    </row>
    <row r="740" spans="1:10">
      <c r="A740" s="67"/>
      <c r="B740" s="66"/>
      <c r="C740" s="66"/>
      <c r="D740" s="66"/>
      <c r="E740" s="66"/>
      <c r="F740" s="65"/>
      <c r="G740" s="65"/>
      <c r="H740" s="65"/>
      <c r="I740" s="64"/>
      <c r="J740" s="64"/>
    </row>
    <row r="741" spans="1:10">
      <c r="A741" s="67"/>
      <c r="B741" s="66"/>
      <c r="C741" s="66"/>
      <c r="D741" s="66"/>
      <c r="E741" s="66"/>
      <c r="F741" s="65"/>
      <c r="G741" s="65"/>
      <c r="H741" s="65"/>
      <c r="I741" s="64"/>
      <c r="J741" s="64"/>
    </row>
    <row r="742" spans="1:10">
      <c r="A742" s="67"/>
      <c r="B742" s="66"/>
      <c r="C742" s="66"/>
      <c r="D742" s="66"/>
      <c r="E742" s="66"/>
      <c r="F742" s="65"/>
      <c r="G742" s="65"/>
      <c r="H742" s="65"/>
      <c r="I742" s="64"/>
      <c r="J742" s="64"/>
    </row>
    <row r="743" spans="1:10">
      <c r="A743" s="67"/>
      <c r="B743" s="66"/>
      <c r="C743" s="66"/>
      <c r="D743" s="66"/>
      <c r="E743" s="66"/>
      <c r="F743" s="65"/>
      <c r="G743" s="65"/>
      <c r="H743" s="65"/>
      <c r="I743" s="64"/>
      <c r="J743" s="64"/>
    </row>
    <row r="744" spans="1:10">
      <c r="A744" s="67"/>
      <c r="B744" s="66"/>
      <c r="C744" s="66"/>
      <c r="D744" s="66"/>
      <c r="E744" s="66"/>
      <c r="F744" s="65"/>
      <c r="G744" s="65"/>
      <c r="H744" s="65"/>
      <c r="I744" s="64"/>
      <c r="J744" s="64"/>
    </row>
    <row r="745" spans="1:10">
      <c r="A745" s="67"/>
      <c r="B745" s="66"/>
      <c r="C745" s="66"/>
      <c r="D745" s="66"/>
      <c r="E745" s="66"/>
      <c r="F745" s="65"/>
      <c r="G745" s="65"/>
      <c r="H745" s="65"/>
      <c r="I745" s="64"/>
      <c r="J745" s="64"/>
    </row>
    <row r="746" spans="1:10">
      <c r="A746" s="67"/>
      <c r="B746" s="66"/>
      <c r="C746" s="66"/>
      <c r="D746" s="66"/>
      <c r="E746" s="66"/>
      <c r="F746" s="65"/>
      <c r="G746" s="65"/>
      <c r="H746" s="65"/>
      <c r="I746" s="64"/>
      <c r="J746" s="64"/>
    </row>
    <row r="747" spans="1:10">
      <c r="A747" s="67"/>
      <c r="B747" s="66"/>
      <c r="C747" s="66"/>
      <c r="D747" s="66"/>
      <c r="E747" s="66"/>
      <c r="F747" s="65"/>
      <c r="G747" s="65"/>
      <c r="H747" s="65"/>
      <c r="I747" s="64"/>
      <c r="J747" s="64"/>
    </row>
    <row r="748" spans="1:10">
      <c r="A748" s="67"/>
      <c r="B748" s="66"/>
      <c r="C748" s="66"/>
      <c r="D748" s="66"/>
      <c r="E748" s="66"/>
      <c r="F748" s="65"/>
      <c r="G748" s="65"/>
      <c r="H748" s="65"/>
      <c r="I748" s="64"/>
      <c r="J748" s="64"/>
    </row>
    <row r="749" spans="1:10">
      <c r="A749" s="67"/>
      <c r="B749" s="66"/>
      <c r="C749" s="66"/>
      <c r="D749" s="66"/>
      <c r="E749" s="66"/>
      <c r="F749" s="65"/>
      <c r="G749" s="65"/>
      <c r="H749" s="65"/>
      <c r="I749" s="64"/>
      <c r="J749" s="64"/>
    </row>
    <row r="750" spans="1:10">
      <c r="A750" s="67"/>
      <c r="B750" s="66"/>
      <c r="C750" s="66"/>
      <c r="D750" s="66"/>
      <c r="E750" s="66"/>
      <c r="F750" s="65"/>
      <c r="G750" s="65"/>
      <c r="H750" s="65"/>
      <c r="I750" s="64"/>
      <c r="J750" s="64"/>
    </row>
    <row r="751" spans="1:10">
      <c r="A751" s="67"/>
      <c r="B751" s="66"/>
      <c r="C751" s="66"/>
      <c r="D751" s="66"/>
      <c r="E751" s="66"/>
      <c r="F751" s="65"/>
      <c r="G751" s="65"/>
      <c r="H751" s="65"/>
      <c r="I751" s="64"/>
      <c r="J751" s="64"/>
    </row>
    <row r="752" spans="1:10">
      <c r="A752" s="67"/>
      <c r="B752" s="66"/>
      <c r="C752" s="66"/>
      <c r="D752" s="66"/>
      <c r="E752" s="66"/>
      <c r="F752" s="65"/>
      <c r="G752" s="65"/>
      <c r="H752" s="65"/>
      <c r="I752" s="64"/>
      <c r="J752" s="64"/>
    </row>
    <row r="753" spans="1:10">
      <c r="A753" s="67"/>
      <c r="B753" s="66"/>
      <c r="C753" s="66"/>
      <c r="D753" s="66"/>
      <c r="E753" s="66"/>
      <c r="F753" s="65"/>
      <c r="G753" s="65"/>
      <c r="H753" s="65"/>
      <c r="I753" s="64"/>
      <c r="J753" s="64"/>
    </row>
    <row r="754" spans="1:10">
      <c r="A754" s="67"/>
      <c r="B754" s="66"/>
      <c r="C754" s="66"/>
      <c r="D754" s="66"/>
      <c r="E754" s="66"/>
      <c r="F754" s="65"/>
      <c r="G754" s="65"/>
      <c r="H754" s="65"/>
      <c r="I754" s="64"/>
      <c r="J754" s="64"/>
    </row>
    <row r="755" spans="1:10">
      <c r="A755" s="67"/>
      <c r="B755" s="66"/>
      <c r="C755" s="66"/>
      <c r="D755" s="66"/>
      <c r="E755" s="66"/>
      <c r="F755" s="65"/>
      <c r="G755" s="65"/>
      <c r="H755" s="65"/>
      <c r="I755" s="64"/>
      <c r="J755" s="64"/>
    </row>
    <row r="756" spans="1:10">
      <c r="A756" s="67"/>
      <c r="B756" s="66"/>
      <c r="C756" s="66"/>
      <c r="D756" s="66"/>
      <c r="E756" s="66"/>
      <c r="F756" s="65"/>
      <c r="G756" s="65"/>
      <c r="H756" s="65"/>
      <c r="I756" s="64"/>
      <c r="J756" s="64"/>
    </row>
    <row r="757" spans="1:10">
      <c r="A757" s="67"/>
      <c r="B757" s="66"/>
      <c r="C757" s="66"/>
      <c r="D757" s="66"/>
      <c r="E757" s="66"/>
      <c r="F757" s="65"/>
      <c r="G757" s="65"/>
      <c r="H757" s="65"/>
      <c r="I757" s="64"/>
      <c r="J757" s="64"/>
    </row>
    <row r="758" spans="1:10">
      <c r="A758" s="67"/>
      <c r="B758" s="66"/>
      <c r="C758" s="66"/>
      <c r="D758" s="66"/>
      <c r="E758" s="66"/>
      <c r="F758" s="65"/>
      <c r="G758" s="65"/>
      <c r="H758" s="65"/>
      <c r="I758" s="64"/>
      <c r="J758" s="64"/>
    </row>
    <row r="759" spans="1:10">
      <c r="A759" s="67"/>
      <c r="B759" s="66"/>
      <c r="C759" s="66"/>
      <c r="D759" s="66"/>
      <c r="E759" s="66"/>
      <c r="F759" s="65"/>
      <c r="G759" s="65"/>
      <c r="H759" s="65"/>
      <c r="I759" s="64"/>
      <c r="J759" s="64"/>
    </row>
    <row r="760" spans="1:10">
      <c r="A760" s="67"/>
      <c r="B760" s="66"/>
      <c r="C760" s="66"/>
      <c r="D760" s="66"/>
      <c r="E760" s="66"/>
      <c r="F760" s="65"/>
      <c r="G760" s="65"/>
      <c r="H760" s="65"/>
      <c r="I760" s="64"/>
      <c r="J760" s="64"/>
    </row>
    <row r="761" spans="1:10">
      <c r="A761" s="67"/>
      <c r="B761" s="66"/>
      <c r="C761" s="66"/>
      <c r="D761" s="66"/>
      <c r="E761" s="66"/>
      <c r="F761" s="65"/>
      <c r="G761" s="65"/>
      <c r="H761" s="65"/>
      <c r="I761" s="64"/>
      <c r="J761" s="64"/>
    </row>
    <row r="762" spans="1:10">
      <c r="A762" s="67"/>
      <c r="B762" s="66"/>
      <c r="C762" s="66"/>
      <c r="D762" s="66"/>
      <c r="E762" s="66"/>
      <c r="F762" s="65"/>
      <c r="G762" s="65"/>
      <c r="H762" s="65"/>
      <c r="I762" s="64"/>
      <c r="J762" s="64"/>
    </row>
    <row r="763" spans="1:10">
      <c r="A763" s="67"/>
      <c r="B763" s="66"/>
      <c r="C763" s="66"/>
      <c r="D763" s="66"/>
      <c r="E763" s="66"/>
      <c r="F763" s="65"/>
      <c r="G763" s="65"/>
      <c r="H763" s="65"/>
      <c r="I763" s="64"/>
      <c r="J763" s="64"/>
    </row>
    <row r="764" spans="1:10">
      <c r="A764" s="67"/>
      <c r="B764" s="66"/>
      <c r="C764" s="66"/>
      <c r="D764" s="66"/>
      <c r="E764" s="66"/>
      <c r="F764" s="65"/>
      <c r="G764" s="65"/>
      <c r="H764" s="65"/>
      <c r="I764" s="64"/>
      <c r="J764" s="64"/>
    </row>
    <row r="765" spans="1:10">
      <c r="A765" s="67"/>
      <c r="B765" s="66"/>
      <c r="C765" s="66"/>
      <c r="D765" s="66"/>
      <c r="E765" s="66"/>
      <c r="F765" s="65"/>
      <c r="G765" s="65"/>
      <c r="H765" s="65"/>
      <c r="I765" s="64"/>
      <c r="J765" s="64"/>
    </row>
    <row r="766" spans="1:10">
      <c r="A766" s="67"/>
      <c r="B766" s="66"/>
      <c r="C766" s="66"/>
      <c r="D766" s="66"/>
      <c r="E766" s="66"/>
      <c r="F766" s="65"/>
      <c r="G766" s="65"/>
      <c r="H766" s="65"/>
      <c r="I766" s="64"/>
      <c r="J766" s="64"/>
    </row>
    <row r="767" spans="1:10">
      <c r="A767" s="67"/>
      <c r="B767" s="66"/>
      <c r="C767" s="66"/>
      <c r="D767" s="66"/>
      <c r="E767" s="66"/>
      <c r="F767" s="65"/>
      <c r="G767" s="65"/>
      <c r="H767" s="65"/>
      <c r="I767" s="64"/>
      <c r="J767" s="64"/>
    </row>
    <row r="768" spans="1:10">
      <c r="A768" s="67"/>
      <c r="B768" s="66"/>
      <c r="C768" s="66"/>
      <c r="D768" s="66"/>
      <c r="E768" s="66"/>
      <c r="F768" s="65"/>
      <c r="G768" s="65"/>
      <c r="H768" s="65"/>
      <c r="I768" s="64"/>
      <c r="J768" s="64"/>
    </row>
    <row r="769" spans="1:10">
      <c r="A769" s="67"/>
      <c r="B769" s="66"/>
      <c r="C769" s="66"/>
      <c r="D769" s="66"/>
      <c r="E769" s="66"/>
      <c r="F769" s="65"/>
      <c r="G769" s="65"/>
      <c r="H769" s="65"/>
      <c r="I769" s="64"/>
      <c r="J769" s="64"/>
    </row>
    <row r="770" spans="1:10">
      <c r="A770" s="67"/>
      <c r="B770" s="66"/>
      <c r="C770" s="66"/>
      <c r="D770" s="66"/>
      <c r="E770" s="66"/>
      <c r="F770" s="65"/>
      <c r="G770" s="65"/>
      <c r="H770" s="65"/>
      <c r="I770" s="64"/>
      <c r="J770" s="64"/>
    </row>
    <row r="771" spans="1:10">
      <c r="A771" s="67"/>
      <c r="B771" s="66"/>
      <c r="C771" s="66"/>
      <c r="D771" s="66"/>
      <c r="E771" s="66"/>
      <c r="F771" s="65"/>
      <c r="G771" s="65"/>
      <c r="H771" s="65"/>
      <c r="I771" s="64"/>
      <c r="J771" s="64"/>
    </row>
    <row r="772" spans="1:10">
      <c r="A772" s="67"/>
      <c r="B772" s="66"/>
      <c r="C772" s="66"/>
      <c r="D772" s="66"/>
      <c r="E772" s="66"/>
      <c r="F772" s="65"/>
      <c r="G772" s="65"/>
      <c r="H772" s="65"/>
      <c r="I772" s="64"/>
      <c r="J772" s="64"/>
    </row>
    <row r="773" spans="1:10">
      <c r="A773" s="67"/>
      <c r="B773" s="66"/>
      <c r="C773" s="66"/>
      <c r="D773" s="66"/>
      <c r="E773" s="66"/>
      <c r="F773" s="65"/>
      <c r="G773" s="65"/>
      <c r="H773" s="65"/>
      <c r="I773" s="64"/>
      <c r="J773" s="64"/>
    </row>
    <row r="774" spans="1:10">
      <c r="A774" s="67"/>
      <c r="B774" s="66"/>
      <c r="C774" s="66"/>
      <c r="D774" s="66"/>
      <c r="E774" s="66"/>
      <c r="F774" s="65"/>
      <c r="G774" s="65"/>
      <c r="H774" s="65"/>
      <c r="I774" s="64"/>
      <c r="J774" s="64"/>
    </row>
    <row r="775" spans="1:10">
      <c r="A775" s="67"/>
      <c r="B775" s="66"/>
      <c r="C775" s="66"/>
      <c r="D775" s="66"/>
      <c r="E775" s="66"/>
      <c r="F775" s="65"/>
      <c r="G775" s="65"/>
      <c r="H775" s="65"/>
      <c r="I775" s="64"/>
      <c r="J775" s="64"/>
    </row>
    <row r="776" spans="1:10">
      <c r="A776" s="67"/>
      <c r="B776" s="66"/>
      <c r="C776" s="66"/>
      <c r="D776" s="66"/>
      <c r="E776" s="66"/>
      <c r="F776" s="65"/>
      <c r="G776" s="65"/>
      <c r="H776" s="65"/>
      <c r="I776" s="64"/>
      <c r="J776" s="64"/>
    </row>
    <row r="777" spans="1:10">
      <c r="A777" s="67"/>
      <c r="B777" s="66"/>
      <c r="C777" s="66"/>
      <c r="D777" s="66"/>
      <c r="E777" s="66"/>
      <c r="F777" s="65"/>
      <c r="G777" s="65"/>
      <c r="H777" s="65"/>
      <c r="I777" s="64"/>
      <c r="J777" s="64"/>
    </row>
    <row r="778" spans="1:10">
      <c r="A778" s="67"/>
      <c r="B778" s="66"/>
      <c r="C778" s="66"/>
      <c r="D778" s="66"/>
      <c r="E778" s="66"/>
      <c r="F778" s="65"/>
      <c r="G778" s="65"/>
      <c r="H778" s="65"/>
      <c r="I778" s="64"/>
      <c r="J778" s="64"/>
    </row>
    <row r="779" spans="1:10">
      <c r="A779" s="67"/>
      <c r="B779" s="66"/>
      <c r="C779" s="66"/>
      <c r="D779" s="66"/>
      <c r="E779" s="66"/>
      <c r="F779" s="65"/>
      <c r="G779" s="65"/>
      <c r="H779" s="65"/>
      <c r="I779" s="64"/>
      <c r="J779" s="64"/>
    </row>
    <row r="780" spans="1:10">
      <c r="A780" s="67"/>
      <c r="B780" s="66"/>
      <c r="C780" s="66"/>
      <c r="D780" s="66"/>
      <c r="E780" s="66"/>
      <c r="F780" s="65"/>
      <c r="G780" s="65"/>
      <c r="H780" s="65"/>
      <c r="I780" s="64"/>
      <c r="J780" s="64"/>
    </row>
    <row r="781" spans="1:10">
      <c r="A781" s="67"/>
      <c r="B781" s="66"/>
      <c r="C781" s="66"/>
      <c r="D781" s="66"/>
      <c r="E781" s="66"/>
      <c r="F781" s="65"/>
      <c r="G781" s="65"/>
      <c r="H781" s="65"/>
      <c r="I781" s="64"/>
      <c r="J781" s="64"/>
    </row>
    <row r="782" spans="1:10">
      <c r="A782" s="67"/>
      <c r="B782" s="66"/>
      <c r="C782" s="66"/>
      <c r="D782" s="66"/>
      <c r="E782" s="66"/>
      <c r="F782" s="65"/>
      <c r="G782" s="65"/>
      <c r="H782" s="65"/>
      <c r="I782" s="64"/>
      <c r="J782" s="64"/>
    </row>
    <row r="783" spans="1:10">
      <c r="A783" s="67"/>
      <c r="B783" s="66"/>
      <c r="C783" s="66"/>
      <c r="D783" s="66"/>
      <c r="E783" s="66"/>
      <c r="F783" s="65"/>
      <c r="G783" s="65"/>
      <c r="H783" s="65"/>
      <c r="I783" s="64"/>
      <c r="J783" s="64"/>
    </row>
    <row r="784" spans="1:10">
      <c r="A784" s="67"/>
      <c r="B784" s="66"/>
      <c r="C784" s="66"/>
      <c r="D784" s="66"/>
      <c r="E784" s="66"/>
      <c r="F784" s="65"/>
      <c r="G784" s="65"/>
      <c r="H784" s="65"/>
      <c r="I784" s="64"/>
      <c r="J784" s="64"/>
    </row>
    <row r="785" spans="1:10">
      <c r="A785" s="67"/>
      <c r="B785" s="66"/>
      <c r="C785" s="66"/>
      <c r="D785" s="66"/>
      <c r="E785" s="66"/>
      <c r="F785" s="65"/>
      <c r="G785" s="65"/>
      <c r="H785" s="65"/>
      <c r="I785" s="64"/>
      <c r="J785" s="64"/>
    </row>
    <row r="786" spans="1:10">
      <c r="A786" s="67"/>
      <c r="B786" s="66"/>
      <c r="C786" s="66"/>
      <c r="D786" s="66"/>
      <c r="E786" s="66"/>
      <c r="F786" s="65"/>
      <c r="G786" s="65"/>
      <c r="H786" s="65"/>
      <c r="I786" s="64"/>
      <c r="J786" s="64"/>
    </row>
    <row r="787" spans="1:10">
      <c r="A787" s="67"/>
      <c r="B787" s="66"/>
      <c r="C787" s="66"/>
      <c r="D787" s="66"/>
      <c r="E787" s="66"/>
      <c r="F787" s="65"/>
      <c r="G787" s="65"/>
      <c r="H787" s="65"/>
      <c r="I787" s="64"/>
      <c r="J787" s="64"/>
    </row>
    <row r="788" spans="1:10">
      <c r="A788" s="67"/>
      <c r="B788" s="66"/>
      <c r="C788" s="66"/>
      <c r="D788" s="66"/>
      <c r="E788" s="66"/>
      <c r="F788" s="65"/>
      <c r="G788" s="65"/>
      <c r="H788" s="65"/>
      <c r="I788" s="64"/>
      <c r="J788" s="64"/>
    </row>
    <row r="789" spans="1:10">
      <c r="A789" s="67"/>
      <c r="B789" s="66"/>
      <c r="C789" s="66"/>
      <c r="D789" s="66"/>
      <c r="E789" s="66"/>
      <c r="F789" s="65"/>
      <c r="G789" s="65"/>
      <c r="H789" s="65"/>
      <c r="I789" s="64"/>
      <c r="J789" s="64"/>
    </row>
    <row r="790" spans="1:10">
      <c r="A790" s="67"/>
      <c r="B790" s="66"/>
      <c r="C790" s="66"/>
      <c r="D790" s="66"/>
      <c r="E790" s="66"/>
      <c r="F790" s="65"/>
      <c r="G790" s="65"/>
      <c r="H790" s="65"/>
      <c r="I790" s="64"/>
      <c r="J790" s="64"/>
    </row>
    <row r="791" spans="1:10">
      <c r="A791" s="67"/>
      <c r="B791" s="66"/>
      <c r="C791" s="66"/>
      <c r="D791" s="66"/>
      <c r="E791" s="66"/>
      <c r="F791" s="65"/>
      <c r="G791" s="65"/>
      <c r="H791" s="65"/>
      <c r="I791" s="64"/>
      <c r="J791" s="64"/>
    </row>
    <row r="792" spans="1:10">
      <c r="A792" s="67"/>
      <c r="B792" s="66"/>
      <c r="C792" s="66"/>
      <c r="D792" s="66"/>
      <c r="E792" s="66"/>
      <c r="F792" s="65"/>
      <c r="G792" s="65"/>
      <c r="H792" s="65"/>
      <c r="I792" s="64"/>
      <c r="J792" s="64"/>
    </row>
    <row r="793" spans="1:10">
      <c r="A793" s="67"/>
      <c r="B793" s="66"/>
      <c r="C793" s="66"/>
      <c r="D793" s="66"/>
      <c r="E793" s="66"/>
      <c r="F793" s="65"/>
      <c r="G793" s="65"/>
      <c r="H793" s="65"/>
      <c r="I793" s="64"/>
      <c r="J793" s="64"/>
    </row>
    <row r="794" spans="1:10">
      <c r="A794" s="67"/>
      <c r="B794" s="66"/>
      <c r="C794" s="66"/>
      <c r="D794" s="66"/>
      <c r="E794" s="66"/>
      <c r="F794" s="65"/>
      <c r="G794" s="65"/>
      <c r="H794" s="65"/>
      <c r="I794" s="64"/>
      <c r="J794" s="64"/>
    </row>
    <row r="795" spans="1:10">
      <c r="A795" s="67"/>
      <c r="B795" s="66"/>
      <c r="C795" s="66"/>
      <c r="D795" s="66"/>
      <c r="E795" s="66"/>
      <c r="F795" s="65"/>
      <c r="G795" s="65"/>
      <c r="H795" s="65"/>
      <c r="I795" s="64"/>
      <c r="J795" s="64"/>
    </row>
    <row r="796" spans="1:10">
      <c r="A796" s="67"/>
      <c r="B796" s="66"/>
      <c r="C796" s="66"/>
      <c r="D796" s="66"/>
      <c r="E796" s="66"/>
      <c r="F796" s="65"/>
      <c r="G796" s="65"/>
      <c r="H796" s="65"/>
      <c r="I796" s="64"/>
      <c r="J796" s="64"/>
    </row>
    <row r="797" spans="1:10">
      <c r="A797" s="67"/>
      <c r="B797" s="66"/>
      <c r="C797" s="66"/>
      <c r="D797" s="66"/>
      <c r="E797" s="66"/>
      <c r="F797" s="65"/>
      <c r="G797" s="65"/>
      <c r="H797" s="65"/>
      <c r="I797" s="64"/>
      <c r="J797" s="64"/>
    </row>
    <row r="798" spans="1:10">
      <c r="A798" s="67"/>
      <c r="B798" s="66"/>
      <c r="C798" s="66"/>
      <c r="D798" s="66"/>
      <c r="E798" s="66"/>
      <c r="F798" s="65"/>
      <c r="G798" s="65"/>
      <c r="H798" s="65"/>
      <c r="I798" s="64"/>
      <c r="J798" s="64"/>
    </row>
    <row r="799" spans="1:10">
      <c r="A799" s="67"/>
      <c r="B799" s="66"/>
      <c r="C799" s="66"/>
      <c r="D799" s="66"/>
      <c r="E799" s="66"/>
      <c r="F799" s="65"/>
      <c r="G799" s="65"/>
      <c r="H799" s="65"/>
      <c r="I799" s="64"/>
      <c r="J799" s="64"/>
    </row>
    <row r="800" spans="1:10">
      <c r="A800" s="67"/>
      <c r="B800" s="66"/>
      <c r="C800" s="66"/>
      <c r="D800" s="66"/>
      <c r="E800" s="66"/>
      <c r="F800" s="65"/>
      <c r="G800" s="65"/>
      <c r="H800" s="65"/>
      <c r="I800" s="64"/>
      <c r="J800" s="64"/>
    </row>
    <row r="801" spans="1:10">
      <c r="A801" s="67"/>
      <c r="B801" s="66"/>
      <c r="C801" s="66"/>
      <c r="D801" s="66"/>
      <c r="E801" s="66"/>
      <c r="F801" s="65"/>
      <c r="G801" s="65"/>
      <c r="H801" s="65"/>
      <c r="I801" s="64"/>
      <c r="J801" s="64"/>
    </row>
    <row r="802" spans="1:10">
      <c r="A802" s="67"/>
      <c r="B802" s="66"/>
      <c r="C802" s="66"/>
      <c r="D802" s="66"/>
      <c r="E802" s="66"/>
      <c r="F802" s="65"/>
      <c r="G802" s="65"/>
      <c r="H802" s="65"/>
      <c r="I802" s="64"/>
      <c r="J802" s="64"/>
    </row>
    <row r="803" spans="1:10">
      <c r="A803" s="67"/>
      <c r="B803" s="66"/>
      <c r="C803" s="66"/>
      <c r="D803" s="66"/>
      <c r="E803" s="66"/>
      <c r="F803" s="65"/>
      <c r="G803" s="65"/>
      <c r="H803" s="65"/>
      <c r="I803" s="64"/>
      <c r="J803" s="64"/>
    </row>
    <row r="804" spans="1:10">
      <c r="A804" s="67"/>
      <c r="B804" s="66"/>
      <c r="C804" s="66"/>
      <c r="D804" s="66"/>
      <c r="E804" s="66"/>
      <c r="F804" s="65"/>
      <c r="G804" s="65"/>
      <c r="H804" s="65"/>
      <c r="I804" s="64"/>
      <c r="J804" s="64"/>
    </row>
    <row r="805" spans="1:10">
      <c r="A805" s="67"/>
      <c r="B805" s="66"/>
      <c r="C805" s="66"/>
      <c r="D805" s="66"/>
      <c r="E805" s="66"/>
      <c r="F805" s="65"/>
      <c r="G805" s="65"/>
      <c r="H805" s="65"/>
      <c r="I805" s="64"/>
      <c r="J805" s="64"/>
    </row>
    <row r="806" spans="1:10">
      <c r="A806" s="67"/>
      <c r="B806" s="66"/>
      <c r="C806" s="66"/>
      <c r="D806" s="66"/>
      <c r="E806" s="66"/>
      <c r="F806" s="65"/>
      <c r="G806" s="65"/>
      <c r="H806" s="65"/>
      <c r="I806" s="64"/>
      <c r="J806" s="64"/>
    </row>
    <row r="807" spans="1:10">
      <c r="A807" s="67"/>
      <c r="B807" s="66"/>
      <c r="C807" s="66"/>
      <c r="D807" s="66"/>
      <c r="E807" s="66"/>
      <c r="F807" s="65"/>
      <c r="G807" s="65"/>
      <c r="H807" s="65"/>
      <c r="I807" s="64"/>
      <c r="J807" s="64"/>
    </row>
    <row r="808" spans="1:10">
      <c r="A808" s="67"/>
      <c r="B808" s="66"/>
      <c r="C808" s="66"/>
      <c r="D808" s="66"/>
      <c r="E808" s="66"/>
      <c r="F808" s="65"/>
      <c r="G808" s="65"/>
      <c r="H808" s="65"/>
      <c r="I808" s="64"/>
      <c r="J808" s="64"/>
    </row>
    <row r="809" spans="1:10">
      <c r="A809" s="67"/>
      <c r="B809" s="66"/>
      <c r="C809" s="66"/>
      <c r="D809" s="66"/>
      <c r="E809" s="66"/>
      <c r="F809" s="65"/>
      <c r="G809" s="65"/>
      <c r="H809" s="65"/>
      <c r="I809" s="64"/>
      <c r="J809" s="64"/>
    </row>
    <row r="810" spans="1:10">
      <c r="A810" s="67"/>
      <c r="B810" s="66"/>
      <c r="C810" s="66"/>
      <c r="D810" s="66"/>
      <c r="E810" s="66"/>
      <c r="F810" s="65"/>
      <c r="G810" s="65"/>
      <c r="H810" s="65"/>
      <c r="I810" s="64"/>
      <c r="J810" s="64"/>
    </row>
    <row r="811" spans="1:10">
      <c r="A811" s="67"/>
      <c r="B811" s="66"/>
      <c r="C811" s="66"/>
      <c r="D811" s="66"/>
      <c r="E811" s="66"/>
      <c r="F811" s="65"/>
      <c r="G811" s="65"/>
      <c r="H811" s="65"/>
      <c r="I811" s="64"/>
      <c r="J811" s="64"/>
    </row>
    <row r="812" spans="1:10">
      <c r="A812" s="67"/>
      <c r="B812" s="66"/>
      <c r="C812" s="66"/>
      <c r="D812" s="66"/>
      <c r="E812" s="66"/>
      <c r="F812" s="65"/>
      <c r="G812" s="65"/>
      <c r="H812" s="65"/>
      <c r="I812" s="64"/>
      <c r="J812" s="64"/>
    </row>
    <row r="813" spans="1:10">
      <c r="A813" s="67"/>
      <c r="B813" s="66"/>
      <c r="C813" s="66"/>
      <c r="D813" s="66"/>
      <c r="E813" s="66"/>
      <c r="F813" s="65"/>
      <c r="G813" s="65"/>
      <c r="H813" s="65"/>
      <c r="I813" s="64"/>
      <c r="J813" s="64"/>
    </row>
    <row r="814" spans="1:10">
      <c r="A814" s="67"/>
      <c r="B814" s="66"/>
      <c r="C814" s="66"/>
      <c r="D814" s="66"/>
      <c r="E814" s="66"/>
      <c r="F814" s="65"/>
      <c r="G814" s="65"/>
      <c r="H814" s="65"/>
      <c r="I814" s="64"/>
      <c r="J814" s="64"/>
    </row>
    <row r="815" spans="1:10">
      <c r="A815" s="67"/>
      <c r="B815" s="66"/>
      <c r="C815" s="66"/>
      <c r="D815" s="66"/>
      <c r="E815" s="66"/>
      <c r="F815" s="65"/>
      <c r="G815" s="65"/>
      <c r="H815" s="65"/>
      <c r="I815" s="64"/>
      <c r="J815" s="64"/>
    </row>
    <row r="816" spans="1:10">
      <c r="A816" s="67"/>
      <c r="B816" s="66"/>
      <c r="C816" s="66"/>
      <c r="D816" s="66"/>
      <c r="E816" s="66"/>
      <c r="F816" s="65"/>
      <c r="G816" s="65"/>
      <c r="H816" s="65"/>
      <c r="I816" s="64"/>
      <c r="J816" s="64"/>
    </row>
    <row r="817" spans="1:10">
      <c r="A817" s="67"/>
      <c r="B817" s="66"/>
      <c r="C817" s="66"/>
      <c r="D817" s="66"/>
      <c r="E817" s="66"/>
      <c r="F817" s="65"/>
      <c r="G817" s="65"/>
      <c r="H817" s="65"/>
      <c r="I817" s="64"/>
      <c r="J817" s="64"/>
    </row>
    <row r="818" spans="1:10">
      <c r="A818" s="67"/>
      <c r="B818" s="66"/>
      <c r="C818" s="66"/>
      <c r="D818" s="66"/>
      <c r="E818" s="66"/>
      <c r="F818" s="65"/>
      <c r="G818" s="65"/>
      <c r="H818" s="65"/>
      <c r="I818" s="64"/>
      <c r="J818" s="64"/>
    </row>
    <row r="819" spans="1:10">
      <c r="A819" s="67"/>
      <c r="B819" s="66"/>
      <c r="C819" s="66"/>
      <c r="D819" s="66"/>
      <c r="E819" s="66"/>
      <c r="F819" s="65"/>
      <c r="G819" s="65"/>
      <c r="H819" s="65"/>
      <c r="I819" s="64"/>
      <c r="J819" s="64"/>
    </row>
    <row r="820" spans="1:10">
      <c r="A820" s="67"/>
      <c r="B820" s="66"/>
      <c r="C820" s="66"/>
      <c r="D820" s="66"/>
      <c r="E820" s="66"/>
      <c r="F820" s="65"/>
      <c r="G820" s="65"/>
      <c r="H820" s="65"/>
      <c r="I820" s="64"/>
      <c r="J820" s="64"/>
    </row>
    <row r="821" spans="1:10">
      <c r="A821" s="67"/>
      <c r="B821" s="66"/>
      <c r="C821" s="66"/>
      <c r="D821" s="66"/>
      <c r="E821" s="66"/>
      <c r="F821" s="65"/>
      <c r="G821" s="65"/>
      <c r="H821" s="65"/>
      <c r="I821" s="64"/>
      <c r="J821" s="64"/>
    </row>
    <row r="822" spans="1:10">
      <c r="A822" s="67"/>
      <c r="B822" s="66"/>
      <c r="C822" s="66"/>
      <c r="D822" s="66"/>
      <c r="E822" s="66"/>
      <c r="F822" s="65"/>
      <c r="G822" s="65"/>
      <c r="H822" s="65"/>
      <c r="I822" s="64"/>
      <c r="J822" s="64"/>
    </row>
    <row r="823" spans="1:10">
      <c r="A823" s="67"/>
      <c r="B823" s="66"/>
      <c r="C823" s="66"/>
      <c r="D823" s="66"/>
      <c r="E823" s="66"/>
      <c r="F823" s="65"/>
      <c r="G823" s="65"/>
      <c r="H823" s="65"/>
      <c r="I823" s="64"/>
      <c r="J823" s="64"/>
    </row>
    <row r="824" spans="1:10">
      <c r="A824" s="67"/>
      <c r="B824" s="66"/>
      <c r="C824" s="66"/>
      <c r="D824" s="66"/>
      <c r="E824" s="66"/>
      <c r="F824" s="65"/>
      <c r="G824" s="65"/>
      <c r="H824" s="65"/>
      <c r="I824" s="64"/>
      <c r="J824" s="64"/>
    </row>
    <row r="825" spans="1:10">
      <c r="A825" s="67"/>
      <c r="B825" s="66"/>
      <c r="C825" s="66"/>
      <c r="D825" s="66"/>
      <c r="E825" s="66"/>
      <c r="F825" s="65"/>
      <c r="G825" s="65"/>
      <c r="H825" s="65"/>
      <c r="I825" s="64"/>
      <c r="J825" s="64"/>
    </row>
    <row r="826" spans="1:10">
      <c r="A826" s="67"/>
      <c r="B826" s="66"/>
      <c r="C826" s="66"/>
      <c r="D826" s="66"/>
      <c r="E826" s="66"/>
      <c r="F826" s="65"/>
      <c r="G826" s="65"/>
      <c r="H826" s="65"/>
      <c r="I826" s="64"/>
      <c r="J826" s="64"/>
    </row>
    <row r="827" spans="1:10">
      <c r="A827" s="67"/>
      <c r="B827" s="66"/>
      <c r="C827" s="66"/>
      <c r="D827" s="66"/>
      <c r="E827" s="66"/>
      <c r="F827" s="65"/>
      <c r="G827" s="65"/>
      <c r="H827" s="65"/>
      <c r="I827" s="64"/>
      <c r="J827" s="64"/>
    </row>
    <row r="828" spans="1:10">
      <c r="A828" s="67"/>
      <c r="B828" s="66"/>
      <c r="C828" s="66"/>
      <c r="D828" s="66"/>
      <c r="E828" s="66"/>
      <c r="F828" s="65"/>
      <c r="G828" s="65"/>
      <c r="H828" s="65"/>
      <c r="I828" s="64"/>
      <c r="J828" s="64"/>
    </row>
    <row r="829" spans="1:10">
      <c r="A829" s="67"/>
      <c r="B829" s="66"/>
      <c r="C829" s="66"/>
      <c r="D829" s="66"/>
      <c r="E829" s="66"/>
      <c r="F829" s="65"/>
      <c r="G829" s="65"/>
      <c r="H829" s="65"/>
      <c r="I829" s="64"/>
      <c r="J829" s="64"/>
    </row>
    <row r="830" spans="1:10">
      <c r="A830" s="67"/>
      <c r="B830" s="66"/>
      <c r="C830" s="66"/>
      <c r="D830" s="66"/>
      <c r="E830" s="66"/>
      <c r="F830" s="65"/>
      <c r="G830" s="65"/>
      <c r="H830" s="65"/>
      <c r="I830" s="64"/>
      <c r="J830" s="64"/>
    </row>
    <row r="831" spans="1:10">
      <c r="A831" s="67"/>
      <c r="B831" s="66"/>
      <c r="C831" s="66"/>
      <c r="D831" s="66"/>
      <c r="E831" s="66"/>
      <c r="F831" s="65"/>
      <c r="G831" s="65"/>
      <c r="H831" s="65"/>
      <c r="I831" s="64"/>
      <c r="J831" s="64"/>
    </row>
    <row r="832" spans="1:10">
      <c r="A832" s="67"/>
      <c r="B832" s="66"/>
      <c r="C832" s="66"/>
      <c r="D832" s="66"/>
      <c r="E832" s="66"/>
      <c r="F832" s="65"/>
      <c r="G832" s="65"/>
      <c r="H832" s="65"/>
      <c r="I832" s="64"/>
      <c r="J832" s="64"/>
    </row>
    <row r="833" spans="1:10">
      <c r="A833" s="67"/>
      <c r="B833" s="66"/>
      <c r="C833" s="66"/>
      <c r="D833" s="66"/>
      <c r="E833" s="66"/>
      <c r="F833" s="65"/>
      <c r="G833" s="65"/>
      <c r="H833" s="65"/>
      <c r="I833" s="64"/>
      <c r="J833" s="64"/>
    </row>
    <row r="834" spans="1:10">
      <c r="A834" s="67"/>
      <c r="B834" s="66"/>
      <c r="C834" s="66"/>
      <c r="D834" s="66"/>
      <c r="E834" s="66"/>
      <c r="F834" s="65"/>
      <c r="G834" s="65"/>
      <c r="H834" s="65"/>
      <c r="I834" s="64"/>
      <c r="J834" s="64"/>
    </row>
    <row r="835" spans="1:10">
      <c r="A835" s="67"/>
      <c r="B835" s="66"/>
      <c r="C835" s="66"/>
      <c r="D835" s="66"/>
      <c r="E835" s="66"/>
      <c r="F835" s="65"/>
      <c r="G835" s="65"/>
      <c r="H835" s="65"/>
      <c r="I835" s="64"/>
      <c r="J835" s="64"/>
    </row>
    <row r="836" spans="1:10">
      <c r="A836" s="67"/>
      <c r="B836" s="66"/>
      <c r="C836" s="66"/>
      <c r="D836" s="66"/>
      <c r="E836" s="66"/>
      <c r="F836" s="65"/>
      <c r="G836" s="65"/>
      <c r="H836" s="65"/>
      <c r="I836" s="64"/>
      <c r="J836" s="64"/>
    </row>
    <row r="837" spans="1:10">
      <c r="A837" s="67"/>
      <c r="B837" s="66"/>
      <c r="C837" s="66"/>
      <c r="D837" s="66"/>
      <c r="E837" s="66"/>
      <c r="F837" s="65"/>
      <c r="G837" s="65"/>
      <c r="H837" s="65"/>
      <c r="I837" s="64"/>
      <c r="J837" s="64"/>
    </row>
    <row r="838" spans="1:10">
      <c r="A838" s="67"/>
      <c r="B838" s="66"/>
      <c r="C838" s="66"/>
      <c r="D838" s="66"/>
      <c r="E838" s="66"/>
      <c r="F838" s="65"/>
      <c r="G838" s="65"/>
      <c r="H838" s="65"/>
      <c r="I838" s="64"/>
      <c r="J838" s="64"/>
    </row>
    <row r="839" spans="1:10">
      <c r="A839" s="67"/>
      <c r="B839" s="66"/>
      <c r="C839" s="66"/>
      <c r="D839" s="66"/>
      <c r="E839" s="66"/>
      <c r="F839" s="65"/>
      <c r="G839" s="65"/>
      <c r="H839" s="65"/>
      <c r="I839" s="64"/>
      <c r="J839" s="64"/>
    </row>
    <row r="840" spans="1:10">
      <c r="A840" s="67"/>
      <c r="B840" s="66"/>
      <c r="C840" s="66"/>
      <c r="D840" s="66"/>
      <c r="E840" s="66"/>
      <c r="F840" s="65"/>
      <c r="G840" s="65"/>
      <c r="H840" s="65"/>
      <c r="I840" s="64"/>
      <c r="J840" s="64"/>
    </row>
    <row r="841" spans="1:10">
      <c r="A841" s="67"/>
      <c r="B841" s="66"/>
      <c r="C841" s="66"/>
      <c r="D841" s="66"/>
      <c r="E841" s="66"/>
      <c r="F841" s="65"/>
      <c r="G841" s="65"/>
      <c r="H841" s="65"/>
      <c r="I841" s="64"/>
      <c r="J841" s="64"/>
    </row>
    <row r="842" spans="1:10">
      <c r="A842" s="67"/>
      <c r="B842" s="66"/>
      <c r="C842" s="66"/>
      <c r="D842" s="66"/>
      <c r="E842" s="66"/>
      <c r="F842" s="65"/>
      <c r="G842" s="65"/>
      <c r="H842" s="65"/>
      <c r="I842" s="64"/>
      <c r="J842" s="64"/>
    </row>
    <row r="843" spans="1:10">
      <c r="A843" s="67"/>
      <c r="B843" s="66"/>
      <c r="C843" s="66"/>
      <c r="D843" s="66"/>
      <c r="E843" s="66"/>
      <c r="F843" s="65"/>
      <c r="G843" s="65"/>
      <c r="H843" s="65"/>
      <c r="I843" s="64"/>
      <c r="J843" s="64"/>
    </row>
    <row r="844" spans="1:10">
      <c r="A844" s="67"/>
      <c r="B844" s="66"/>
      <c r="C844" s="66"/>
      <c r="D844" s="66"/>
      <c r="E844" s="66"/>
      <c r="F844" s="65"/>
      <c r="G844" s="65"/>
      <c r="H844" s="65"/>
      <c r="I844" s="64"/>
      <c r="J844" s="64"/>
    </row>
    <row r="845" spans="1:10">
      <c r="A845" s="67"/>
      <c r="B845" s="66"/>
      <c r="C845" s="66"/>
      <c r="D845" s="66"/>
      <c r="E845" s="66"/>
      <c r="F845" s="65"/>
      <c r="G845" s="65"/>
      <c r="H845" s="65"/>
      <c r="I845" s="64"/>
      <c r="J845" s="64"/>
    </row>
    <row r="846" spans="1:10">
      <c r="A846" s="67"/>
      <c r="B846" s="66"/>
      <c r="C846" s="66"/>
      <c r="D846" s="66"/>
      <c r="E846" s="66"/>
      <c r="F846" s="65"/>
      <c r="G846" s="65"/>
      <c r="H846" s="65"/>
      <c r="I846" s="64"/>
      <c r="J846" s="64"/>
    </row>
    <row r="847" spans="1:10">
      <c r="A847" s="67"/>
      <c r="B847" s="66"/>
      <c r="C847" s="66"/>
      <c r="D847" s="66"/>
      <c r="E847" s="66"/>
      <c r="F847" s="65"/>
      <c r="G847" s="65"/>
      <c r="H847" s="65"/>
      <c r="I847" s="64"/>
      <c r="J847" s="64"/>
    </row>
    <row r="848" spans="1:10">
      <c r="A848" s="67"/>
      <c r="B848" s="66"/>
      <c r="C848" s="66"/>
      <c r="D848" s="66"/>
      <c r="E848" s="66"/>
      <c r="F848" s="65"/>
      <c r="G848" s="65"/>
      <c r="H848" s="65"/>
      <c r="I848" s="64"/>
      <c r="J848" s="64"/>
    </row>
    <row r="849" spans="1:10">
      <c r="A849" s="67"/>
      <c r="B849" s="66"/>
      <c r="C849" s="66"/>
      <c r="D849" s="66"/>
      <c r="E849" s="66"/>
      <c r="F849" s="65"/>
      <c r="G849" s="65"/>
      <c r="H849" s="65"/>
      <c r="I849" s="64"/>
      <c r="J849" s="64"/>
    </row>
    <row r="850" spans="1:10">
      <c r="A850" s="67"/>
      <c r="B850" s="66"/>
      <c r="C850" s="66"/>
      <c r="D850" s="66"/>
      <c r="E850" s="66"/>
      <c r="F850" s="65"/>
      <c r="G850" s="65"/>
      <c r="H850" s="65"/>
      <c r="I850" s="64"/>
      <c r="J850" s="64"/>
    </row>
    <row r="851" spans="1:10">
      <c r="A851" s="67"/>
      <c r="B851" s="66"/>
      <c r="C851" s="66"/>
      <c r="D851" s="66"/>
      <c r="E851" s="66"/>
      <c r="F851" s="65"/>
      <c r="G851" s="65"/>
      <c r="H851" s="65"/>
      <c r="I851" s="64"/>
      <c r="J851" s="64"/>
    </row>
    <row r="852" spans="1:10">
      <c r="A852" s="67"/>
      <c r="B852" s="66"/>
      <c r="C852" s="66"/>
      <c r="D852" s="66"/>
      <c r="E852" s="66"/>
      <c r="F852" s="65"/>
      <c r="G852" s="65"/>
      <c r="H852" s="65"/>
      <c r="I852" s="64"/>
      <c r="J852" s="64"/>
    </row>
    <row r="853" spans="1:10">
      <c r="A853" s="67"/>
      <c r="B853" s="66"/>
      <c r="C853" s="66"/>
      <c r="D853" s="66"/>
      <c r="E853" s="66"/>
      <c r="F853" s="65"/>
      <c r="G853" s="65"/>
      <c r="H853" s="65"/>
      <c r="I853" s="64"/>
      <c r="J853" s="64"/>
    </row>
    <row r="854" spans="1:10">
      <c r="A854" s="67"/>
      <c r="B854" s="66"/>
      <c r="C854" s="66"/>
      <c r="D854" s="66"/>
      <c r="E854" s="66"/>
      <c r="F854" s="65"/>
      <c r="G854" s="65"/>
      <c r="H854" s="65"/>
      <c r="I854" s="64"/>
      <c r="J854" s="64"/>
    </row>
    <row r="855" spans="1:10">
      <c r="A855" s="67"/>
      <c r="B855" s="66"/>
      <c r="C855" s="66"/>
      <c r="D855" s="66"/>
      <c r="E855" s="66"/>
      <c r="F855" s="65"/>
      <c r="G855" s="65"/>
      <c r="H855" s="65"/>
      <c r="I855" s="64"/>
      <c r="J855" s="64"/>
    </row>
    <row r="856" spans="1:10">
      <c r="A856" s="67"/>
      <c r="B856" s="66"/>
      <c r="C856" s="66"/>
      <c r="D856" s="66"/>
      <c r="E856" s="66"/>
      <c r="F856" s="65"/>
      <c r="G856" s="65"/>
      <c r="H856" s="65"/>
      <c r="I856" s="64"/>
      <c r="J856" s="64"/>
    </row>
    <row r="857" spans="1:10">
      <c r="A857" s="67"/>
      <c r="B857" s="66"/>
      <c r="C857" s="66"/>
      <c r="D857" s="66"/>
      <c r="E857" s="66"/>
      <c r="F857" s="65"/>
      <c r="G857" s="65"/>
      <c r="H857" s="65"/>
      <c r="I857" s="64"/>
      <c r="J857" s="64"/>
    </row>
    <row r="858" spans="1:10">
      <c r="A858" s="67"/>
      <c r="B858" s="66"/>
      <c r="C858" s="66"/>
      <c r="D858" s="66"/>
      <c r="E858" s="66"/>
      <c r="F858" s="65"/>
      <c r="G858" s="65"/>
      <c r="H858" s="65"/>
      <c r="I858" s="64"/>
      <c r="J858" s="64"/>
    </row>
    <row r="859" spans="1:10">
      <c r="A859" s="67"/>
      <c r="B859" s="66"/>
      <c r="C859" s="66"/>
      <c r="D859" s="66"/>
      <c r="E859" s="66"/>
      <c r="F859" s="65"/>
      <c r="G859" s="65"/>
      <c r="H859" s="65"/>
      <c r="I859" s="64"/>
      <c r="J859" s="64"/>
    </row>
    <row r="860" spans="1:10">
      <c r="A860" s="67"/>
      <c r="B860" s="66"/>
      <c r="C860" s="66"/>
      <c r="D860" s="66"/>
      <c r="E860" s="66"/>
      <c r="F860" s="65"/>
      <c r="G860" s="65"/>
      <c r="H860" s="65"/>
      <c r="I860" s="64"/>
      <c r="J860" s="64"/>
    </row>
    <row r="861" spans="1:10">
      <c r="A861" s="67"/>
      <c r="B861" s="66"/>
      <c r="C861" s="66"/>
      <c r="D861" s="66"/>
      <c r="E861" s="66"/>
      <c r="F861" s="65"/>
      <c r="G861" s="65"/>
      <c r="H861" s="65"/>
      <c r="I861" s="64"/>
      <c r="J861" s="64"/>
    </row>
    <row r="862" spans="1:10">
      <c r="A862" s="67"/>
      <c r="B862" s="66"/>
      <c r="C862" s="66"/>
      <c r="D862" s="66"/>
      <c r="E862" s="66"/>
      <c r="F862" s="65"/>
      <c r="G862" s="65"/>
      <c r="H862" s="65"/>
      <c r="I862" s="64"/>
      <c r="J862" s="64"/>
    </row>
    <row r="863" spans="1:10">
      <c r="A863" s="67"/>
      <c r="B863" s="66"/>
      <c r="C863" s="66"/>
      <c r="D863" s="66"/>
      <c r="E863" s="66"/>
      <c r="F863" s="65"/>
      <c r="G863" s="65"/>
      <c r="H863" s="65"/>
      <c r="I863" s="64"/>
      <c r="J863" s="64"/>
    </row>
    <row r="864" spans="1:10">
      <c r="A864" s="67"/>
      <c r="B864" s="66"/>
      <c r="C864" s="66"/>
      <c r="D864" s="66"/>
      <c r="E864" s="66"/>
      <c r="F864" s="65"/>
      <c r="G864" s="65"/>
      <c r="H864" s="65"/>
      <c r="I864" s="64"/>
      <c r="J864" s="64"/>
    </row>
    <row r="865" spans="1:10">
      <c r="A865" s="67"/>
      <c r="B865" s="66"/>
      <c r="C865" s="66"/>
      <c r="D865" s="66"/>
      <c r="E865" s="66"/>
      <c r="F865" s="65"/>
      <c r="G865" s="65"/>
      <c r="H865" s="65"/>
      <c r="I865" s="64"/>
      <c r="J865" s="64"/>
    </row>
    <row r="866" spans="1:10">
      <c r="A866" s="67"/>
      <c r="B866" s="66"/>
      <c r="C866" s="66"/>
      <c r="D866" s="66"/>
      <c r="E866" s="66"/>
      <c r="F866" s="65"/>
      <c r="G866" s="65"/>
      <c r="H866" s="65"/>
      <c r="I866" s="64"/>
      <c r="J866" s="64"/>
    </row>
    <row r="867" spans="1:10">
      <c r="A867" s="67"/>
      <c r="B867" s="66"/>
      <c r="C867" s="66"/>
      <c r="D867" s="66"/>
      <c r="E867" s="66"/>
      <c r="F867" s="65"/>
      <c r="G867" s="65"/>
      <c r="H867" s="65"/>
      <c r="I867" s="64"/>
      <c r="J867" s="64"/>
    </row>
    <row r="868" spans="1:10">
      <c r="A868" s="67"/>
      <c r="B868" s="66"/>
      <c r="C868" s="66"/>
      <c r="D868" s="66"/>
      <c r="E868" s="66"/>
      <c r="F868" s="65"/>
      <c r="G868" s="65"/>
      <c r="H868" s="65"/>
      <c r="I868" s="64"/>
      <c r="J868" s="64"/>
    </row>
    <row r="869" spans="1:10">
      <c r="A869" s="67"/>
      <c r="B869" s="66"/>
      <c r="C869" s="66"/>
      <c r="D869" s="66"/>
      <c r="E869" s="66"/>
      <c r="F869" s="65"/>
      <c r="G869" s="65"/>
      <c r="H869" s="65"/>
      <c r="I869" s="64"/>
      <c r="J869" s="64"/>
    </row>
    <row r="870" spans="1:10">
      <c r="A870" s="67"/>
      <c r="B870" s="66"/>
      <c r="C870" s="66"/>
      <c r="D870" s="66"/>
      <c r="E870" s="66"/>
      <c r="F870" s="65"/>
      <c r="G870" s="65"/>
      <c r="H870" s="65"/>
      <c r="I870" s="64"/>
      <c r="J870" s="64"/>
    </row>
    <row r="871" spans="1:10">
      <c r="A871" s="67"/>
      <c r="B871" s="66"/>
      <c r="C871" s="66"/>
      <c r="D871" s="66"/>
      <c r="E871" s="66"/>
      <c r="F871" s="65"/>
      <c r="G871" s="65"/>
      <c r="H871" s="65"/>
      <c r="I871" s="64"/>
      <c r="J871" s="64"/>
    </row>
    <row r="872" spans="1:10">
      <c r="A872" s="67"/>
      <c r="B872" s="66"/>
      <c r="C872" s="66"/>
      <c r="D872" s="66"/>
      <c r="E872" s="66"/>
      <c r="F872" s="65"/>
      <c r="G872" s="65"/>
      <c r="H872" s="65"/>
      <c r="I872" s="64"/>
      <c r="J872" s="64"/>
    </row>
    <row r="873" spans="1:10">
      <c r="A873" s="67"/>
      <c r="B873" s="66"/>
      <c r="C873" s="66"/>
      <c r="D873" s="66"/>
      <c r="E873" s="66"/>
      <c r="F873" s="65"/>
      <c r="G873" s="65"/>
      <c r="H873" s="65"/>
      <c r="I873" s="64"/>
      <c r="J873" s="64"/>
    </row>
    <row r="874" spans="1:10">
      <c r="A874" s="67"/>
      <c r="B874" s="66"/>
      <c r="C874" s="66"/>
      <c r="D874" s="66"/>
      <c r="E874" s="66"/>
      <c r="F874" s="65"/>
      <c r="G874" s="65"/>
      <c r="H874" s="65"/>
      <c r="I874" s="64"/>
      <c r="J874" s="64"/>
    </row>
    <row r="875" spans="1:10">
      <c r="A875" s="67"/>
      <c r="B875" s="66"/>
      <c r="C875" s="66"/>
      <c r="D875" s="66"/>
      <c r="E875" s="66"/>
      <c r="F875" s="65"/>
      <c r="G875" s="65"/>
      <c r="H875" s="65"/>
      <c r="I875" s="64"/>
      <c r="J875" s="64"/>
    </row>
    <row r="876" spans="1:10">
      <c r="A876" s="67"/>
      <c r="B876" s="66"/>
      <c r="C876" s="66"/>
      <c r="D876" s="66"/>
      <c r="E876" s="66"/>
      <c r="F876" s="65"/>
      <c r="G876" s="65"/>
      <c r="H876" s="65"/>
      <c r="I876" s="64"/>
      <c r="J876" s="64"/>
    </row>
    <row r="877" spans="1:10">
      <c r="A877" s="67"/>
      <c r="B877" s="66"/>
      <c r="C877" s="66"/>
      <c r="D877" s="66"/>
      <c r="E877" s="66"/>
      <c r="F877" s="65"/>
      <c r="G877" s="65"/>
      <c r="H877" s="65"/>
      <c r="I877" s="64"/>
      <c r="J877" s="64"/>
    </row>
    <row r="878" spans="1:10">
      <c r="A878" s="67"/>
      <c r="B878" s="66"/>
      <c r="C878" s="66"/>
      <c r="D878" s="66"/>
      <c r="E878" s="66"/>
      <c r="F878" s="65"/>
      <c r="G878" s="65"/>
      <c r="H878" s="65"/>
      <c r="I878" s="64"/>
      <c r="J878" s="64"/>
    </row>
    <row r="879" spans="1:10">
      <c r="A879" s="67"/>
      <c r="B879" s="66"/>
      <c r="C879" s="66"/>
      <c r="D879" s="66"/>
      <c r="E879" s="66"/>
      <c r="F879" s="65"/>
      <c r="G879" s="65"/>
      <c r="H879" s="65"/>
      <c r="I879" s="64"/>
      <c r="J879" s="64"/>
    </row>
    <row r="880" spans="1:10">
      <c r="A880" s="67"/>
      <c r="B880" s="66"/>
      <c r="C880" s="66"/>
      <c r="D880" s="66"/>
      <c r="E880" s="66"/>
      <c r="F880" s="65"/>
      <c r="G880" s="65"/>
      <c r="H880" s="65"/>
      <c r="I880" s="64"/>
      <c r="J880" s="64"/>
    </row>
    <row r="881" spans="1:10">
      <c r="A881" s="67"/>
      <c r="B881" s="66"/>
      <c r="C881" s="66"/>
      <c r="D881" s="66"/>
      <c r="E881" s="66"/>
      <c r="F881" s="65"/>
      <c r="G881" s="65"/>
      <c r="H881" s="65"/>
      <c r="I881" s="64"/>
      <c r="J881" s="64"/>
    </row>
    <row r="882" spans="1:10">
      <c r="A882" s="67"/>
      <c r="B882" s="66"/>
      <c r="C882" s="66"/>
      <c r="D882" s="66"/>
      <c r="E882" s="66"/>
      <c r="F882" s="65"/>
      <c r="G882" s="65"/>
      <c r="H882" s="65"/>
      <c r="I882" s="64"/>
      <c r="J882" s="64"/>
    </row>
    <row r="883" spans="1:10">
      <c r="A883" s="67"/>
      <c r="B883" s="66"/>
      <c r="C883" s="66"/>
      <c r="D883" s="66"/>
      <c r="E883" s="66"/>
      <c r="F883" s="65"/>
      <c r="G883" s="65"/>
      <c r="H883" s="65"/>
      <c r="I883" s="64"/>
      <c r="J883" s="64"/>
    </row>
    <row r="884" spans="1:10">
      <c r="A884" s="67"/>
      <c r="B884" s="66"/>
      <c r="C884" s="66"/>
      <c r="D884" s="66"/>
      <c r="E884" s="66"/>
      <c r="F884" s="65"/>
      <c r="G884" s="65"/>
      <c r="H884" s="65"/>
      <c r="I884" s="64"/>
      <c r="J884" s="64"/>
    </row>
    <row r="885" spans="1:10">
      <c r="A885" s="67"/>
      <c r="B885" s="66"/>
      <c r="C885" s="66"/>
      <c r="D885" s="66"/>
      <c r="E885" s="66"/>
      <c r="F885" s="65"/>
      <c r="G885" s="65"/>
      <c r="H885" s="65"/>
      <c r="I885" s="64"/>
      <c r="J885" s="64"/>
    </row>
    <row r="886" spans="1:10">
      <c r="A886" s="67"/>
      <c r="B886" s="66"/>
      <c r="C886" s="66"/>
      <c r="D886" s="66"/>
      <c r="E886" s="66"/>
      <c r="F886" s="65"/>
      <c r="G886" s="65"/>
      <c r="H886" s="65"/>
      <c r="I886" s="64"/>
      <c r="J886" s="64"/>
    </row>
    <row r="887" spans="1:10">
      <c r="A887" s="67"/>
      <c r="B887" s="66"/>
      <c r="C887" s="66"/>
      <c r="D887" s="66"/>
      <c r="E887" s="66"/>
      <c r="F887" s="65"/>
      <c r="G887" s="65"/>
      <c r="H887" s="65"/>
      <c r="I887" s="64"/>
      <c r="J887" s="64"/>
    </row>
    <row r="888" spans="1:10">
      <c r="A888" s="67"/>
      <c r="B888" s="66"/>
      <c r="C888" s="66"/>
      <c r="D888" s="66"/>
      <c r="E888" s="66"/>
      <c r="F888" s="65"/>
      <c r="G888" s="65"/>
      <c r="H888" s="65"/>
      <c r="I888" s="64"/>
      <c r="J888" s="64"/>
    </row>
    <row r="889" spans="1:10">
      <c r="A889" s="67"/>
      <c r="B889" s="66"/>
      <c r="C889" s="66"/>
      <c r="D889" s="66"/>
      <c r="E889" s="66"/>
      <c r="F889" s="65"/>
      <c r="G889" s="65"/>
      <c r="H889" s="65"/>
      <c r="I889" s="64"/>
      <c r="J889" s="64"/>
    </row>
    <row r="890" spans="1:10">
      <c r="A890" s="67"/>
      <c r="B890" s="66"/>
      <c r="C890" s="66"/>
      <c r="D890" s="66"/>
      <c r="E890" s="66"/>
      <c r="F890" s="65"/>
      <c r="G890" s="65"/>
      <c r="H890" s="65"/>
      <c r="I890" s="64"/>
      <c r="J890" s="64"/>
    </row>
    <row r="891" spans="1:10">
      <c r="A891" s="67"/>
      <c r="B891" s="66"/>
      <c r="C891" s="66"/>
      <c r="D891" s="66"/>
      <c r="E891" s="66"/>
      <c r="F891" s="65"/>
      <c r="G891" s="65"/>
      <c r="H891" s="65"/>
      <c r="I891" s="64"/>
      <c r="J891" s="64"/>
    </row>
    <row r="892" spans="1:10">
      <c r="A892" s="67"/>
      <c r="B892" s="66"/>
      <c r="C892" s="66"/>
      <c r="D892" s="66"/>
      <c r="E892" s="66"/>
      <c r="F892" s="65"/>
      <c r="G892" s="65"/>
      <c r="H892" s="65"/>
      <c r="I892" s="64"/>
      <c r="J892" s="64"/>
    </row>
    <row r="893" spans="1:10">
      <c r="A893" s="67"/>
      <c r="B893" s="66"/>
      <c r="C893" s="66"/>
      <c r="D893" s="66"/>
      <c r="E893" s="66"/>
      <c r="F893" s="65"/>
      <c r="G893" s="65"/>
      <c r="H893" s="65"/>
      <c r="I893" s="64"/>
      <c r="J893" s="64"/>
    </row>
    <row r="894" spans="1:10">
      <c r="A894" s="67"/>
      <c r="B894" s="66"/>
      <c r="C894" s="66"/>
      <c r="D894" s="66"/>
      <c r="E894" s="66"/>
      <c r="F894" s="65"/>
      <c r="G894" s="65"/>
      <c r="H894" s="65"/>
      <c r="I894" s="64"/>
      <c r="J894" s="64"/>
    </row>
    <row r="895" spans="1:10">
      <c r="A895" s="67"/>
      <c r="B895" s="66"/>
      <c r="C895" s="66"/>
      <c r="D895" s="66"/>
      <c r="E895" s="66"/>
      <c r="F895" s="65"/>
      <c r="G895" s="65"/>
      <c r="H895" s="65"/>
      <c r="I895" s="64"/>
      <c r="J895" s="64"/>
    </row>
    <row r="896" spans="1:10">
      <c r="A896" s="67"/>
      <c r="B896" s="66"/>
      <c r="C896" s="66"/>
      <c r="D896" s="66"/>
      <c r="E896" s="66"/>
      <c r="F896" s="65"/>
      <c r="G896" s="65"/>
      <c r="H896" s="65"/>
      <c r="I896" s="64"/>
      <c r="J896" s="64"/>
    </row>
    <row r="897" spans="1:10">
      <c r="A897" s="67"/>
      <c r="B897" s="66"/>
      <c r="C897" s="66"/>
      <c r="D897" s="66"/>
      <c r="E897" s="66"/>
      <c r="F897" s="65"/>
      <c r="G897" s="65"/>
      <c r="H897" s="65"/>
      <c r="I897" s="64"/>
      <c r="J897" s="64"/>
    </row>
    <row r="898" spans="1:10">
      <c r="A898" s="67"/>
      <c r="B898" s="66"/>
      <c r="C898" s="66"/>
      <c r="D898" s="66"/>
      <c r="E898" s="66"/>
      <c r="F898" s="65"/>
      <c r="G898" s="65"/>
      <c r="H898" s="65"/>
      <c r="I898" s="64"/>
      <c r="J898" s="64"/>
    </row>
    <row r="899" spans="1:10">
      <c r="A899" s="67"/>
      <c r="B899" s="66"/>
      <c r="C899" s="66"/>
      <c r="D899" s="66"/>
      <c r="E899" s="66"/>
      <c r="F899" s="65"/>
      <c r="G899" s="65"/>
      <c r="H899" s="65"/>
      <c r="I899" s="64"/>
      <c r="J899" s="64"/>
    </row>
    <row r="900" spans="1:10">
      <c r="A900" s="67"/>
      <c r="B900" s="66"/>
      <c r="C900" s="66"/>
      <c r="D900" s="66"/>
      <c r="E900" s="66"/>
      <c r="F900" s="65"/>
      <c r="G900" s="65"/>
      <c r="H900" s="65"/>
      <c r="I900" s="64"/>
      <c r="J900" s="64"/>
    </row>
    <row r="901" spans="1:10">
      <c r="A901" s="67"/>
      <c r="B901" s="66"/>
      <c r="C901" s="66"/>
      <c r="D901" s="66"/>
      <c r="E901" s="66"/>
      <c r="F901" s="65"/>
      <c r="G901" s="65"/>
      <c r="H901" s="65"/>
      <c r="I901" s="64"/>
      <c r="J901" s="64"/>
    </row>
    <row r="902" spans="1:10">
      <c r="A902" s="67"/>
      <c r="B902" s="66"/>
      <c r="C902" s="66"/>
      <c r="D902" s="66"/>
      <c r="E902" s="66"/>
      <c r="F902" s="65"/>
      <c r="G902" s="65"/>
      <c r="H902" s="65"/>
      <c r="I902" s="64"/>
      <c r="J902" s="64"/>
    </row>
    <row r="903" spans="1:10">
      <c r="A903" s="67"/>
      <c r="B903" s="66"/>
      <c r="C903" s="66"/>
      <c r="D903" s="66"/>
      <c r="E903" s="66"/>
      <c r="F903" s="65"/>
      <c r="G903" s="65"/>
      <c r="H903" s="65"/>
      <c r="I903" s="64"/>
      <c r="J903" s="64"/>
    </row>
    <row r="904" spans="1:10">
      <c r="A904" s="67"/>
      <c r="B904" s="66"/>
      <c r="C904" s="66"/>
      <c r="D904" s="66"/>
      <c r="E904" s="66"/>
      <c r="F904" s="65"/>
      <c r="G904" s="65"/>
      <c r="H904" s="65"/>
      <c r="I904" s="64"/>
      <c r="J904" s="64"/>
    </row>
    <row r="905" spans="1:10">
      <c r="A905" s="67"/>
      <c r="B905" s="66"/>
      <c r="C905" s="66"/>
      <c r="D905" s="66"/>
      <c r="E905" s="66"/>
      <c r="F905" s="65"/>
      <c r="G905" s="65"/>
      <c r="H905" s="65"/>
      <c r="I905" s="64"/>
      <c r="J905" s="64"/>
    </row>
    <row r="906" spans="1:10">
      <c r="A906" s="67"/>
      <c r="B906" s="66"/>
      <c r="C906" s="66"/>
      <c r="D906" s="66"/>
      <c r="E906" s="66"/>
      <c r="F906" s="65"/>
      <c r="G906" s="65"/>
      <c r="H906" s="65"/>
      <c r="I906" s="64"/>
      <c r="J906" s="64"/>
    </row>
    <row r="907" spans="1:10">
      <c r="A907" s="67"/>
      <c r="B907" s="66"/>
      <c r="C907" s="66"/>
      <c r="D907" s="66"/>
      <c r="E907" s="66"/>
      <c r="F907" s="65"/>
      <c r="G907" s="65"/>
      <c r="H907" s="65"/>
      <c r="I907" s="64"/>
      <c r="J907" s="64"/>
    </row>
    <row r="908" spans="1:10">
      <c r="A908" s="67"/>
      <c r="B908" s="66"/>
      <c r="C908" s="66"/>
      <c r="D908" s="66"/>
      <c r="E908" s="66"/>
      <c r="F908" s="65"/>
      <c r="G908" s="65"/>
      <c r="H908" s="65"/>
      <c r="I908" s="64"/>
      <c r="J908" s="64"/>
    </row>
    <row r="909" spans="1:10">
      <c r="A909" s="67"/>
      <c r="B909" s="66"/>
      <c r="C909" s="66"/>
      <c r="D909" s="66"/>
      <c r="E909" s="66"/>
      <c r="F909" s="65"/>
      <c r="G909" s="65"/>
      <c r="H909" s="65"/>
      <c r="I909" s="64"/>
      <c r="J909" s="64"/>
    </row>
    <row r="910" spans="1:10">
      <c r="A910" s="67"/>
      <c r="B910" s="66"/>
      <c r="C910" s="66"/>
      <c r="D910" s="66"/>
      <c r="E910" s="66"/>
      <c r="F910" s="65"/>
      <c r="G910" s="65"/>
      <c r="H910" s="65"/>
      <c r="I910" s="64"/>
      <c r="J910" s="64"/>
    </row>
    <row r="911" spans="1:10">
      <c r="A911" s="67"/>
      <c r="B911" s="66"/>
      <c r="C911" s="66"/>
      <c r="D911" s="66"/>
      <c r="E911" s="66"/>
      <c r="F911" s="65"/>
      <c r="G911" s="65"/>
      <c r="H911" s="65"/>
      <c r="I911" s="64"/>
      <c r="J911" s="64"/>
    </row>
    <row r="912" spans="1:10">
      <c r="A912" s="67"/>
      <c r="B912" s="66"/>
      <c r="C912" s="66"/>
      <c r="D912" s="66"/>
      <c r="E912" s="66"/>
      <c r="F912" s="65"/>
      <c r="G912" s="65"/>
      <c r="H912" s="65"/>
      <c r="I912" s="64"/>
      <c r="J912" s="64"/>
    </row>
    <row r="913" spans="1:10">
      <c r="A913" s="67"/>
      <c r="B913" s="66"/>
      <c r="C913" s="66"/>
      <c r="D913" s="66"/>
      <c r="E913" s="66"/>
      <c r="F913" s="65"/>
      <c r="G913" s="65"/>
      <c r="H913" s="65"/>
      <c r="I913" s="64"/>
      <c r="J913" s="64"/>
    </row>
    <row r="914" spans="1:10">
      <c r="A914" s="67"/>
      <c r="B914" s="66"/>
      <c r="C914" s="66"/>
      <c r="D914" s="66"/>
      <c r="E914" s="66"/>
      <c r="F914" s="65"/>
      <c r="G914" s="65"/>
      <c r="H914" s="65"/>
      <c r="I914" s="64"/>
      <c r="J914" s="64"/>
    </row>
    <row r="915" spans="1:10">
      <c r="A915" s="67"/>
      <c r="B915" s="66"/>
      <c r="C915" s="66"/>
      <c r="D915" s="66"/>
      <c r="E915" s="66"/>
      <c r="F915" s="65"/>
      <c r="G915" s="65"/>
      <c r="H915" s="65"/>
      <c r="I915" s="64"/>
      <c r="J915" s="64"/>
    </row>
    <row r="916" spans="1:10">
      <c r="A916" s="67"/>
      <c r="B916" s="66"/>
      <c r="C916" s="66"/>
      <c r="D916" s="66"/>
      <c r="E916" s="66"/>
      <c r="F916" s="65"/>
      <c r="G916" s="65"/>
      <c r="H916" s="65"/>
      <c r="I916" s="64"/>
      <c r="J916" s="64"/>
    </row>
    <row r="917" spans="1:10">
      <c r="A917" s="67"/>
      <c r="B917" s="66"/>
      <c r="C917" s="66"/>
      <c r="D917" s="66"/>
      <c r="E917" s="66"/>
      <c r="F917" s="65"/>
      <c r="G917" s="65"/>
      <c r="H917" s="65"/>
      <c r="I917" s="64"/>
      <c r="J917" s="64"/>
    </row>
    <row r="918" spans="1:10">
      <c r="A918" s="67"/>
      <c r="B918" s="66"/>
      <c r="C918" s="66"/>
      <c r="D918" s="66"/>
      <c r="E918" s="66"/>
      <c r="F918" s="65"/>
      <c r="G918" s="65"/>
      <c r="H918" s="65"/>
      <c r="I918" s="64"/>
      <c r="J918" s="64"/>
    </row>
    <row r="919" spans="1:10">
      <c r="A919" s="67"/>
      <c r="B919" s="66"/>
      <c r="C919" s="66"/>
      <c r="D919" s="66"/>
      <c r="E919" s="66"/>
      <c r="F919" s="65"/>
      <c r="G919" s="65"/>
      <c r="H919" s="65"/>
      <c r="I919" s="64"/>
      <c r="J919" s="64"/>
    </row>
    <row r="920" spans="1:10">
      <c r="A920" s="67"/>
      <c r="B920" s="66"/>
      <c r="C920" s="66"/>
      <c r="D920" s="66"/>
      <c r="E920" s="66"/>
      <c r="F920" s="65"/>
      <c r="G920" s="65"/>
      <c r="H920" s="65"/>
      <c r="I920" s="64"/>
      <c r="J920" s="64"/>
    </row>
    <row r="921" spans="1:10">
      <c r="A921" s="67"/>
      <c r="B921" s="66"/>
      <c r="C921" s="66"/>
      <c r="D921" s="66"/>
      <c r="E921" s="66"/>
      <c r="F921" s="65"/>
      <c r="G921" s="65"/>
      <c r="H921" s="65"/>
      <c r="I921" s="64"/>
      <c r="J921" s="64"/>
    </row>
    <row r="922" spans="1:10">
      <c r="A922" s="67"/>
      <c r="B922" s="66"/>
      <c r="C922" s="66"/>
      <c r="D922" s="66"/>
      <c r="E922" s="66"/>
      <c r="F922" s="65"/>
      <c r="G922" s="65"/>
      <c r="H922" s="65"/>
      <c r="I922" s="64"/>
      <c r="J922" s="64"/>
    </row>
    <row r="923" spans="1:10">
      <c r="A923" s="67"/>
      <c r="B923" s="66"/>
      <c r="C923" s="66"/>
      <c r="D923" s="66"/>
      <c r="E923" s="66"/>
      <c r="F923" s="65"/>
      <c r="G923" s="65"/>
      <c r="H923" s="65"/>
      <c r="I923" s="64"/>
      <c r="J923" s="64"/>
    </row>
    <row r="924" spans="1:10">
      <c r="A924" s="67"/>
      <c r="B924" s="66"/>
      <c r="C924" s="66"/>
      <c r="D924" s="66"/>
      <c r="E924" s="66"/>
      <c r="F924" s="65"/>
      <c r="G924" s="65"/>
      <c r="H924" s="65"/>
      <c r="I924" s="64"/>
      <c r="J924" s="64"/>
    </row>
    <row r="925" spans="1:10">
      <c r="A925" s="67"/>
      <c r="B925" s="66"/>
      <c r="C925" s="66"/>
      <c r="D925" s="66"/>
      <c r="E925" s="66"/>
      <c r="F925" s="65"/>
      <c r="G925" s="65"/>
      <c r="H925" s="65"/>
      <c r="I925" s="64"/>
      <c r="J925" s="64"/>
    </row>
    <row r="926" spans="1:10">
      <c r="A926" s="67"/>
      <c r="B926" s="66"/>
      <c r="C926" s="66"/>
      <c r="D926" s="66"/>
      <c r="E926" s="66"/>
      <c r="F926" s="65"/>
      <c r="G926" s="65"/>
      <c r="H926" s="65"/>
      <c r="I926" s="64"/>
      <c r="J926" s="64"/>
    </row>
    <row r="927" spans="1:10">
      <c r="A927" s="67"/>
      <c r="B927" s="66"/>
      <c r="C927" s="66"/>
      <c r="D927" s="66"/>
      <c r="E927" s="66"/>
      <c r="F927" s="65"/>
      <c r="G927" s="65"/>
      <c r="H927" s="65"/>
      <c r="I927" s="64"/>
      <c r="J927" s="64"/>
    </row>
    <row r="928" spans="1:10">
      <c r="A928" s="67"/>
      <c r="B928" s="66"/>
      <c r="C928" s="66"/>
      <c r="D928" s="66"/>
      <c r="E928" s="66"/>
      <c r="F928" s="65"/>
      <c r="G928" s="65"/>
      <c r="H928" s="65"/>
      <c r="I928" s="64"/>
      <c r="J928" s="64"/>
    </row>
    <row r="929" spans="1:10">
      <c r="A929" s="67"/>
      <c r="B929" s="66"/>
      <c r="C929" s="66"/>
      <c r="D929" s="66"/>
      <c r="E929" s="66"/>
      <c r="F929" s="65"/>
      <c r="G929" s="65"/>
      <c r="H929" s="65"/>
      <c r="I929" s="64"/>
      <c r="J929" s="64"/>
    </row>
    <row r="930" spans="1:10">
      <c r="A930" s="67"/>
      <c r="B930" s="66"/>
      <c r="C930" s="66"/>
      <c r="D930" s="66"/>
      <c r="E930" s="66"/>
      <c r="F930" s="65"/>
      <c r="G930" s="65"/>
      <c r="H930" s="65"/>
      <c r="I930" s="64"/>
      <c r="J930" s="64"/>
    </row>
    <row r="931" spans="1:10">
      <c r="A931" s="67"/>
      <c r="B931" s="66"/>
      <c r="C931" s="66"/>
      <c r="D931" s="66"/>
      <c r="E931" s="66"/>
      <c r="F931" s="65"/>
      <c r="G931" s="65"/>
      <c r="H931" s="65"/>
      <c r="I931" s="64"/>
      <c r="J931" s="64"/>
    </row>
    <row r="932" spans="1:10">
      <c r="A932" s="67"/>
      <c r="B932" s="66"/>
      <c r="C932" s="66"/>
      <c r="D932" s="66"/>
      <c r="E932" s="66"/>
      <c r="F932" s="65"/>
      <c r="G932" s="65"/>
      <c r="H932" s="65"/>
      <c r="I932" s="64"/>
      <c r="J932" s="64"/>
    </row>
    <row r="933" spans="1:10">
      <c r="A933" s="67"/>
      <c r="B933" s="66"/>
      <c r="C933" s="66"/>
      <c r="D933" s="66"/>
      <c r="E933" s="66"/>
      <c r="F933" s="65"/>
      <c r="G933" s="65"/>
      <c r="H933" s="65"/>
      <c r="I933" s="64"/>
      <c r="J933" s="64"/>
    </row>
    <row r="934" spans="1:10">
      <c r="A934" s="67"/>
      <c r="B934" s="66"/>
      <c r="C934" s="66"/>
      <c r="D934" s="66"/>
      <c r="E934" s="66"/>
      <c r="F934" s="65"/>
      <c r="G934" s="65"/>
      <c r="H934" s="65"/>
      <c r="I934" s="64"/>
      <c r="J934" s="64"/>
    </row>
    <row r="935" spans="1:10">
      <c r="A935" s="67"/>
      <c r="B935" s="66"/>
      <c r="C935" s="66"/>
      <c r="D935" s="66"/>
      <c r="E935" s="66"/>
      <c r="F935" s="65"/>
      <c r="G935" s="65"/>
      <c r="H935" s="65"/>
      <c r="I935" s="64"/>
      <c r="J935" s="64"/>
    </row>
    <row r="936" spans="1:10">
      <c r="A936" s="67"/>
      <c r="B936" s="66"/>
      <c r="C936" s="66"/>
      <c r="D936" s="66"/>
      <c r="E936" s="66"/>
      <c r="F936" s="65"/>
      <c r="G936" s="65"/>
      <c r="H936" s="65"/>
      <c r="I936" s="64"/>
      <c r="J936" s="64"/>
    </row>
    <row r="937" spans="1:10">
      <c r="A937" s="67"/>
      <c r="B937" s="66"/>
      <c r="C937" s="66"/>
      <c r="D937" s="66"/>
      <c r="E937" s="66"/>
      <c r="F937" s="65"/>
      <c r="G937" s="65"/>
      <c r="H937" s="65"/>
      <c r="I937" s="64"/>
      <c r="J937" s="64"/>
    </row>
    <row r="938" spans="1:10">
      <c r="A938" s="67"/>
      <c r="B938" s="66"/>
      <c r="C938" s="66"/>
      <c r="D938" s="66"/>
      <c r="E938" s="66"/>
      <c r="F938" s="65"/>
      <c r="G938" s="65"/>
      <c r="H938" s="65"/>
      <c r="I938" s="64"/>
      <c r="J938" s="64"/>
    </row>
    <row r="939" spans="1:10">
      <c r="A939" s="67"/>
      <c r="B939" s="66"/>
      <c r="C939" s="66"/>
      <c r="D939" s="66"/>
      <c r="E939" s="66"/>
      <c r="F939" s="65"/>
      <c r="G939" s="65"/>
      <c r="H939" s="65"/>
      <c r="I939" s="64"/>
      <c r="J939" s="64"/>
    </row>
    <row r="940" spans="1:10">
      <c r="A940" s="67"/>
      <c r="B940" s="66"/>
      <c r="C940" s="66"/>
      <c r="D940" s="66"/>
      <c r="E940" s="66"/>
      <c r="F940" s="65"/>
      <c r="G940" s="65"/>
      <c r="H940" s="65"/>
      <c r="I940" s="64"/>
      <c r="J940" s="64"/>
    </row>
    <row r="941" spans="1:10">
      <c r="A941" s="67"/>
      <c r="B941" s="66"/>
      <c r="C941" s="66"/>
      <c r="D941" s="66"/>
      <c r="E941" s="66"/>
      <c r="F941" s="65"/>
      <c r="G941" s="65"/>
      <c r="H941" s="65"/>
      <c r="I941" s="64"/>
      <c r="J941" s="64"/>
    </row>
    <row r="942" spans="1:10">
      <c r="A942" s="67"/>
      <c r="B942" s="66"/>
      <c r="C942" s="66"/>
      <c r="D942" s="66"/>
      <c r="E942" s="66"/>
      <c r="F942" s="65"/>
      <c r="G942" s="65"/>
      <c r="H942" s="65"/>
      <c r="I942" s="64"/>
      <c r="J942" s="64"/>
    </row>
    <row r="943" spans="1:10">
      <c r="A943" s="67"/>
      <c r="B943" s="66"/>
      <c r="C943" s="66"/>
      <c r="D943" s="66"/>
      <c r="E943" s="66"/>
      <c r="F943" s="65"/>
      <c r="G943" s="65"/>
      <c r="H943" s="65"/>
      <c r="I943" s="64"/>
      <c r="J943" s="64"/>
    </row>
    <row r="944" spans="1:10">
      <c r="A944" s="67"/>
      <c r="B944" s="66"/>
      <c r="C944" s="66"/>
      <c r="D944" s="66"/>
      <c r="E944" s="66"/>
      <c r="F944" s="65"/>
      <c r="G944" s="65"/>
      <c r="H944" s="65"/>
      <c r="I944" s="64"/>
      <c r="J944" s="64"/>
    </row>
    <row r="945" spans="1:10">
      <c r="A945" s="67"/>
      <c r="B945" s="66"/>
      <c r="C945" s="66"/>
      <c r="D945" s="66"/>
      <c r="E945" s="66"/>
      <c r="F945" s="65"/>
      <c r="G945" s="65"/>
      <c r="H945" s="65"/>
      <c r="I945" s="64"/>
      <c r="J945" s="64"/>
    </row>
    <row r="946" spans="1:10">
      <c r="A946" s="67"/>
      <c r="B946" s="66"/>
      <c r="C946" s="66"/>
      <c r="D946" s="66"/>
      <c r="E946" s="66"/>
      <c r="F946" s="65"/>
      <c r="G946" s="65"/>
      <c r="H946" s="65"/>
      <c r="I946" s="64"/>
      <c r="J946" s="64"/>
    </row>
    <row r="947" spans="1:10">
      <c r="A947" s="67"/>
      <c r="B947" s="66"/>
      <c r="C947" s="66"/>
      <c r="D947" s="66"/>
      <c r="E947" s="66"/>
      <c r="F947" s="65"/>
      <c r="G947" s="65"/>
      <c r="H947" s="65"/>
      <c r="I947" s="64"/>
      <c r="J947" s="64"/>
    </row>
    <row r="948" spans="1:10">
      <c r="A948" s="67"/>
      <c r="B948" s="66"/>
      <c r="C948" s="66"/>
      <c r="D948" s="66"/>
      <c r="E948" s="66"/>
      <c r="F948" s="65"/>
      <c r="G948" s="65"/>
      <c r="H948" s="65"/>
      <c r="I948" s="64"/>
      <c r="J948" s="64"/>
    </row>
    <row r="949" spans="1:10">
      <c r="A949" s="67"/>
      <c r="B949" s="66"/>
      <c r="C949" s="66"/>
      <c r="D949" s="66"/>
      <c r="E949" s="66"/>
      <c r="F949" s="65"/>
      <c r="G949" s="65"/>
      <c r="H949" s="65"/>
      <c r="I949" s="64"/>
      <c r="J949" s="64"/>
    </row>
    <row r="950" spans="1:10">
      <c r="A950" s="67"/>
      <c r="B950" s="66"/>
      <c r="C950" s="66"/>
      <c r="D950" s="66"/>
      <c r="E950" s="66"/>
      <c r="F950" s="65"/>
      <c r="G950" s="65"/>
      <c r="H950" s="65"/>
      <c r="I950" s="64"/>
      <c r="J950" s="64"/>
    </row>
    <row r="951" spans="1:10">
      <c r="A951" s="67"/>
      <c r="B951" s="66"/>
      <c r="C951" s="66"/>
      <c r="D951" s="66"/>
      <c r="E951" s="66"/>
      <c r="F951" s="65"/>
      <c r="G951" s="65"/>
      <c r="H951" s="65"/>
      <c r="I951" s="64"/>
      <c r="J951" s="64"/>
    </row>
    <row r="952" spans="1:10">
      <c r="A952" s="67"/>
      <c r="B952" s="66"/>
      <c r="C952" s="66"/>
      <c r="D952" s="66"/>
      <c r="E952" s="66"/>
      <c r="F952" s="65"/>
      <c r="G952" s="65"/>
      <c r="H952" s="65"/>
      <c r="I952" s="64"/>
      <c r="J952" s="64"/>
    </row>
    <row r="953" spans="1:10">
      <c r="A953" s="67"/>
      <c r="B953" s="66"/>
      <c r="C953" s="66"/>
      <c r="D953" s="66"/>
      <c r="E953" s="66"/>
      <c r="F953" s="65"/>
      <c r="G953" s="65"/>
      <c r="H953" s="65"/>
      <c r="I953" s="64"/>
      <c r="J953" s="64"/>
    </row>
    <row r="954" spans="1:10">
      <c r="A954" s="67"/>
      <c r="B954" s="66"/>
      <c r="C954" s="66"/>
      <c r="D954" s="66"/>
      <c r="E954" s="66"/>
      <c r="F954" s="65"/>
      <c r="G954" s="65"/>
      <c r="H954" s="65"/>
      <c r="I954" s="64"/>
      <c r="J954" s="64"/>
    </row>
    <row r="955" spans="1:10">
      <c r="A955" s="67"/>
      <c r="B955" s="66"/>
      <c r="C955" s="66"/>
      <c r="D955" s="66"/>
      <c r="E955" s="66"/>
      <c r="F955" s="65"/>
      <c r="G955" s="65"/>
      <c r="H955" s="65"/>
      <c r="I955" s="64"/>
      <c r="J955" s="64"/>
    </row>
    <row r="956" spans="1:10">
      <c r="A956" s="67"/>
      <c r="B956" s="66"/>
      <c r="C956" s="66"/>
      <c r="D956" s="66"/>
      <c r="E956" s="66"/>
      <c r="F956" s="65"/>
      <c r="G956" s="65"/>
      <c r="H956" s="65"/>
      <c r="I956" s="64"/>
      <c r="J956" s="64"/>
    </row>
    <row r="957" spans="1:10">
      <c r="A957" s="67"/>
      <c r="B957" s="66"/>
      <c r="C957" s="66"/>
      <c r="D957" s="66"/>
      <c r="E957" s="66"/>
      <c r="F957" s="65"/>
      <c r="G957" s="65"/>
      <c r="H957" s="65"/>
      <c r="I957" s="64"/>
      <c r="J957" s="64"/>
    </row>
    <row r="958" spans="1:10">
      <c r="A958" s="67"/>
      <c r="B958" s="66"/>
      <c r="C958" s="66"/>
      <c r="D958" s="66"/>
      <c r="E958" s="66"/>
      <c r="F958" s="65"/>
      <c r="G958" s="65"/>
      <c r="H958" s="65"/>
      <c r="I958" s="64"/>
      <c r="J958" s="64"/>
    </row>
    <row r="959" spans="1:10">
      <c r="A959" s="67"/>
      <c r="B959" s="66"/>
      <c r="C959" s="66"/>
      <c r="D959" s="66"/>
      <c r="E959" s="66"/>
      <c r="F959" s="65"/>
      <c r="G959" s="65"/>
      <c r="H959" s="65"/>
      <c r="I959" s="64"/>
      <c r="J959" s="64"/>
    </row>
    <row r="960" spans="1:10">
      <c r="A960" s="67"/>
      <c r="B960" s="66"/>
      <c r="C960" s="66"/>
      <c r="D960" s="66"/>
      <c r="E960" s="66"/>
      <c r="F960" s="65"/>
      <c r="G960" s="65"/>
      <c r="H960" s="65"/>
      <c r="I960" s="64"/>
      <c r="J960" s="64"/>
    </row>
    <row r="961" spans="1:10">
      <c r="A961" s="67"/>
      <c r="B961" s="66"/>
      <c r="C961" s="66"/>
      <c r="D961" s="66"/>
      <c r="E961" s="66"/>
      <c r="F961" s="65"/>
      <c r="G961" s="65"/>
      <c r="H961" s="65"/>
      <c r="I961" s="64"/>
      <c r="J961" s="64"/>
    </row>
    <row r="962" spans="1:10">
      <c r="A962" s="67"/>
      <c r="B962" s="66"/>
      <c r="C962" s="66"/>
      <c r="D962" s="66"/>
      <c r="E962" s="66"/>
      <c r="F962" s="65"/>
      <c r="G962" s="65"/>
      <c r="H962" s="65"/>
      <c r="I962" s="64"/>
      <c r="J962" s="64"/>
    </row>
    <row r="963" spans="1:10">
      <c r="A963" s="67"/>
      <c r="B963" s="66"/>
      <c r="C963" s="66"/>
      <c r="D963" s="66"/>
      <c r="E963" s="66"/>
      <c r="F963" s="65"/>
      <c r="G963" s="65"/>
      <c r="H963" s="65"/>
      <c r="I963" s="64"/>
      <c r="J963" s="64"/>
    </row>
    <row r="964" spans="1:10">
      <c r="A964" s="67"/>
      <c r="B964" s="66"/>
      <c r="C964" s="66"/>
      <c r="D964" s="66"/>
      <c r="E964" s="66"/>
      <c r="F964" s="65"/>
      <c r="G964" s="65"/>
      <c r="H964" s="65"/>
      <c r="I964" s="64"/>
      <c r="J964" s="64"/>
    </row>
    <row r="965" spans="1:10">
      <c r="A965" s="63"/>
      <c r="B965" s="62"/>
      <c r="C965" s="62"/>
      <c r="D965" s="62"/>
      <c r="E965" s="62"/>
      <c r="F965" s="61"/>
      <c r="G965" s="61"/>
      <c r="H965" s="61"/>
      <c r="I965" s="60"/>
      <c r="J965" s="60"/>
    </row>
  </sheetData>
  <autoFilter ref="A1:J218" xr:uid="{00000000-0001-0000-0000-000000000000}"/>
  <dataValidations count="1">
    <dataValidation type="list" allowBlank="1" showInputMessage="1" showErrorMessage="1" sqref="H1:H1048576" xr:uid="{BC7EB176-4E6A-4ED5-871D-0B1933DE5AA4}">
      <formula1>"Không,Có"</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2"/>
  <sheetViews>
    <sheetView workbookViewId="0"/>
  </sheetViews>
  <sheetFormatPr defaultColWidth="12.7109375" defaultRowHeight="15.75" customHeight="1"/>
  <cols>
    <col min="4" max="4" width="40.28515625" customWidth="1"/>
  </cols>
  <sheetData>
    <row r="1" spans="1:5" ht="15.75" customHeight="1">
      <c r="D1" s="1" t="s">
        <v>1852</v>
      </c>
    </row>
    <row r="2" spans="1:5" ht="15.75" customHeight="1">
      <c r="A2" s="1" t="s">
        <v>219</v>
      </c>
      <c r="B2" s="1">
        <v>6</v>
      </c>
      <c r="C2" s="1">
        <v>0</v>
      </c>
      <c r="E2" s="1">
        <v>6</v>
      </c>
    </row>
    <row r="3" spans="1:5" ht="15.75" customHeight="1">
      <c r="A3" s="1" t="s">
        <v>86</v>
      </c>
      <c r="B3" s="1">
        <v>3</v>
      </c>
      <c r="C3" s="1">
        <v>0</v>
      </c>
    </row>
    <row r="4" spans="1:5" ht="15.75" customHeight="1">
      <c r="A4" s="1" t="s">
        <v>1813</v>
      </c>
      <c r="B4" s="1">
        <v>1</v>
      </c>
      <c r="C4" s="1">
        <v>0</v>
      </c>
    </row>
    <row r="5" spans="1:5" ht="15.75" customHeight="1">
      <c r="A5" s="1" t="s">
        <v>1853</v>
      </c>
      <c r="B5" s="1">
        <v>9</v>
      </c>
      <c r="C5" s="1">
        <v>7</v>
      </c>
    </row>
    <row r="6" spans="1:5" ht="15.75" customHeight="1">
      <c r="A6" s="1" t="s">
        <v>97</v>
      </c>
      <c r="B6" s="1">
        <v>2</v>
      </c>
      <c r="C6" s="1">
        <v>0</v>
      </c>
    </row>
    <row r="7" spans="1:5" ht="15.75" customHeight="1">
      <c r="A7" s="1" t="s">
        <v>1854</v>
      </c>
      <c r="B7" s="1">
        <v>8</v>
      </c>
      <c r="C7" s="1">
        <v>0</v>
      </c>
    </row>
    <row r="8" spans="1:5" ht="15.75" customHeight="1">
      <c r="A8" s="1" t="s">
        <v>759</v>
      </c>
      <c r="B8" s="1">
        <v>3</v>
      </c>
      <c r="C8" s="1">
        <v>0</v>
      </c>
      <c r="D8" s="1" t="s">
        <v>1855</v>
      </c>
    </row>
    <row r="9" spans="1:5" ht="15.75" customHeight="1">
      <c r="A9" s="1" t="s">
        <v>68</v>
      </c>
      <c r="B9" s="1">
        <v>1</v>
      </c>
      <c r="C9" s="1">
        <v>0</v>
      </c>
    </row>
    <row r="10" spans="1:5" ht="15.75" customHeight="1">
      <c r="A10" s="1" t="s">
        <v>117</v>
      </c>
      <c r="B10" s="1">
        <v>0</v>
      </c>
      <c r="C10" s="1">
        <v>15</v>
      </c>
    </row>
    <row r="11" spans="1:5" ht="15.75" customHeight="1">
      <c r="B11" s="1">
        <f t="shared" ref="B11:C11" si="0">SUM(B2:B10)</f>
        <v>33</v>
      </c>
      <c r="C11" s="1">
        <f t="shared" si="0"/>
        <v>22</v>
      </c>
      <c r="D11" s="1">
        <f>SUM(B11:C11)</f>
        <v>55</v>
      </c>
    </row>
    <row r="12" spans="1:5" ht="15.75" customHeight="1">
      <c r="D12" s="1" t="s">
        <v>1856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A4431-0F6D-45A3-B5DA-F4BB5824E407}">
  <sheetPr filterMode="1"/>
  <dimension ref="A1:K102"/>
  <sheetViews>
    <sheetView zoomScale="115" zoomScaleNormal="115" workbookViewId="0">
      <pane ySplit="1" topLeftCell="A26" activePane="bottomLeft" state="frozen"/>
      <selection pane="bottomLeft" activeCell="F40" sqref="F40"/>
    </sheetView>
  </sheetViews>
  <sheetFormatPr defaultColWidth="9" defaultRowHeight="15" customHeight="1"/>
  <cols>
    <col min="1" max="1" width="12" style="19" bestFit="1" customWidth="1"/>
    <col min="2" max="2" width="33" style="19" customWidth="1"/>
    <col min="3" max="3" width="17.140625" style="19" customWidth="1"/>
    <col min="4" max="4" width="25.42578125" style="19" customWidth="1"/>
    <col min="5" max="5" width="38.28515625" style="19" customWidth="1"/>
    <col min="6" max="6" width="36.140625" style="19" customWidth="1"/>
    <col min="7" max="7" width="14.140625" style="19" customWidth="1"/>
    <col min="8" max="8" width="18.85546875" style="19" hidden="1" customWidth="1"/>
    <col min="9" max="9" width="14.140625" style="19" customWidth="1"/>
    <col min="10" max="10" width="11.5703125" style="19" customWidth="1"/>
    <col min="11" max="11" width="32" style="19" customWidth="1"/>
    <col min="12" max="16384" width="9" style="19"/>
  </cols>
  <sheetData>
    <row r="1" spans="1:11" ht="29.1">
      <c r="A1" s="32" t="s">
        <v>1839</v>
      </c>
      <c r="B1" s="32" t="s">
        <v>1857</v>
      </c>
      <c r="C1" s="33" t="s">
        <v>1858</v>
      </c>
      <c r="D1" s="32" t="s">
        <v>1859</v>
      </c>
      <c r="E1" s="32" t="s">
        <v>1860</v>
      </c>
      <c r="F1" s="32" t="s">
        <v>1861</v>
      </c>
      <c r="G1" s="32" t="s">
        <v>1862</v>
      </c>
      <c r="H1" s="32" t="s">
        <v>1863</v>
      </c>
      <c r="I1" s="32" t="s">
        <v>1864</v>
      </c>
      <c r="J1" s="32" t="s">
        <v>1865</v>
      </c>
      <c r="K1" s="32" t="s">
        <v>1866</v>
      </c>
    </row>
    <row r="2" spans="1:11" s="57" customFormat="1" ht="14.1" hidden="1">
      <c r="A2" s="20" t="s">
        <v>53</v>
      </c>
      <c r="B2" s="20" t="s">
        <v>1867</v>
      </c>
      <c r="C2" s="24" t="s">
        <v>59</v>
      </c>
      <c r="D2" s="20" t="s">
        <v>1868</v>
      </c>
      <c r="E2" s="31" t="s">
        <v>1869</v>
      </c>
      <c r="F2" s="31" t="s">
        <v>1870</v>
      </c>
      <c r="G2" s="20" t="s">
        <v>1871</v>
      </c>
      <c r="H2" s="20" t="s">
        <v>1868</v>
      </c>
      <c r="I2" s="20" t="s">
        <v>1868</v>
      </c>
      <c r="J2" s="20" t="s">
        <v>1872</v>
      </c>
      <c r="K2" s="20" t="s">
        <v>1873</v>
      </c>
    </row>
    <row r="3" spans="1:11" ht="14.1" hidden="1">
      <c r="A3" s="20" t="s">
        <v>53</v>
      </c>
      <c r="B3" s="20" t="s">
        <v>1867</v>
      </c>
      <c r="C3" s="30" t="s">
        <v>59</v>
      </c>
      <c r="D3" s="29" t="s">
        <v>1868</v>
      </c>
      <c r="E3" s="28" t="s">
        <v>1874</v>
      </c>
      <c r="F3" s="28" t="s">
        <v>1875</v>
      </c>
      <c r="G3" s="20" t="s">
        <v>1871</v>
      </c>
      <c r="H3" s="20" t="s">
        <v>1868</v>
      </c>
      <c r="I3" s="20" t="s">
        <v>1868</v>
      </c>
      <c r="J3" s="20" t="s">
        <v>1872</v>
      </c>
      <c r="K3" s="20" t="s">
        <v>1873</v>
      </c>
    </row>
    <row r="4" spans="1:11" ht="14.1" hidden="1">
      <c r="A4" s="20" t="s">
        <v>53</v>
      </c>
      <c r="B4" s="20" t="s">
        <v>1867</v>
      </c>
      <c r="C4" s="30" t="s">
        <v>59</v>
      </c>
      <c r="D4" s="29" t="s">
        <v>1868</v>
      </c>
      <c r="E4" s="28" t="s">
        <v>1301</v>
      </c>
      <c r="F4" s="28" t="s">
        <v>1876</v>
      </c>
      <c r="G4" s="20" t="s">
        <v>1871</v>
      </c>
      <c r="H4" s="20" t="s">
        <v>1868</v>
      </c>
      <c r="I4" s="20" t="s">
        <v>1868</v>
      </c>
      <c r="J4" s="20" t="s">
        <v>1701</v>
      </c>
      <c r="K4" s="20" t="s">
        <v>1873</v>
      </c>
    </row>
    <row r="5" spans="1:11" ht="14.1" hidden="1">
      <c r="A5" s="20" t="s">
        <v>53</v>
      </c>
      <c r="B5" s="20" t="s">
        <v>1867</v>
      </c>
      <c r="C5" s="30" t="s">
        <v>59</v>
      </c>
      <c r="D5" s="29" t="s">
        <v>1868</v>
      </c>
      <c r="E5" s="28" t="s">
        <v>1310</v>
      </c>
      <c r="F5" s="28" t="s">
        <v>1310</v>
      </c>
      <c r="G5" s="20" t="s">
        <v>1871</v>
      </c>
      <c r="H5" s="20" t="s">
        <v>1868</v>
      </c>
      <c r="I5" s="20" t="s">
        <v>1868</v>
      </c>
      <c r="J5" s="20" t="s">
        <v>1701</v>
      </c>
      <c r="K5" s="20" t="s">
        <v>1873</v>
      </c>
    </row>
    <row r="6" spans="1:11" ht="14.1" hidden="1">
      <c r="A6" s="20" t="s">
        <v>53</v>
      </c>
      <c r="B6" s="20" t="s">
        <v>1867</v>
      </c>
      <c r="C6" s="30" t="s">
        <v>59</v>
      </c>
      <c r="D6" s="29" t="s">
        <v>1868</v>
      </c>
      <c r="E6" s="28" t="s">
        <v>1877</v>
      </c>
      <c r="F6" s="28" t="s">
        <v>1877</v>
      </c>
      <c r="G6" s="20" t="s">
        <v>1871</v>
      </c>
      <c r="H6" s="20" t="s">
        <v>1868</v>
      </c>
      <c r="I6" s="20" t="s">
        <v>1868</v>
      </c>
      <c r="J6" s="20" t="s">
        <v>1701</v>
      </c>
      <c r="K6" s="20" t="s">
        <v>1873</v>
      </c>
    </row>
    <row r="7" spans="1:11" ht="14.1" hidden="1">
      <c r="A7" s="20" t="s">
        <v>53</v>
      </c>
      <c r="B7" s="20" t="s">
        <v>1867</v>
      </c>
      <c r="C7" s="30" t="s">
        <v>59</v>
      </c>
      <c r="D7" s="29" t="s">
        <v>1868</v>
      </c>
      <c r="E7" s="28" t="s">
        <v>1318</v>
      </c>
      <c r="F7" s="28" t="s">
        <v>1319</v>
      </c>
      <c r="G7" s="20" t="s">
        <v>1878</v>
      </c>
      <c r="H7" s="20" t="s">
        <v>1868</v>
      </c>
      <c r="I7" s="20" t="s">
        <v>1868</v>
      </c>
      <c r="J7" s="20" t="s">
        <v>1701</v>
      </c>
      <c r="K7" s="20" t="s">
        <v>1873</v>
      </c>
    </row>
    <row r="8" spans="1:11" ht="14.1" hidden="1">
      <c r="A8" s="20" t="s">
        <v>53</v>
      </c>
      <c r="B8" s="20" t="s">
        <v>1867</v>
      </c>
      <c r="C8" s="21" t="s">
        <v>59</v>
      </c>
      <c r="D8" s="20" t="s">
        <v>1868</v>
      </c>
      <c r="E8" s="20" t="s">
        <v>1879</v>
      </c>
      <c r="F8" s="20" t="s">
        <v>1880</v>
      </c>
      <c r="G8" s="20" t="s">
        <v>1881</v>
      </c>
      <c r="H8" s="20" t="s">
        <v>1868</v>
      </c>
      <c r="I8" s="20" t="s">
        <v>1868</v>
      </c>
      <c r="J8" s="20" t="s">
        <v>1701</v>
      </c>
      <c r="K8" s="20" t="s">
        <v>1873</v>
      </c>
    </row>
    <row r="9" spans="1:11" ht="14.1" hidden="1">
      <c r="A9" s="20" t="s">
        <v>53</v>
      </c>
      <c r="B9" s="20" t="s">
        <v>1867</v>
      </c>
      <c r="C9" s="21" t="s">
        <v>59</v>
      </c>
      <c r="D9" s="20" t="s">
        <v>1868</v>
      </c>
      <c r="E9" s="20" t="s">
        <v>1882</v>
      </c>
      <c r="F9" s="20" t="s">
        <v>1883</v>
      </c>
      <c r="G9" s="20" t="s">
        <v>1881</v>
      </c>
      <c r="H9" s="20" t="s">
        <v>1868</v>
      </c>
      <c r="I9" s="20" t="s">
        <v>1868</v>
      </c>
      <c r="J9" s="20" t="s">
        <v>1701</v>
      </c>
      <c r="K9" s="20" t="s">
        <v>1873</v>
      </c>
    </row>
    <row r="10" spans="1:11" ht="14.1" hidden="1">
      <c r="A10" s="20" t="s">
        <v>69</v>
      </c>
      <c r="B10" s="20" t="s">
        <v>1561</v>
      </c>
      <c r="C10" s="21" t="s">
        <v>71</v>
      </c>
      <c r="D10" s="20" t="s">
        <v>1884</v>
      </c>
      <c r="E10" s="20" t="s">
        <v>1885</v>
      </c>
      <c r="F10" s="20" t="s">
        <v>1556</v>
      </c>
      <c r="G10" s="20" t="s">
        <v>1878</v>
      </c>
      <c r="H10" s="20" t="s">
        <v>1868</v>
      </c>
      <c r="I10" s="20" t="s">
        <v>1886</v>
      </c>
      <c r="J10" s="20" t="s">
        <v>1812</v>
      </c>
      <c r="K10" s="20" t="s">
        <v>68</v>
      </c>
    </row>
    <row r="11" spans="1:11" ht="14.1" hidden="1">
      <c r="A11" s="20" t="s">
        <v>69</v>
      </c>
      <c r="B11" s="20" t="s">
        <v>1561</v>
      </c>
      <c r="C11" s="27" t="s">
        <v>71</v>
      </c>
      <c r="D11" s="20" t="s">
        <v>1884</v>
      </c>
      <c r="E11" s="20" t="s">
        <v>1887</v>
      </c>
      <c r="F11" s="20" t="s">
        <v>1888</v>
      </c>
      <c r="G11" s="20" t="s">
        <v>1889</v>
      </c>
      <c r="H11" s="20" t="s">
        <v>1868</v>
      </c>
      <c r="I11" s="20" t="s">
        <v>1890</v>
      </c>
      <c r="J11" s="20" t="s">
        <v>1812</v>
      </c>
      <c r="K11" s="20" t="s">
        <v>68</v>
      </c>
    </row>
    <row r="12" spans="1:11" ht="14.1" hidden="1">
      <c r="A12" s="20"/>
      <c r="B12" s="20" t="s">
        <v>408</v>
      </c>
      <c r="C12" s="24" t="s">
        <v>897</v>
      </c>
      <c r="D12" s="20" t="s">
        <v>1891</v>
      </c>
      <c r="E12" s="20" t="s">
        <v>1892</v>
      </c>
      <c r="F12" s="20" t="s">
        <v>1893</v>
      </c>
      <c r="G12" s="20" t="s">
        <v>1881</v>
      </c>
      <c r="H12" s="20" t="s">
        <v>1868</v>
      </c>
      <c r="I12" s="20" t="s">
        <v>1894</v>
      </c>
      <c r="J12" s="20" t="s">
        <v>1812</v>
      </c>
      <c r="K12" s="20" t="s">
        <v>1895</v>
      </c>
    </row>
    <row r="13" spans="1:11" ht="14.1" hidden="1">
      <c r="A13" s="20"/>
      <c r="B13" s="20" t="s">
        <v>408</v>
      </c>
      <c r="C13" s="21" t="s">
        <v>897</v>
      </c>
      <c r="D13" s="20" t="s">
        <v>1868</v>
      </c>
      <c r="E13" s="20" t="s">
        <v>1896</v>
      </c>
      <c r="F13" s="20" t="s">
        <v>1897</v>
      </c>
      <c r="G13" s="20" t="s">
        <v>1871</v>
      </c>
      <c r="H13" s="20" t="s">
        <v>1868</v>
      </c>
      <c r="I13" s="20" t="s">
        <v>1868</v>
      </c>
      <c r="J13" s="20" t="s">
        <v>1812</v>
      </c>
      <c r="K13" s="20" t="s">
        <v>1868</v>
      </c>
    </row>
    <row r="14" spans="1:11" ht="26.1" hidden="1">
      <c r="A14" s="20"/>
      <c r="B14" s="20" t="s">
        <v>408</v>
      </c>
      <c r="C14" s="21" t="s">
        <v>5</v>
      </c>
      <c r="D14" s="20" t="s">
        <v>1868</v>
      </c>
      <c r="E14" s="20" t="s">
        <v>1898</v>
      </c>
      <c r="F14" s="20" t="s">
        <v>1899</v>
      </c>
      <c r="G14" s="20" t="s">
        <v>1871</v>
      </c>
      <c r="H14" s="20" t="s">
        <v>1868</v>
      </c>
      <c r="I14" s="20" t="s">
        <v>1868</v>
      </c>
      <c r="J14" s="20" t="s">
        <v>1812</v>
      </c>
      <c r="K14" s="20" t="s">
        <v>1868</v>
      </c>
    </row>
    <row r="15" spans="1:11" ht="14.1" hidden="1">
      <c r="A15" s="20"/>
      <c r="B15" s="20" t="s">
        <v>1741</v>
      </c>
      <c r="C15" s="21" t="s">
        <v>217</v>
      </c>
      <c r="D15" s="20" t="s">
        <v>1900</v>
      </c>
      <c r="E15" s="20" t="s">
        <v>1901</v>
      </c>
      <c r="F15" s="20" t="s">
        <v>1902</v>
      </c>
      <c r="G15" s="20" t="s">
        <v>1881</v>
      </c>
      <c r="H15" s="20" t="s">
        <v>1903</v>
      </c>
      <c r="I15" s="20" t="s">
        <v>1904</v>
      </c>
      <c r="J15" s="20" t="s">
        <v>1701</v>
      </c>
      <c r="K15" s="20" t="s">
        <v>1895</v>
      </c>
    </row>
    <row r="16" spans="1:11" ht="26.1" hidden="1">
      <c r="A16" s="20"/>
      <c r="B16" s="20" t="s">
        <v>1454</v>
      </c>
      <c r="C16" s="21" t="s">
        <v>897</v>
      </c>
      <c r="D16" s="20" t="s">
        <v>1891</v>
      </c>
      <c r="E16" s="20" t="s">
        <v>1905</v>
      </c>
      <c r="F16" s="20" t="s">
        <v>1906</v>
      </c>
      <c r="G16" s="20" t="s">
        <v>1881</v>
      </c>
      <c r="H16" s="20" t="s">
        <v>1907</v>
      </c>
      <c r="I16" s="20" t="s">
        <v>1908</v>
      </c>
      <c r="J16" s="20" t="s">
        <v>1812</v>
      </c>
      <c r="K16" s="20"/>
    </row>
    <row r="17" spans="1:11" ht="14.1" hidden="1">
      <c r="A17" s="20" t="s">
        <v>134</v>
      </c>
      <c r="B17" s="20" t="s">
        <v>1851</v>
      </c>
      <c r="C17" s="21" t="s">
        <v>137</v>
      </c>
      <c r="D17" s="20" t="s">
        <v>1868</v>
      </c>
      <c r="E17" s="20" t="s">
        <v>1909</v>
      </c>
      <c r="F17" s="20" t="s">
        <v>1910</v>
      </c>
      <c r="G17" s="20" t="s">
        <v>1881</v>
      </c>
      <c r="H17" s="20" t="s">
        <v>1442</v>
      </c>
      <c r="I17" s="20"/>
      <c r="J17" s="20" t="s">
        <v>1868</v>
      </c>
      <c r="K17" s="20" t="s">
        <v>1911</v>
      </c>
    </row>
    <row r="18" spans="1:11" ht="14.1" hidden="1">
      <c r="A18" s="20" t="s">
        <v>134</v>
      </c>
      <c r="B18" s="20" t="s">
        <v>1851</v>
      </c>
      <c r="C18" s="21" t="s">
        <v>137</v>
      </c>
      <c r="D18" s="20" t="s">
        <v>1868</v>
      </c>
      <c r="E18" s="20" t="s">
        <v>1912</v>
      </c>
      <c r="F18" s="20" t="s">
        <v>1913</v>
      </c>
      <c r="G18" s="20" t="s">
        <v>1889</v>
      </c>
      <c r="H18" s="20" t="s">
        <v>1442</v>
      </c>
      <c r="I18" s="20"/>
      <c r="J18" s="20" t="s">
        <v>1868</v>
      </c>
      <c r="K18" s="20" t="s">
        <v>1911</v>
      </c>
    </row>
    <row r="19" spans="1:11" ht="14.1" hidden="1">
      <c r="A19" s="20" t="s">
        <v>134</v>
      </c>
      <c r="B19" s="20" t="s">
        <v>1851</v>
      </c>
      <c r="C19" s="21" t="s">
        <v>137</v>
      </c>
      <c r="D19" s="20" t="s">
        <v>1868</v>
      </c>
      <c r="E19" s="20" t="s">
        <v>1914</v>
      </c>
      <c r="F19" s="20" t="s">
        <v>1915</v>
      </c>
      <c r="G19" s="20" t="s">
        <v>1889</v>
      </c>
      <c r="H19" s="20" t="s">
        <v>1442</v>
      </c>
      <c r="I19" s="20"/>
      <c r="J19" s="20" t="s">
        <v>1868</v>
      </c>
      <c r="K19" s="20" t="s">
        <v>1911</v>
      </c>
    </row>
    <row r="20" spans="1:11" ht="14.1" hidden="1">
      <c r="A20" s="20" t="s">
        <v>192</v>
      </c>
      <c r="B20" s="20" t="s">
        <v>193</v>
      </c>
      <c r="C20" s="21" t="s">
        <v>1916</v>
      </c>
      <c r="D20" s="20" t="s">
        <v>1868</v>
      </c>
      <c r="E20" s="20" t="s">
        <v>1917</v>
      </c>
      <c r="F20" s="20" t="s">
        <v>1918</v>
      </c>
      <c r="G20" s="20" t="s">
        <v>1881</v>
      </c>
      <c r="H20" s="20" t="s">
        <v>1868</v>
      </c>
      <c r="I20" s="20" t="s">
        <v>1919</v>
      </c>
      <c r="J20" s="20" t="s">
        <v>1701</v>
      </c>
      <c r="K20" s="20" t="s">
        <v>1868</v>
      </c>
    </row>
    <row r="21" spans="1:11" ht="14.1" hidden="1">
      <c r="A21" s="20" t="s">
        <v>192</v>
      </c>
      <c r="B21" s="20" t="s">
        <v>193</v>
      </c>
      <c r="C21" s="21" t="s">
        <v>1916</v>
      </c>
      <c r="D21" s="20" t="s">
        <v>1868</v>
      </c>
      <c r="E21" s="20" t="s">
        <v>1920</v>
      </c>
      <c r="F21" s="20" t="s">
        <v>1921</v>
      </c>
      <c r="G21" s="20" t="s">
        <v>1881</v>
      </c>
      <c r="H21" s="20" t="s">
        <v>1868</v>
      </c>
      <c r="I21" s="20" t="s">
        <v>1868</v>
      </c>
      <c r="J21" s="20" t="s">
        <v>1701</v>
      </c>
      <c r="K21" s="20" t="s">
        <v>1868</v>
      </c>
    </row>
    <row r="22" spans="1:11" ht="14.1" hidden="1">
      <c r="A22" s="20" t="s">
        <v>192</v>
      </c>
      <c r="B22" s="20" t="s">
        <v>193</v>
      </c>
      <c r="C22" s="21" t="s">
        <v>1916</v>
      </c>
      <c r="D22" s="20" t="s">
        <v>1868</v>
      </c>
      <c r="E22" s="20" t="s">
        <v>1922</v>
      </c>
      <c r="F22" s="20" t="s">
        <v>1923</v>
      </c>
      <c r="G22" s="20" t="s">
        <v>1881</v>
      </c>
      <c r="H22" s="20" t="s">
        <v>1868</v>
      </c>
      <c r="I22" s="20" t="s">
        <v>1924</v>
      </c>
      <c r="J22" s="20" t="s">
        <v>1701</v>
      </c>
      <c r="K22" s="20" t="s">
        <v>1868</v>
      </c>
    </row>
    <row r="23" spans="1:11" ht="26.1" hidden="1">
      <c r="A23" s="20" t="s">
        <v>192</v>
      </c>
      <c r="B23" s="20" t="s">
        <v>193</v>
      </c>
      <c r="C23" s="21" t="s">
        <v>1916</v>
      </c>
      <c r="D23" s="20" t="s">
        <v>1925</v>
      </c>
      <c r="E23" s="20" t="s">
        <v>1926</v>
      </c>
      <c r="F23" s="20" t="s">
        <v>1927</v>
      </c>
      <c r="G23" s="20" t="s">
        <v>1881</v>
      </c>
      <c r="H23" s="20" t="s">
        <v>1868</v>
      </c>
      <c r="I23" s="20" t="s">
        <v>1928</v>
      </c>
      <c r="J23" s="20" t="s">
        <v>1701</v>
      </c>
      <c r="K23" s="20" t="s">
        <v>1868</v>
      </c>
    </row>
    <row r="24" spans="1:11" ht="14.1" hidden="1">
      <c r="A24" s="20" t="s">
        <v>209</v>
      </c>
      <c r="B24" s="20" t="s">
        <v>210</v>
      </c>
      <c r="C24" s="21" t="s">
        <v>897</v>
      </c>
      <c r="D24" s="20" t="s">
        <v>551</v>
      </c>
      <c r="E24" s="20" t="s">
        <v>541</v>
      </c>
      <c r="F24" s="20" t="s">
        <v>542</v>
      </c>
      <c r="G24" s="20" t="s">
        <v>1871</v>
      </c>
      <c r="H24" s="20" t="s">
        <v>1907</v>
      </c>
      <c r="I24" s="20" t="s">
        <v>552</v>
      </c>
      <c r="J24" s="20" t="s">
        <v>1812</v>
      </c>
      <c r="K24" s="20" t="s">
        <v>1868</v>
      </c>
    </row>
    <row r="25" spans="1:11" ht="14.1" hidden="1">
      <c r="A25" s="20" t="s">
        <v>209</v>
      </c>
      <c r="B25" s="20" t="s">
        <v>210</v>
      </c>
      <c r="C25" s="21" t="s">
        <v>217</v>
      </c>
      <c r="D25" s="20" t="s">
        <v>1929</v>
      </c>
      <c r="E25" s="20" t="s">
        <v>1930</v>
      </c>
      <c r="F25" s="20" t="s">
        <v>1931</v>
      </c>
      <c r="G25" s="20" t="s">
        <v>1871</v>
      </c>
      <c r="H25" s="20" t="s">
        <v>1903</v>
      </c>
      <c r="I25" s="20" t="s">
        <v>1932</v>
      </c>
      <c r="J25" s="20" t="s">
        <v>1933</v>
      </c>
      <c r="K25" s="20" t="s">
        <v>1868</v>
      </c>
    </row>
    <row r="26" spans="1:11" ht="14.1">
      <c r="A26" s="20" t="s">
        <v>234</v>
      </c>
      <c r="B26" s="20" t="s">
        <v>236</v>
      </c>
      <c r="C26" s="21" t="s">
        <v>897</v>
      </c>
      <c r="D26" s="20" t="s">
        <v>1934</v>
      </c>
      <c r="E26" s="20" t="s">
        <v>1935</v>
      </c>
      <c r="F26" s="20" t="s">
        <v>1936</v>
      </c>
      <c r="G26" s="20" t="s">
        <v>1937</v>
      </c>
      <c r="H26" s="20" t="s">
        <v>1907</v>
      </c>
      <c r="I26" s="20" t="s">
        <v>1938</v>
      </c>
      <c r="J26" s="20" t="s">
        <v>1701</v>
      </c>
      <c r="K26" s="20" t="s">
        <v>1868</v>
      </c>
    </row>
    <row r="27" spans="1:11" ht="14.1">
      <c r="A27" s="20" t="s">
        <v>234</v>
      </c>
      <c r="B27" s="20" t="s">
        <v>236</v>
      </c>
      <c r="C27" s="21" t="s">
        <v>897</v>
      </c>
      <c r="D27" s="20" t="s">
        <v>1934</v>
      </c>
      <c r="E27" s="20" t="s">
        <v>1939</v>
      </c>
      <c r="F27" s="20" t="s">
        <v>1940</v>
      </c>
      <c r="G27" s="20" t="s">
        <v>1937</v>
      </c>
      <c r="H27" s="20" t="s">
        <v>1907</v>
      </c>
      <c r="I27" s="20" t="s">
        <v>1941</v>
      </c>
      <c r="J27" s="20" t="s">
        <v>1701</v>
      </c>
      <c r="K27" s="20" t="s">
        <v>1868</v>
      </c>
    </row>
    <row r="28" spans="1:11" ht="14.1">
      <c r="A28" s="20" t="s">
        <v>234</v>
      </c>
      <c r="B28" s="20" t="s">
        <v>236</v>
      </c>
      <c r="C28" s="21" t="s">
        <v>897</v>
      </c>
      <c r="D28" s="20" t="s">
        <v>1942</v>
      </c>
      <c r="E28" s="20" t="s">
        <v>1943</v>
      </c>
      <c r="F28" s="20" t="s">
        <v>1944</v>
      </c>
      <c r="G28" s="20" t="s">
        <v>1881</v>
      </c>
      <c r="H28" s="20" t="s">
        <v>1907</v>
      </c>
      <c r="I28" s="20" t="s">
        <v>1945</v>
      </c>
      <c r="J28" s="20" t="s">
        <v>1701</v>
      </c>
      <c r="K28" s="20" t="s">
        <v>1868</v>
      </c>
    </row>
    <row r="29" spans="1:11" ht="14.1">
      <c r="A29" s="20" t="s">
        <v>234</v>
      </c>
      <c r="B29" s="20" t="s">
        <v>236</v>
      </c>
      <c r="C29" s="21" t="s">
        <v>897</v>
      </c>
      <c r="D29" s="20" t="s">
        <v>1942</v>
      </c>
      <c r="E29" s="20" t="s">
        <v>1946</v>
      </c>
      <c r="F29" s="20" t="s">
        <v>1947</v>
      </c>
      <c r="G29" s="20" t="s">
        <v>1881</v>
      </c>
      <c r="H29" s="20" t="s">
        <v>1907</v>
      </c>
      <c r="I29" s="20" t="s">
        <v>1948</v>
      </c>
      <c r="J29" s="20" t="s">
        <v>1701</v>
      </c>
      <c r="K29" s="20" t="s">
        <v>1868</v>
      </c>
    </row>
    <row r="30" spans="1:11" ht="14.1">
      <c r="A30" s="20" t="s">
        <v>234</v>
      </c>
      <c r="B30" s="20" t="s">
        <v>236</v>
      </c>
      <c r="C30" s="21" t="s">
        <v>897</v>
      </c>
      <c r="D30" s="20" t="s">
        <v>1949</v>
      </c>
      <c r="E30" s="20" t="s">
        <v>1950</v>
      </c>
      <c r="F30" s="20" t="s">
        <v>1951</v>
      </c>
      <c r="G30" s="20" t="s">
        <v>1881</v>
      </c>
      <c r="H30" s="20" t="s">
        <v>1907</v>
      </c>
      <c r="I30" s="20" t="s">
        <v>1952</v>
      </c>
      <c r="J30" s="20" t="s">
        <v>1701</v>
      </c>
      <c r="K30" s="20" t="s">
        <v>1868</v>
      </c>
    </row>
    <row r="31" spans="1:11" ht="14.1">
      <c r="A31" s="20" t="s">
        <v>234</v>
      </c>
      <c r="B31" s="20" t="s">
        <v>236</v>
      </c>
      <c r="C31" s="21" t="s">
        <v>897</v>
      </c>
      <c r="D31" s="20" t="s">
        <v>1942</v>
      </c>
      <c r="E31" s="20" t="s">
        <v>1953</v>
      </c>
      <c r="F31" s="20" t="s">
        <v>1954</v>
      </c>
      <c r="G31" s="20" t="s">
        <v>1881</v>
      </c>
      <c r="H31" s="20" t="s">
        <v>1907</v>
      </c>
      <c r="I31" s="20" t="s">
        <v>1955</v>
      </c>
      <c r="J31" s="20" t="s">
        <v>1701</v>
      </c>
      <c r="K31" s="20" t="s">
        <v>1868</v>
      </c>
    </row>
    <row r="32" spans="1:11" ht="14.1">
      <c r="A32" s="20" t="s">
        <v>234</v>
      </c>
      <c r="B32" s="20" t="s">
        <v>236</v>
      </c>
      <c r="C32" s="21" t="s">
        <v>897</v>
      </c>
      <c r="D32" s="20" t="s">
        <v>1949</v>
      </c>
      <c r="E32" s="20" t="s">
        <v>1956</v>
      </c>
      <c r="F32" s="20" t="s">
        <v>1957</v>
      </c>
      <c r="G32" s="20" t="s">
        <v>1881</v>
      </c>
      <c r="H32" s="20" t="s">
        <v>1907</v>
      </c>
      <c r="I32" s="20" t="s">
        <v>1958</v>
      </c>
      <c r="J32" s="20" t="s">
        <v>1701</v>
      </c>
      <c r="K32" s="20" t="s">
        <v>1868</v>
      </c>
    </row>
    <row r="33" spans="1:11" ht="14.1">
      <c r="A33" s="20" t="s">
        <v>234</v>
      </c>
      <c r="B33" s="20" t="s">
        <v>236</v>
      </c>
      <c r="C33" s="21" t="s">
        <v>897</v>
      </c>
      <c r="D33" s="20" t="s">
        <v>1949</v>
      </c>
      <c r="E33" s="20" t="s">
        <v>1959</v>
      </c>
      <c r="F33" s="20" t="s">
        <v>1960</v>
      </c>
      <c r="G33" s="20" t="s">
        <v>1937</v>
      </c>
      <c r="H33" s="20" t="s">
        <v>1907</v>
      </c>
      <c r="I33" s="20" t="s">
        <v>1961</v>
      </c>
      <c r="J33" s="20" t="s">
        <v>1701</v>
      </c>
      <c r="K33" s="20" t="s">
        <v>1868</v>
      </c>
    </row>
    <row r="34" spans="1:11" ht="14.1">
      <c r="A34" s="20" t="s">
        <v>234</v>
      </c>
      <c r="B34" s="20" t="s">
        <v>236</v>
      </c>
      <c r="C34" s="21" t="s">
        <v>897</v>
      </c>
      <c r="D34" s="20" t="s">
        <v>1949</v>
      </c>
      <c r="E34" s="20" t="s">
        <v>1935</v>
      </c>
      <c r="F34" s="20" t="s">
        <v>1936</v>
      </c>
      <c r="G34" s="20" t="s">
        <v>1937</v>
      </c>
      <c r="H34" s="20" t="s">
        <v>1907</v>
      </c>
      <c r="I34" s="20" t="s">
        <v>1962</v>
      </c>
      <c r="J34" s="20" t="s">
        <v>1701</v>
      </c>
      <c r="K34" s="20" t="s">
        <v>1868</v>
      </c>
    </row>
    <row r="35" spans="1:11" ht="14.1">
      <c r="A35" s="20" t="s">
        <v>234</v>
      </c>
      <c r="B35" s="20" t="s">
        <v>236</v>
      </c>
      <c r="C35" s="21" t="s">
        <v>897</v>
      </c>
      <c r="D35" s="20" t="s">
        <v>1949</v>
      </c>
      <c r="E35" s="20" t="s">
        <v>1939</v>
      </c>
      <c r="F35" s="20" t="s">
        <v>1940</v>
      </c>
      <c r="G35" s="20" t="s">
        <v>1937</v>
      </c>
      <c r="H35" s="20" t="s">
        <v>1907</v>
      </c>
      <c r="I35" s="20" t="s">
        <v>1963</v>
      </c>
      <c r="J35" s="20" t="s">
        <v>1701</v>
      </c>
      <c r="K35" s="20" t="s">
        <v>1868</v>
      </c>
    </row>
    <row r="36" spans="1:11" ht="26.1">
      <c r="A36" s="25" t="s">
        <v>234</v>
      </c>
      <c r="B36" s="25" t="s">
        <v>236</v>
      </c>
      <c r="C36" s="26" t="s">
        <v>1964</v>
      </c>
      <c r="D36" s="25" t="s">
        <v>1868</v>
      </c>
      <c r="E36" s="20" t="s">
        <v>1257</v>
      </c>
      <c r="F36" s="25" t="s">
        <v>1258</v>
      </c>
      <c r="G36" s="20" t="s">
        <v>1871</v>
      </c>
      <c r="H36" s="25" t="s">
        <v>1868</v>
      </c>
      <c r="I36" s="25" t="s">
        <v>1868</v>
      </c>
      <c r="J36" s="25" t="s">
        <v>1868</v>
      </c>
      <c r="K36" s="25" t="s">
        <v>1965</v>
      </c>
    </row>
    <row r="37" spans="1:11" ht="30" customHeight="1">
      <c r="A37" s="20" t="s">
        <v>234</v>
      </c>
      <c r="B37" s="20" t="s">
        <v>236</v>
      </c>
      <c r="C37" s="24" t="s">
        <v>1966</v>
      </c>
      <c r="D37" s="20" t="s">
        <v>1967</v>
      </c>
      <c r="E37" s="20" t="s">
        <v>1968</v>
      </c>
      <c r="F37" s="20" t="s">
        <v>1969</v>
      </c>
      <c r="G37" s="20" t="s">
        <v>1937</v>
      </c>
      <c r="H37" s="20" t="s">
        <v>1970</v>
      </c>
      <c r="I37" s="20" t="s">
        <v>1971</v>
      </c>
      <c r="J37" s="20" t="s">
        <v>1812</v>
      </c>
      <c r="K37" s="20" t="s">
        <v>1868</v>
      </c>
    </row>
    <row r="38" spans="1:11" s="57" customFormat="1" ht="14.1">
      <c r="A38" s="20" t="s">
        <v>234</v>
      </c>
      <c r="B38" s="20" t="s">
        <v>236</v>
      </c>
      <c r="C38" s="24" t="s">
        <v>1966</v>
      </c>
      <c r="D38" s="20" t="s">
        <v>1967</v>
      </c>
      <c r="E38" s="20" t="s">
        <v>1972</v>
      </c>
      <c r="F38" s="20" t="s">
        <v>1973</v>
      </c>
      <c r="G38" s="20" t="s">
        <v>1937</v>
      </c>
      <c r="H38" s="20" t="s">
        <v>1970</v>
      </c>
      <c r="I38" s="20" t="s">
        <v>1974</v>
      </c>
      <c r="J38" s="20" t="s">
        <v>1812</v>
      </c>
      <c r="K38" s="20" t="s">
        <v>1868</v>
      </c>
    </row>
    <row r="39" spans="1:11" ht="14.1">
      <c r="A39" s="20" t="s">
        <v>234</v>
      </c>
      <c r="B39" s="20" t="s">
        <v>236</v>
      </c>
      <c r="C39" s="21" t="s">
        <v>1966</v>
      </c>
      <c r="D39" s="20" t="s">
        <v>1967</v>
      </c>
      <c r="E39" s="20" t="s">
        <v>1975</v>
      </c>
      <c r="F39" s="20" t="s">
        <v>1976</v>
      </c>
      <c r="G39" s="20" t="s">
        <v>1937</v>
      </c>
      <c r="H39" s="20" t="s">
        <v>1970</v>
      </c>
      <c r="I39" s="20" t="s">
        <v>1977</v>
      </c>
      <c r="J39" s="20" t="s">
        <v>1812</v>
      </c>
      <c r="K39" s="20"/>
    </row>
    <row r="40" spans="1:11" ht="14.1">
      <c r="A40" s="20" t="s">
        <v>234</v>
      </c>
      <c r="B40" s="20" t="s">
        <v>236</v>
      </c>
      <c r="C40" s="21" t="s">
        <v>1966</v>
      </c>
      <c r="D40" s="20" t="s">
        <v>1967</v>
      </c>
      <c r="E40" s="20" t="s">
        <v>1978</v>
      </c>
      <c r="F40" s="20" t="s">
        <v>1979</v>
      </c>
      <c r="G40" s="20" t="s">
        <v>1871</v>
      </c>
      <c r="H40" s="20" t="s">
        <v>1970</v>
      </c>
      <c r="I40" s="20" t="s">
        <v>1980</v>
      </c>
      <c r="J40" s="20" t="s">
        <v>1812</v>
      </c>
      <c r="K40" s="20" t="s">
        <v>1868</v>
      </c>
    </row>
    <row r="41" spans="1:11" ht="14.1">
      <c r="A41" s="20" t="s">
        <v>234</v>
      </c>
      <c r="B41" s="20" t="s">
        <v>236</v>
      </c>
      <c r="C41" s="21" t="s">
        <v>1722</v>
      </c>
      <c r="D41" s="20" t="s">
        <v>1981</v>
      </c>
      <c r="E41" s="20" t="s">
        <v>1982</v>
      </c>
      <c r="F41" s="20" t="s">
        <v>1983</v>
      </c>
      <c r="G41" s="20" t="s">
        <v>1881</v>
      </c>
      <c r="H41" s="20" t="s">
        <v>1868</v>
      </c>
      <c r="I41" s="20" t="s">
        <v>1984</v>
      </c>
      <c r="J41" s="20" t="s">
        <v>1701</v>
      </c>
      <c r="K41" s="20" t="s">
        <v>1895</v>
      </c>
    </row>
    <row r="42" spans="1:11" ht="14.1">
      <c r="A42" s="20" t="s">
        <v>234</v>
      </c>
      <c r="B42" s="20" t="s">
        <v>236</v>
      </c>
      <c r="C42" s="21" t="s">
        <v>1722</v>
      </c>
      <c r="D42" s="20" t="s">
        <v>1985</v>
      </c>
      <c r="E42" s="20" t="s">
        <v>1986</v>
      </c>
      <c r="F42" s="20" t="s">
        <v>1987</v>
      </c>
      <c r="G42" s="20" t="s">
        <v>1878</v>
      </c>
      <c r="H42" s="20" t="s">
        <v>1868</v>
      </c>
      <c r="I42" s="20" t="s">
        <v>1988</v>
      </c>
      <c r="J42" s="20" t="s">
        <v>1701</v>
      </c>
      <c r="K42" s="20" t="s">
        <v>1895</v>
      </c>
    </row>
    <row r="43" spans="1:11" ht="26.1">
      <c r="A43" s="20" t="s">
        <v>234</v>
      </c>
      <c r="B43" s="20" t="s">
        <v>236</v>
      </c>
      <c r="C43" s="21" t="s">
        <v>1722</v>
      </c>
      <c r="D43" s="20" t="s">
        <v>1985</v>
      </c>
      <c r="E43" s="20" t="s">
        <v>1989</v>
      </c>
      <c r="F43" s="20" t="s">
        <v>1990</v>
      </c>
      <c r="G43" s="20" t="s">
        <v>1878</v>
      </c>
      <c r="H43" s="20" t="s">
        <v>1868</v>
      </c>
      <c r="I43" s="20" t="s">
        <v>1991</v>
      </c>
      <c r="J43" s="20" t="s">
        <v>1701</v>
      </c>
      <c r="K43" s="20" t="s">
        <v>1895</v>
      </c>
    </row>
    <row r="44" spans="1:11" ht="14.1">
      <c r="A44" s="20" t="s">
        <v>234</v>
      </c>
      <c r="B44" s="20" t="s">
        <v>236</v>
      </c>
      <c r="C44" s="21" t="s">
        <v>1722</v>
      </c>
      <c r="D44" s="20" t="s">
        <v>1985</v>
      </c>
      <c r="E44" s="20" t="s">
        <v>1992</v>
      </c>
      <c r="F44" s="20" t="s">
        <v>1993</v>
      </c>
      <c r="G44" s="20" t="s">
        <v>1878</v>
      </c>
      <c r="H44" s="20" t="s">
        <v>1868</v>
      </c>
      <c r="I44" s="20" t="s">
        <v>1994</v>
      </c>
      <c r="J44" s="20" t="s">
        <v>1701</v>
      </c>
      <c r="K44" s="20" t="s">
        <v>1895</v>
      </c>
    </row>
    <row r="45" spans="1:11" ht="26.1">
      <c r="A45" s="20" t="s">
        <v>234</v>
      </c>
      <c r="B45" s="20" t="s">
        <v>236</v>
      </c>
      <c r="C45" s="21" t="s">
        <v>1722</v>
      </c>
      <c r="D45" s="20" t="s">
        <v>1985</v>
      </c>
      <c r="E45" s="20" t="s">
        <v>1995</v>
      </c>
      <c r="F45" s="20" t="s">
        <v>1996</v>
      </c>
      <c r="G45" s="20" t="s">
        <v>1878</v>
      </c>
      <c r="H45" s="20" t="s">
        <v>1868</v>
      </c>
      <c r="I45" s="20" t="s">
        <v>1997</v>
      </c>
      <c r="J45" s="20" t="s">
        <v>1701</v>
      </c>
      <c r="K45" s="20" t="s">
        <v>1895</v>
      </c>
    </row>
    <row r="46" spans="1:11" ht="14.1" hidden="1">
      <c r="A46" s="20" t="s">
        <v>259</v>
      </c>
      <c r="B46" s="20" t="s">
        <v>260</v>
      </c>
      <c r="C46" s="21" t="s">
        <v>217</v>
      </c>
      <c r="D46" s="20" t="s">
        <v>1900</v>
      </c>
      <c r="E46" s="20" t="s">
        <v>1901</v>
      </c>
      <c r="F46" s="20" t="s">
        <v>1902</v>
      </c>
      <c r="G46" s="20" t="s">
        <v>1881</v>
      </c>
      <c r="H46" s="20" t="s">
        <v>1903</v>
      </c>
      <c r="I46" s="20" t="s">
        <v>1904</v>
      </c>
      <c r="J46" s="20" t="s">
        <v>1701</v>
      </c>
      <c r="K46" s="20" t="s">
        <v>1895</v>
      </c>
    </row>
    <row r="47" spans="1:11" ht="26.1" hidden="1">
      <c r="A47" s="20" t="s">
        <v>259</v>
      </c>
      <c r="B47" s="20" t="s">
        <v>260</v>
      </c>
      <c r="C47" s="21" t="s">
        <v>217</v>
      </c>
      <c r="D47" s="20" t="s">
        <v>1998</v>
      </c>
      <c r="E47" s="20" t="s">
        <v>1999</v>
      </c>
      <c r="F47" s="20" t="s">
        <v>2000</v>
      </c>
      <c r="G47" s="20" t="s">
        <v>1871</v>
      </c>
      <c r="H47" s="20" t="s">
        <v>2001</v>
      </c>
      <c r="I47" s="20" t="s">
        <v>2002</v>
      </c>
      <c r="J47" s="20" t="s">
        <v>1701</v>
      </c>
      <c r="K47" s="20" t="s">
        <v>1895</v>
      </c>
    </row>
    <row r="48" spans="1:11" ht="14.1" hidden="1">
      <c r="A48" s="20" t="s">
        <v>259</v>
      </c>
      <c r="B48" s="20" t="s">
        <v>260</v>
      </c>
      <c r="C48" s="21" t="s">
        <v>1722</v>
      </c>
      <c r="D48" s="20" t="s">
        <v>2003</v>
      </c>
      <c r="E48" s="20" t="s">
        <v>2004</v>
      </c>
      <c r="F48" s="20" t="s">
        <v>2005</v>
      </c>
      <c r="G48" s="20" t="s">
        <v>1871</v>
      </c>
      <c r="H48" s="20" t="s">
        <v>1868</v>
      </c>
      <c r="I48" s="20" t="s">
        <v>2002</v>
      </c>
      <c r="J48" s="20" t="s">
        <v>1701</v>
      </c>
      <c r="K48" s="20" t="s">
        <v>1895</v>
      </c>
    </row>
    <row r="49" spans="1:11" ht="14.1" hidden="1">
      <c r="A49" s="20" t="s">
        <v>259</v>
      </c>
      <c r="B49" s="20" t="s">
        <v>260</v>
      </c>
      <c r="C49" s="21" t="s">
        <v>1722</v>
      </c>
      <c r="D49" s="20" t="s">
        <v>2006</v>
      </c>
      <c r="E49" s="20" t="s">
        <v>2007</v>
      </c>
      <c r="F49" s="20" t="s">
        <v>2008</v>
      </c>
      <c r="G49" s="20" t="s">
        <v>1871</v>
      </c>
      <c r="H49" s="20" t="s">
        <v>1868</v>
      </c>
      <c r="I49" s="20" t="s">
        <v>2002</v>
      </c>
      <c r="J49" s="20" t="s">
        <v>1701</v>
      </c>
      <c r="K49" s="20" t="s">
        <v>1895</v>
      </c>
    </row>
    <row r="50" spans="1:11" ht="14.1" hidden="1">
      <c r="A50" s="20" t="s">
        <v>290</v>
      </c>
      <c r="B50" s="20" t="s">
        <v>291</v>
      </c>
      <c r="C50" s="21" t="s">
        <v>1916</v>
      </c>
      <c r="D50" s="20" t="s">
        <v>1868</v>
      </c>
      <c r="E50" s="20" t="s">
        <v>2009</v>
      </c>
      <c r="F50" s="20" t="s">
        <v>2010</v>
      </c>
      <c r="G50" s="20" t="s">
        <v>1881</v>
      </c>
      <c r="H50" s="20" t="s">
        <v>1868</v>
      </c>
      <c r="I50" s="20" t="s">
        <v>2011</v>
      </c>
      <c r="J50" s="20" t="s">
        <v>1701</v>
      </c>
      <c r="K50" s="20" t="s">
        <v>1868</v>
      </c>
    </row>
    <row r="51" spans="1:11" ht="14.1" hidden="1">
      <c r="A51" s="20" t="s">
        <v>290</v>
      </c>
      <c r="B51" s="20" t="s">
        <v>291</v>
      </c>
      <c r="C51" s="21" t="s">
        <v>1916</v>
      </c>
      <c r="D51" s="20" t="s">
        <v>1868</v>
      </c>
      <c r="E51" s="20" t="s">
        <v>2012</v>
      </c>
      <c r="F51" s="20" t="s">
        <v>2013</v>
      </c>
      <c r="G51" s="20" t="s">
        <v>1889</v>
      </c>
      <c r="H51" s="20" t="s">
        <v>1868</v>
      </c>
      <c r="I51" s="20" t="s">
        <v>2014</v>
      </c>
      <c r="J51" s="20" t="s">
        <v>1701</v>
      </c>
      <c r="K51" s="20" t="s">
        <v>1868</v>
      </c>
    </row>
    <row r="52" spans="1:11" ht="14.1" hidden="1">
      <c r="A52" s="20" t="s">
        <v>290</v>
      </c>
      <c r="B52" s="20" t="s">
        <v>291</v>
      </c>
      <c r="C52" s="21" t="s">
        <v>1916</v>
      </c>
      <c r="D52" s="20" t="s">
        <v>1868</v>
      </c>
      <c r="E52" s="20" t="s">
        <v>2015</v>
      </c>
      <c r="F52" s="20" t="s">
        <v>2016</v>
      </c>
      <c r="G52" s="20" t="s">
        <v>1889</v>
      </c>
      <c r="H52" s="20" t="s">
        <v>1868</v>
      </c>
      <c r="I52" s="20" t="s">
        <v>2017</v>
      </c>
      <c r="J52" s="20" t="s">
        <v>1701</v>
      </c>
      <c r="K52" s="20" t="s">
        <v>1868</v>
      </c>
    </row>
    <row r="53" spans="1:11" ht="14.1" hidden="1">
      <c r="A53" s="20" t="s">
        <v>290</v>
      </c>
      <c r="B53" s="20" t="s">
        <v>291</v>
      </c>
      <c r="C53" s="21" t="s">
        <v>1916</v>
      </c>
      <c r="D53" s="20" t="s">
        <v>1868</v>
      </c>
      <c r="E53" s="20" t="s">
        <v>2018</v>
      </c>
      <c r="F53" s="20" t="s">
        <v>2019</v>
      </c>
      <c r="G53" s="20" t="s">
        <v>1881</v>
      </c>
      <c r="H53" s="20" t="s">
        <v>1868</v>
      </c>
      <c r="I53" s="20" t="s">
        <v>2020</v>
      </c>
      <c r="J53" s="20" t="s">
        <v>1701</v>
      </c>
      <c r="K53" s="20" t="s">
        <v>1868</v>
      </c>
    </row>
    <row r="54" spans="1:11" ht="14.1" hidden="1">
      <c r="A54" s="20" t="s">
        <v>290</v>
      </c>
      <c r="B54" s="20"/>
      <c r="C54" s="21" t="s">
        <v>1916</v>
      </c>
      <c r="D54" s="20"/>
      <c r="E54" s="20"/>
      <c r="F54" s="20" t="s">
        <v>2021</v>
      </c>
      <c r="G54" s="20" t="s">
        <v>1878</v>
      </c>
      <c r="H54" s="20"/>
      <c r="I54" s="20"/>
      <c r="J54" s="20" t="s">
        <v>1701</v>
      </c>
      <c r="K54" s="20"/>
    </row>
    <row r="55" spans="1:11" ht="26.1" hidden="1">
      <c r="A55" s="20" t="s">
        <v>2022</v>
      </c>
      <c r="B55" s="20" t="s">
        <v>1507</v>
      </c>
      <c r="C55" s="21" t="s">
        <v>897</v>
      </c>
      <c r="D55" s="20" t="s">
        <v>1949</v>
      </c>
      <c r="E55" s="20" t="s">
        <v>2023</v>
      </c>
      <c r="F55" s="20" t="s">
        <v>1506</v>
      </c>
      <c r="G55" s="20" t="s">
        <v>1881</v>
      </c>
      <c r="H55" s="20" t="s">
        <v>1907</v>
      </c>
      <c r="I55" s="20" t="s">
        <v>2024</v>
      </c>
      <c r="J55" s="20" t="s">
        <v>1812</v>
      </c>
      <c r="K55" s="20" t="s">
        <v>1868</v>
      </c>
    </row>
    <row r="56" spans="1:11" ht="26.1" hidden="1">
      <c r="A56" s="20" t="s">
        <v>2022</v>
      </c>
      <c r="B56" s="20" t="s">
        <v>1507</v>
      </c>
      <c r="C56" s="21" t="s">
        <v>1805</v>
      </c>
      <c r="D56" s="20" t="s">
        <v>1442</v>
      </c>
      <c r="E56" s="20" t="s">
        <v>2025</v>
      </c>
      <c r="F56" s="20" t="s">
        <v>1508</v>
      </c>
      <c r="G56" s="20" t="s">
        <v>1878</v>
      </c>
      <c r="H56" s="20" t="s">
        <v>1868</v>
      </c>
      <c r="I56" s="20"/>
      <c r="J56" s="20" t="s">
        <v>1812</v>
      </c>
      <c r="K56" s="20" t="s">
        <v>2026</v>
      </c>
    </row>
    <row r="57" spans="1:11" ht="26.1" hidden="1">
      <c r="A57" s="20" t="s">
        <v>2022</v>
      </c>
      <c r="B57" s="20" t="s">
        <v>1507</v>
      </c>
      <c r="C57" s="21" t="s">
        <v>1805</v>
      </c>
      <c r="D57" s="20" t="s">
        <v>1442</v>
      </c>
      <c r="E57" s="20" t="s">
        <v>2027</v>
      </c>
      <c r="F57" s="20" t="s">
        <v>1509</v>
      </c>
      <c r="G57" s="20" t="s">
        <v>1878</v>
      </c>
      <c r="H57" s="20" t="s">
        <v>1868</v>
      </c>
      <c r="I57" s="20"/>
      <c r="J57" s="20" t="s">
        <v>1812</v>
      </c>
      <c r="K57" s="20" t="s">
        <v>2026</v>
      </c>
    </row>
    <row r="58" spans="1:11" ht="26.1" hidden="1">
      <c r="A58" s="20" t="s">
        <v>2022</v>
      </c>
      <c r="B58" s="20" t="s">
        <v>1507</v>
      </c>
      <c r="C58" s="21" t="s">
        <v>1805</v>
      </c>
      <c r="D58" s="20" t="s">
        <v>1442</v>
      </c>
      <c r="E58" s="20" t="s">
        <v>2028</v>
      </c>
      <c r="F58" s="20" t="s">
        <v>2029</v>
      </c>
      <c r="G58" s="20" t="s">
        <v>1889</v>
      </c>
      <c r="H58" s="20" t="s">
        <v>1868</v>
      </c>
      <c r="I58" s="20" t="s">
        <v>1868</v>
      </c>
      <c r="J58" s="20" t="s">
        <v>1812</v>
      </c>
      <c r="K58" s="20" t="s">
        <v>2026</v>
      </c>
    </row>
    <row r="59" spans="1:11" ht="14.1" hidden="1">
      <c r="A59" s="20" t="s">
        <v>321</v>
      </c>
      <c r="B59" s="20" t="s">
        <v>322</v>
      </c>
      <c r="C59" s="21" t="s">
        <v>1916</v>
      </c>
      <c r="D59" s="20" t="s">
        <v>1868</v>
      </c>
      <c r="E59" s="20" t="s">
        <v>2030</v>
      </c>
      <c r="F59" s="20" t="s">
        <v>2031</v>
      </c>
      <c r="G59" s="20" t="s">
        <v>1881</v>
      </c>
      <c r="H59" s="20" t="s">
        <v>1868</v>
      </c>
      <c r="I59" s="20" t="s">
        <v>2032</v>
      </c>
      <c r="J59" s="20" t="s">
        <v>1812</v>
      </c>
      <c r="K59" s="20" t="s">
        <v>1868</v>
      </c>
    </row>
    <row r="60" spans="1:11" ht="14.1" hidden="1">
      <c r="A60" s="20" t="s">
        <v>321</v>
      </c>
      <c r="B60" s="20" t="s">
        <v>322</v>
      </c>
      <c r="C60" s="24" t="s">
        <v>1916</v>
      </c>
      <c r="D60" s="20" t="s">
        <v>1868</v>
      </c>
      <c r="E60" s="20" t="s">
        <v>2033</v>
      </c>
      <c r="F60" s="20" t="s">
        <v>2034</v>
      </c>
      <c r="G60" s="20" t="s">
        <v>1881</v>
      </c>
      <c r="H60" s="20" t="s">
        <v>1868</v>
      </c>
      <c r="I60" s="20" t="s">
        <v>2035</v>
      </c>
      <c r="J60" s="20" t="s">
        <v>1812</v>
      </c>
      <c r="K60" s="20" t="s">
        <v>1868</v>
      </c>
    </row>
    <row r="61" spans="1:11" ht="14.1" hidden="1">
      <c r="A61" s="20" t="s">
        <v>321</v>
      </c>
      <c r="B61" s="20" t="s">
        <v>322</v>
      </c>
      <c r="C61" s="24" t="s">
        <v>1916</v>
      </c>
      <c r="D61" s="20" t="s">
        <v>1868</v>
      </c>
      <c r="E61" s="20" t="s">
        <v>2036</v>
      </c>
      <c r="F61" s="20" t="s">
        <v>2037</v>
      </c>
      <c r="G61" s="20" t="s">
        <v>1881</v>
      </c>
      <c r="H61" s="20" t="s">
        <v>1868</v>
      </c>
      <c r="I61" s="20" t="s">
        <v>2038</v>
      </c>
      <c r="J61" s="20" t="s">
        <v>1812</v>
      </c>
      <c r="K61" s="20" t="s">
        <v>1868</v>
      </c>
    </row>
    <row r="62" spans="1:11" ht="26.1" hidden="1">
      <c r="A62" s="20" t="s">
        <v>321</v>
      </c>
      <c r="B62" s="20" t="s">
        <v>322</v>
      </c>
      <c r="C62" s="21" t="s">
        <v>1916</v>
      </c>
      <c r="D62" s="20" t="s">
        <v>1868</v>
      </c>
      <c r="E62" s="20" t="s">
        <v>2039</v>
      </c>
      <c r="F62" s="20" t="s">
        <v>2040</v>
      </c>
      <c r="G62" s="20" t="s">
        <v>1881</v>
      </c>
      <c r="H62" s="20" t="s">
        <v>1868</v>
      </c>
      <c r="I62" s="20" t="s">
        <v>2041</v>
      </c>
      <c r="J62" s="20" t="s">
        <v>1812</v>
      </c>
      <c r="K62" s="20" t="s">
        <v>1868</v>
      </c>
    </row>
    <row r="63" spans="1:11" ht="14.1" hidden="1">
      <c r="A63" s="20" t="s">
        <v>321</v>
      </c>
      <c r="B63" s="20" t="s">
        <v>322</v>
      </c>
      <c r="C63" s="24" t="s">
        <v>1916</v>
      </c>
      <c r="D63" s="20" t="s">
        <v>1868</v>
      </c>
      <c r="E63" s="20" t="s">
        <v>2042</v>
      </c>
      <c r="F63" s="20" t="s">
        <v>2043</v>
      </c>
      <c r="G63" s="20" t="s">
        <v>1878</v>
      </c>
      <c r="H63" s="20" t="s">
        <v>1868</v>
      </c>
      <c r="I63" s="20" t="s">
        <v>2044</v>
      </c>
      <c r="J63" s="20" t="s">
        <v>1812</v>
      </c>
      <c r="K63" s="20" t="s">
        <v>1868</v>
      </c>
    </row>
    <row r="64" spans="1:11" ht="14.1" hidden="1">
      <c r="A64" s="20" t="s">
        <v>321</v>
      </c>
      <c r="B64" s="20" t="s">
        <v>322</v>
      </c>
      <c r="C64" s="21" t="s">
        <v>1916</v>
      </c>
      <c r="D64" s="20" t="s">
        <v>1868</v>
      </c>
      <c r="E64" s="20" t="s">
        <v>2045</v>
      </c>
      <c r="F64" s="20" t="s">
        <v>2046</v>
      </c>
      <c r="G64" s="20" t="s">
        <v>1871</v>
      </c>
      <c r="H64" s="20" t="s">
        <v>1868</v>
      </c>
      <c r="I64" s="20" t="s">
        <v>2047</v>
      </c>
      <c r="J64" s="20" t="s">
        <v>1812</v>
      </c>
      <c r="K64" s="20" t="s">
        <v>1868</v>
      </c>
    </row>
    <row r="65" spans="1:11" ht="14.1" hidden="1">
      <c r="A65" s="20" t="s">
        <v>321</v>
      </c>
      <c r="B65" s="20" t="s">
        <v>322</v>
      </c>
      <c r="C65" s="21" t="s">
        <v>1916</v>
      </c>
      <c r="D65" s="20" t="s">
        <v>1868</v>
      </c>
      <c r="E65" s="20" t="s">
        <v>2048</v>
      </c>
      <c r="F65" s="20" t="s">
        <v>2049</v>
      </c>
      <c r="G65" s="20" t="s">
        <v>1889</v>
      </c>
      <c r="H65" s="20" t="s">
        <v>1868</v>
      </c>
      <c r="I65" s="20" t="s">
        <v>2050</v>
      </c>
      <c r="J65" s="20" t="s">
        <v>1812</v>
      </c>
      <c r="K65" s="20" t="s">
        <v>1868</v>
      </c>
    </row>
    <row r="66" spans="1:11" ht="14.1" hidden="1">
      <c r="A66" s="20" t="s">
        <v>327</v>
      </c>
      <c r="B66" s="20" t="s">
        <v>1138</v>
      </c>
      <c r="C66" s="24" t="s">
        <v>1916</v>
      </c>
      <c r="D66" s="20" t="s">
        <v>1868</v>
      </c>
      <c r="E66" s="20" t="s">
        <v>2051</v>
      </c>
      <c r="F66" s="20" t="s">
        <v>2052</v>
      </c>
      <c r="G66" s="20" t="s">
        <v>1889</v>
      </c>
      <c r="H66" s="20" t="s">
        <v>1868</v>
      </c>
      <c r="I66" s="20" t="s">
        <v>2053</v>
      </c>
      <c r="J66" s="20" t="s">
        <v>1701</v>
      </c>
      <c r="K66" s="20" t="s">
        <v>1868</v>
      </c>
    </row>
    <row r="67" spans="1:11" ht="14.1" hidden="1">
      <c r="A67" s="20" t="s">
        <v>327</v>
      </c>
      <c r="B67" s="20" t="s">
        <v>1138</v>
      </c>
      <c r="C67" s="21" t="s">
        <v>1916</v>
      </c>
      <c r="D67" s="20" t="s">
        <v>1868</v>
      </c>
      <c r="E67" s="20" t="s">
        <v>2054</v>
      </c>
      <c r="F67" s="20" t="s">
        <v>2055</v>
      </c>
      <c r="G67" s="20" t="s">
        <v>1881</v>
      </c>
      <c r="H67" s="20" t="s">
        <v>1868</v>
      </c>
      <c r="I67" s="20" t="s">
        <v>2056</v>
      </c>
      <c r="J67" s="20" t="s">
        <v>1701</v>
      </c>
      <c r="K67" s="20" t="s">
        <v>1868</v>
      </c>
    </row>
    <row r="68" spans="1:11" ht="14.1" hidden="1">
      <c r="A68" s="20" t="s">
        <v>327</v>
      </c>
      <c r="B68" s="20" t="s">
        <v>1138</v>
      </c>
      <c r="C68" s="21" t="s">
        <v>1916</v>
      </c>
      <c r="D68" s="20" t="s">
        <v>1868</v>
      </c>
      <c r="E68" s="20" t="s">
        <v>2057</v>
      </c>
      <c r="F68" s="20" t="s">
        <v>2058</v>
      </c>
      <c r="G68" s="20" t="s">
        <v>1881</v>
      </c>
      <c r="H68" s="20" t="s">
        <v>1868</v>
      </c>
      <c r="I68" s="20" t="s">
        <v>2059</v>
      </c>
      <c r="J68" s="20" t="s">
        <v>1701</v>
      </c>
      <c r="K68" s="20" t="s">
        <v>1868</v>
      </c>
    </row>
    <row r="69" spans="1:11" ht="14.1" hidden="1">
      <c r="A69" s="20" t="s">
        <v>327</v>
      </c>
      <c r="B69" s="20" t="s">
        <v>1138</v>
      </c>
      <c r="C69" s="21" t="s">
        <v>1916</v>
      </c>
      <c r="D69" s="20" t="s">
        <v>2060</v>
      </c>
      <c r="E69" s="20" t="s">
        <v>2061</v>
      </c>
      <c r="F69" s="20" t="s">
        <v>2062</v>
      </c>
      <c r="G69" s="20" t="s">
        <v>1881</v>
      </c>
      <c r="H69" s="20" t="s">
        <v>1868</v>
      </c>
      <c r="I69" s="20" t="s">
        <v>2063</v>
      </c>
      <c r="J69" s="20" t="s">
        <v>1701</v>
      </c>
      <c r="K69" s="20" t="s">
        <v>1868</v>
      </c>
    </row>
    <row r="70" spans="1:11" ht="14.1" hidden="1">
      <c r="A70" s="20" t="s">
        <v>327</v>
      </c>
      <c r="B70" s="20" t="s">
        <v>1138</v>
      </c>
      <c r="C70" s="21" t="s">
        <v>1916</v>
      </c>
      <c r="D70" s="20" t="s">
        <v>2064</v>
      </c>
      <c r="E70" s="20"/>
      <c r="F70" s="20" t="s">
        <v>2065</v>
      </c>
      <c r="G70" s="20" t="s">
        <v>1881</v>
      </c>
      <c r="H70" s="20"/>
      <c r="I70" s="20" t="s">
        <v>2066</v>
      </c>
      <c r="J70" s="20" t="s">
        <v>1701</v>
      </c>
      <c r="K70" s="20"/>
    </row>
    <row r="71" spans="1:11" ht="26.1" hidden="1">
      <c r="A71" s="20" t="s">
        <v>359</v>
      </c>
      <c r="B71" s="20" t="s">
        <v>360</v>
      </c>
      <c r="C71" s="21" t="s">
        <v>2067</v>
      </c>
      <c r="D71" s="20" t="s">
        <v>2068</v>
      </c>
      <c r="E71" s="20" t="s">
        <v>2069</v>
      </c>
      <c r="F71" s="20" t="s">
        <v>2070</v>
      </c>
      <c r="G71" s="20" t="s">
        <v>1881</v>
      </c>
      <c r="H71" s="20" t="s">
        <v>2071</v>
      </c>
      <c r="I71" s="20" t="s">
        <v>2072</v>
      </c>
      <c r="J71" s="20" t="s">
        <v>2073</v>
      </c>
      <c r="K71" s="20" t="s">
        <v>1965</v>
      </c>
    </row>
    <row r="72" spans="1:11" ht="51.95" hidden="1">
      <c r="A72" s="20"/>
      <c r="B72" s="20" t="s">
        <v>408</v>
      </c>
      <c r="C72" s="21" t="s">
        <v>782</v>
      </c>
      <c r="D72" s="20" t="s">
        <v>1868</v>
      </c>
      <c r="E72" s="20" t="s">
        <v>1909</v>
      </c>
      <c r="F72" s="20" t="s">
        <v>2074</v>
      </c>
      <c r="G72" s="20" t="s">
        <v>1881</v>
      </c>
      <c r="H72" s="20" t="s">
        <v>1868</v>
      </c>
      <c r="I72" s="20" t="s">
        <v>2075</v>
      </c>
      <c r="J72" s="20" t="s">
        <v>1812</v>
      </c>
      <c r="K72" s="20" t="s">
        <v>2076</v>
      </c>
    </row>
    <row r="73" spans="1:11" ht="14.1" hidden="1">
      <c r="A73" s="20"/>
      <c r="B73" s="20" t="s">
        <v>408</v>
      </c>
      <c r="C73" s="21" t="s">
        <v>782</v>
      </c>
      <c r="D73" s="20" t="s">
        <v>1868</v>
      </c>
      <c r="E73" s="20" t="s">
        <v>2077</v>
      </c>
      <c r="F73" s="20" t="s">
        <v>2078</v>
      </c>
      <c r="G73" s="20" t="s">
        <v>1881</v>
      </c>
      <c r="H73" s="20" t="s">
        <v>1868</v>
      </c>
      <c r="I73" s="20" t="s">
        <v>1868</v>
      </c>
      <c r="J73" s="20" t="s">
        <v>1812</v>
      </c>
      <c r="K73" s="20" t="s">
        <v>2076</v>
      </c>
    </row>
    <row r="74" spans="1:11" ht="14.1" hidden="1">
      <c r="A74" s="20"/>
      <c r="B74" s="20" t="s">
        <v>408</v>
      </c>
      <c r="C74" s="21" t="s">
        <v>782</v>
      </c>
      <c r="D74" s="20" t="s">
        <v>1868</v>
      </c>
      <c r="E74" s="20" t="s">
        <v>2079</v>
      </c>
      <c r="F74" s="20" t="s">
        <v>2080</v>
      </c>
      <c r="G74" s="20" t="s">
        <v>1881</v>
      </c>
      <c r="H74" s="20" t="s">
        <v>1868</v>
      </c>
      <c r="I74" s="20" t="s">
        <v>1868</v>
      </c>
      <c r="J74" s="20" t="s">
        <v>1812</v>
      </c>
      <c r="K74" s="20" t="s">
        <v>2076</v>
      </c>
    </row>
    <row r="75" spans="1:11" ht="14.1" hidden="1">
      <c r="A75" s="20"/>
      <c r="B75" s="20" t="s">
        <v>408</v>
      </c>
      <c r="C75" s="21" t="s">
        <v>782</v>
      </c>
      <c r="D75" s="20" t="s">
        <v>1868</v>
      </c>
      <c r="E75" s="20" t="s">
        <v>2081</v>
      </c>
      <c r="F75" s="20" t="s">
        <v>2082</v>
      </c>
      <c r="G75" s="20" t="s">
        <v>1881</v>
      </c>
      <c r="H75" s="20" t="s">
        <v>1868</v>
      </c>
      <c r="I75" s="20" t="s">
        <v>1868</v>
      </c>
      <c r="J75" s="20" t="s">
        <v>1812</v>
      </c>
      <c r="K75" s="20" t="s">
        <v>2076</v>
      </c>
    </row>
    <row r="76" spans="1:11" ht="14.1" hidden="1">
      <c r="A76" s="20"/>
      <c r="B76" s="20" t="s">
        <v>408</v>
      </c>
      <c r="C76" s="21" t="s">
        <v>782</v>
      </c>
      <c r="D76" s="20" t="s">
        <v>2083</v>
      </c>
      <c r="E76" s="20" t="s">
        <v>777</v>
      </c>
      <c r="F76" s="20" t="s">
        <v>778</v>
      </c>
      <c r="G76" s="20" t="s">
        <v>1871</v>
      </c>
      <c r="H76" s="20" t="s">
        <v>1868</v>
      </c>
      <c r="I76" s="20" t="s">
        <v>1868</v>
      </c>
      <c r="J76" s="20" t="s">
        <v>1812</v>
      </c>
      <c r="K76" s="20" t="s">
        <v>2076</v>
      </c>
    </row>
    <row r="77" spans="1:11" ht="14.1" hidden="1">
      <c r="A77" s="20"/>
      <c r="B77" s="20" t="s">
        <v>408</v>
      </c>
      <c r="C77" s="21" t="s">
        <v>782</v>
      </c>
      <c r="D77" s="20"/>
      <c r="E77" s="20" t="s">
        <v>2084</v>
      </c>
      <c r="F77" s="20" t="s">
        <v>2085</v>
      </c>
      <c r="G77" s="20" t="s">
        <v>1881</v>
      </c>
      <c r="H77" s="20" t="s">
        <v>1868</v>
      </c>
      <c r="I77" s="20"/>
      <c r="J77" s="20" t="s">
        <v>1812</v>
      </c>
      <c r="K77" s="20" t="s">
        <v>2076</v>
      </c>
    </row>
    <row r="78" spans="1:11" ht="14.1" hidden="1">
      <c r="A78" s="20"/>
      <c r="B78" s="20" t="s">
        <v>408</v>
      </c>
      <c r="C78" s="21" t="s">
        <v>782</v>
      </c>
      <c r="D78" s="20"/>
      <c r="E78" s="20" t="s">
        <v>2086</v>
      </c>
      <c r="F78" s="20" t="s">
        <v>2087</v>
      </c>
      <c r="G78" s="20" t="s">
        <v>1881</v>
      </c>
      <c r="H78" s="20" t="s">
        <v>1868</v>
      </c>
      <c r="I78" s="20" t="s">
        <v>1868</v>
      </c>
      <c r="J78" s="20" t="s">
        <v>1812</v>
      </c>
      <c r="K78" s="20" t="s">
        <v>2076</v>
      </c>
    </row>
    <row r="79" spans="1:11" ht="14.1" hidden="1">
      <c r="A79" s="20"/>
      <c r="B79" s="20" t="s">
        <v>408</v>
      </c>
      <c r="C79" s="21" t="s">
        <v>782</v>
      </c>
      <c r="D79" s="20" t="s">
        <v>1868</v>
      </c>
      <c r="E79" s="20" t="s">
        <v>2088</v>
      </c>
      <c r="F79" s="20" t="s">
        <v>2089</v>
      </c>
      <c r="G79" s="20" t="s">
        <v>1881</v>
      </c>
      <c r="H79" s="20" t="s">
        <v>1868</v>
      </c>
      <c r="I79" s="20" t="s">
        <v>1868</v>
      </c>
      <c r="J79" s="20" t="s">
        <v>1812</v>
      </c>
      <c r="K79" s="20" t="s">
        <v>2076</v>
      </c>
    </row>
    <row r="80" spans="1:11" ht="26.1" hidden="1">
      <c r="A80" s="20"/>
      <c r="B80" s="20" t="s">
        <v>408</v>
      </c>
      <c r="C80" s="21" t="s">
        <v>782</v>
      </c>
      <c r="D80" s="20"/>
      <c r="E80" s="20" t="s">
        <v>2090</v>
      </c>
      <c r="F80" s="20" t="s">
        <v>2091</v>
      </c>
      <c r="G80" s="20" t="s">
        <v>1871</v>
      </c>
      <c r="H80" s="20" t="s">
        <v>1868</v>
      </c>
      <c r="I80" s="20" t="s">
        <v>1868</v>
      </c>
      <c r="J80" s="20" t="s">
        <v>1812</v>
      </c>
      <c r="K80" s="20" t="s">
        <v>2076</v>
      </c>
    </row>
    <row r="81" spans="1:11" ht="14.1" hidden="1">
      <c r="A81" s="20"/>
      <c r="B81" s="20" t="s">
        <v>408</v>
      </c>
      <c r="C81" s="21" t="s">
        <v>782</v>
      </c>
      <c r="D81" s="20"/>
      <c r="E81" s="20" t="s">
        <v>2092</v>
      </c>
      <c r="F81" s="20"/>
      <c r="G81" s="20" t="s">
        <v>1871</v>
      </c>
      <c r="H81" s="20"/>
      <c r="I81" s="20"/>
      <c r="J81" s="20" t="s">
        <v>1812</v>
      </c>
      <c r="K81" s="20" t="s">
        <v>2076</v>
      </c>
    </row>
    <row r="82" spans="1:11" ht="14.1" hidden="1">
      <c r="A82" s="20"/>
      <c r="B82" s="20" t="s">
        <v>408</v>
      </c>
      <c r="C82" s="21" t="s">
        <v>782</v>
      </c>
      <c r="D82" s="20" t="s">
        <v>1868</v>
      </c>
      <c r="E82" s="20" t="s">
        <v>2093</v>
      </c>
      <c r="F82" s="20" t="s">
        <v>786</v>
      </c>
      <c r="G82" s="20" t="s">
        <v>1871</v>
      </c>
      <c r="H82" s="20" t="s">
        <v>1868</v>
      </c>
      <c r="I82" s="20" t="s">
        <v>1868</v>
      </c>
      <c r="J82" s="20" t="s">
        <v>1812</v>
      </c>
      <c r="K82" s="20" t="s">
        <v>2076</v>
      </c>
    </row>
    <row r="83" spans="1:11" ht="14.1" hidden="1">
      <c r="A83" s="20"/>
      <c r="B83" s="20" t="s">
        <v>408</v>
      </c>
      <c r="C83" s="21" t="s">
        <v>782</v>
      </c>
      <c r="D83" s="20"/>
      <c r="E83" s="20" t="s">
        <v>2094</v>
      </c>
      <c r="F83" s="20" t="s">
        <v>2095</v>
      </c>
      <c r="G83" s="20" t="s">
        <v>1871</v>
      </c>
      <c r="H83" s="20"/>
      <c r="I83" s="20"/>
      <c r="J83" s="20" t="s">
        <v>1812</v>
      </c>
      <c r="K83" s="20" t="s">
        <v>2076</v>
      </c>
    </row>
    <row r="84" spans="1:11" ht="14.1" hidden="1">
      <c r="A84" s="20"/>
      <c r="B84" s="20" t="s">
        <v>408</v>
      </c>
      <c r="C84" s="21" t="s">
        <v>782</v>
      </c>
      <c r="D84" s="20" t="s">
        <v>1868</v>
      </c>
      <c r="E84" s="20" t="s">
        <v>2096</v>
      </c>
      <c r="F84" s="20" t="s">
        <v>2097</v>
      </c>
      <c r="G84" s="20" t="s">
        <v>1871</v>
      </c>
      <c r="H84" s="20" t="s">
        <v>1868</v>
      </c>
      <c r="I84" s="20"/>
      <c r="J84" s="20" t="s">
        <v>1812</v>
      </c>
      <c r="K84" s="20" t="s">
        <v>2076</v>
      </c>
    </row>
    <row r="85" spans="1:11" ht="14.1" hidden="1">
      <c r="A85" s="20"/>
      <c r="B85" s="20" t="s">
        <v>408</v>
      </c>
      <c r="C85" s="21" t="s">
        <v>782</v>
      </c>
      <c r="D85" s="20" t="s">
        <v>1868</v>
      </c>
      <c r="E85" s="20" t="s">
        <v>2098</v>
      </c>
      <c r="F85" s="20" t="s">
        <v>2099</v>
      </c>
      <c r="G85" s="20" t="s">
        <v>1871</v>
      </c>
      <c r="H85" s="20" t="s">
        <v>1868</v>
      </c>
      <c r="I85" s="20" t="s">
        <v>1868</v>
      </c>
      <c r="J85" s="20" t="s">
        <v>1812</v>
      </c>
      <c r="K85" s="20" t="s">
        <v>2076</v>
      </c>
    </row>
    <row r="86" spans="1:11" ht="26.1" hidden="1">
      <c r="A86" s="20"/>
      <c r="B86" s="20" t="s">
        <v>1741</v>
      </c>
      <c r="C86" s="21" t="s">
        <v>897</v>
      </c>
      <c r="D86" s="20" t="s">
        <v>2100</v>
      </c>
      <c r="E86" s="20" t="s">
        <v>2101</v>
      </c>
      <c r="F86" s="20" t="s">
        <v>2102</v>
      </c>
      <c r="G86" s="20" t="s">
        <v>1871</v>
      </c>
      <c r="H86" s="20" t="s">
        <v>1907</v>
      </c>
      <c r="I86" s="20" t="s">
        <v>2103</v>
      </c>
      <c r="J86" s="20" t="s">
        <v>1812</v>
      </c>
      <c r="K86" s="20" t="s">
        <v>1868</v>
      </c>
    </row>
    <row r="87" spans="1:11" ht="14.1" hidden="1">
      <c r="A87" s="20"/>
      <c r="B87" s="20" t="s">
        <v>1741</v>
      </c>
      <c r="C87" s="21" t="s">
        <v>897</v>
      </c>
      <c r="D87" s="20" t="s">
        <v>2100</v>
      </c>
      <c r="E87" s="20" t="s">
        <v>2104</v>
      </c>
      <c r="F87" s="20" t="s">
        <v>2105</v>
      </c>
      <c r="G87" s="20" t="s">
        <v>1871</v>
      </c>
      <c r="H87" s="20" t="s">
        <v>1907</v>
      </c>
      <c r="I87" s="20" t="s">
        <v>2106</v>
      </c>
      <c r="J87" s="20" t="s">
        <v>1812</v>
      </c>
      <c r="K87" s="20" t="s">
        <v>1868</v>
      </c>
    </row>
    <row r="88" spans="1:11" ht="26.1" hidden="1">
      <c r="A88" s="20"/>
      <c r="B88" s="20" t="s">
        <v>1741</v>
      </c>
      <c r="C88" s="21" t="s">
        <v>897</v>
      </c>
      <c r="D88" s="20" t="s">
        <v>2100</v>
      </c>
      <c r="E88" s="20" t="s">
        <v>2107</v>
      </c>
      <c r="F88" s="20" t="s">
        <v>2108</v>
      </c>
      <c r="G88" s="20" t="s">
        <v>1871</v>
      </c>
      <c r="H88" s="20" t="s">
        <v>1907</v>
      </c>
      <c r="I88" s="20" t="s">
        <v>2109</v>
      </c>
      <c r="J88" s="20" t="s">
        <v>1812</v>
      </c>
      <c r="K88" s="20" t="s">
        <v>1868</v>
      </c>
    </row>
    <row r="89" spans="1:11" ht="14.1" hidden="1">
      <c r="A89" s="20"/>
      <c r="B89" s="20" t="s">
        <v>408</v>
      </c>
      <c r="C89" s="21" t="s">
        <v>897</v>
      </c>
      <c r="D89" s="20" t="s">
        <v>1891</v>
      </c>
      <c r="E89" s="20" t="s">
        <v>2110</v>
      </c>
      <c r="F89" s="20" t="s">
        <v>2111</v>
      </c>
      <c r="G89" s="20" t="s">
        <v>1881</v>
      </c>
      <c r="H89" s="20" t="s">
        <v>1907</v>
      </c>
      <c r="I89" s="20" t="s">
        <v>1868</v>
      </c>
      <c r="J89" s="20" t="s">
        <v>1812</v>
      </c>
      <c r="K89" s="20" t="s">
        <v>1868</v>
      </c>
    </row>
    <row r="90" spans="1:11" ht="14.1" hidden="1">
      <c r="A90" s="20"/>
      <c r="B90" s="20" t="s">
        <v>408</v>
      </c>
      <c r="C90" s="21" t="s">
        <v>897</v>
      </c>
      <c r="D90" s="20" t="s">
        <v>2112</v>
      </c>
      <c r="E90" s="20" t="s">
        <v>2113</v>
      </c>
      <c r="F90" s="20" t="s">
        <v>2114</v>
      </c>
      <c r="G90" s="20" t="s">
        <v>1881</v>
      </c>
      <c r="H90" s="20" t="s">
        <v>1907</v>
      </c>
      <c r="I90" s="20" t="s">
        <v>2024</v>
      </c>
      <c r="J90" s="20" t="s">
        <v>1812</v>
      </c>
      <c r="K90" s="20" t="s">
        <v>1868</v>
      </c>
    </row>
    <row r="91" spans="1:11" ht="14.1" hidden="1">
      <c r="A91" s="20"/>
      <c r="B91" s="20" t="s">
        <v>408</v>
      </c>
      <c r="C91" s="21" t="s">
        <v>897</v>
      </c>
      <c r="D91" s="20" t="s">
        <v>2112</v>
      </c>
      <c r="E91" s="20" t="s">
        <v>2115</v>
      </c>
      <c r="F91" s="20" t="s">
        <v>2116</v>
      </c>
      <c r="G91" s="20" t="s">
        <v>1937</v>
      </c>
      <c r="H91" s="20" t="s">
        <v>1907</v>
      </c>
      <c r="I91" s="20" t="s">
        <v>2117</v>
      </c>
      <c r="J91" s="20" t="s">
        <v>1812</v>
      </c>
      <c r="K91" s="20" t="s">
        <v>1868</v>
      </c>
    </row>
    <row r="92" spans="1:11" ht="14.1" hidden="1">
      <c r="A92" s="20"/>
      <c r="B92" s="20" t="s">
        <v>408</v>
      </c>
      <c r="C92" s="21" t="s">
        <v>897</v>
      </c>
      <c r="D92" s="20" t="s">
        <v>2112</v>
      </c>
      <c r="E92" s="20" t="s">
        <v>2118</v>
      </c>
      <c r="F92" s="20" t="s">
        <v>2119</v>
      </c>
      <c r="G92" s="20" t="s">
        <v>1937</v>
      </c>
      <c r="H92" s="20" t="s">
        <v>1907</v>
      </c>
      <c r="I92" s="20" t="s">
        <v>2120</v>
      </c>
      <c r="J92" s="20" t="s">
        <v>1812</v>
      </c>
      <c r="K92" s="20" t="s">
        <v>1868</v>
      </c>
    </row>
    <row r="93" spans="1:11" ht="14.1" hidden="1">
      <c r="A93" s="20"/>
      <c r="B93" s="20" t="s">
        <v>408</v>
      </c>
      <c r="C93" s="21" t="s">
        <v>897</v>
      </c>
      <c r="D93" s="20" t="s">
        <v>2112</v>
      </c>
      <c r="E93" s="20" t="s">
        <v>1975</v>
      </c>
      <c r="F93" s="20" t="s">
        <v>1976</v>
      </c>
      <c r="G93" s="20" t="s">
        <v>1937</v>
      </c>
      <c r="H93" s="20" t="s">
        <v>1907</v>
      </c>
      <c r="I93" s="20" t="s">
        <v>2121</v>
      </c>
      <c r="J93" s="20" t="s">
        <v>1812</v>
      </c>
      <c r="K93" s="20" t="s">
        <v>1868</v>
      </c>
    </row>
    <row r="94" spans="1:11" ht="26.1" hidden="1">
      <c r="A94" s="20"/>
      <c r="B94" s="20" t="s">
        <v>408</v>
      </c>
      <c r="C94" s="21" t="s">
        <v>897</v>
      </c>
      <c r="D94" s="20" t="s">
        <v>2122</v>
      </c>
      <c r="E94" s="20" t="s">
        <v>2123</v>
      </c>
      <c r="F94" s="20" t="s">
        <v>2124</v>
      </c>
      <c r="G94" s="20" t="s">
        <v>1871</v>
      </c>
      <c r="H94" s="20" t="s">
        <v>1907</v>
      </c>
      <c r="I94" s="20" t="s">
        <v>2125</v>
      </c>
      <c r="J94" s="20" t="s">
        <v>1812</v>
      </c>
      <c r="K94" s="20" t="s">
        <v>1868</v>
      </c>
    </row>
    <row r="95" spans="1:11" ht="14.1" hidden="1">
      <c r="A95" s="20"/>
      <c r="B95" s="20" t="s">
        <v>1741</v>
      </c>
      <c r="C95" s="21" t="s">
        <v>1966</v>
      </c>
      <c r="D95" s="23" t="s">
        <v>2126</v>
      </c>
      <c r="E95" s="20" t="s">
        <v>2127</v>
      </c>
      <c r="F95" s="20" t="s">
        <v>2128</v>
      </c>
      <c r="G95" s="20" t="s">
        <v>1881</v>
      </c>
      <c r="H95" s="20" t="s">
        <v>1868</v>
      </c>
      <c r="I95" s="20" t="s">
        <v>2129</v>
      </c>
      <c r="J95" s="20" t="s">
        <v>1812</v>
      </c>
      <c r="K95" s="20" t="s">
        <v>1868</v>
      </c>
    </row>
    <row r="96" spans="1:11" ht="26.1" hidden="1">
      <c r="A96" s="20"/>
      <c r="B96" s="20" t="s">
        <v>1454</v>
      </c>
      <c r="C96" s="21" t="s">
        <v>897</v>
      </c>
      <c r="D96" s="20" t="s">
        <v>551</v>
      </c>
      <c r="E96" s="20" t="s">
        <v>541</v>
      </c>
      <c r="F96" s="20" t="s">
        <v>542</v>
      </c>
      <c r="G96" s="20" t="s">
        <v>1871</v>
      </c>
      <c r="H96" s="20" t="s">
        <v>1907</v>
      </c>
      <c r="I96" s="20" t="s">
        <v>552</v>
      </c>
      <c r="J96" s="20" t="s">
        <v>1812</v>
      </c>
      <c r="K96" s="20" t="s">
        <v>1868</v>
      </c>
    </row>
    <row r="97" spans="1:11" ht="26.1" hidden="1">
      <c r="A97" s="20"/>
      <c r="B97" s="22" t="s">
        <v>1454</v>
      </c>
      <c r="C97" s="21" t="s">
        <v>1966</v>
      </c>
      <c r="D97" s="23" t="s">
        <v>2126</v>
      </c>
      <c r="E97" s="20" t="s">
        <v>2127</v>
      </c>
      <c r="F97" s="20" t="s">
        <v>2128</v>
      </c>
      <c r="G97" s="20" t="s">
        <v>1881</v>
      </c>
      <c r="H97" s="20" t="s">
        <v>2130</v>
      </c>
      <c r="I97" s="20" t="s">
        <v>2129</v>
      </c>
      <c r="J97" s="20" t="s">
        <v>1812</v>
      </c>
      <c r="K97" s="20" t="s">
        <v>1868</v>
      </c>
    </row>
    <row r="98" spans="1:11" ht="42.75" hidden="1" customHeight="1">
      <c r="A98" s="20"/>
      <c r="B98" s="22" t="s">
        <v>1454</v>
      </c>
      <c r="C98" s="21" t="s">
        <v>1722</v>
      </c>
      <c r="D98" s="20" t="s">
        <v>1981</v>
      </c>
      <c r="E98" s="20" t="s">
        <v>1982</v>
      </c>
      <c r="F98" s="20" t="s">
        <v>1983</v>
      </c>
      <c r="G98" s="20" t="s">
        <v>1881</v>
      </c>
      <c r="H98" s="20" t="s">
        <v>2130</v>
      </c>
      <c r="I98" s="20" t="s">
        <v>1984</v>
      </c>
      <c r="J98" s="20" t="s">
        <v>1701</v>
      </c>
      <c r="K98" s="20" t="s">
        <v>1895</v>
      </c>
    </row>
    <row r="99" spans="1:11" ht="42.75" hidden="1" customHeight="1">
      <c r="A99" s="20"/>
      <c r="B99" s="22" t="s">
        <v>1454</v>
      </c>
      <c r="C99" s="21" t="s">
        <v>1722</v>
      </c>
      <c r="D99" s="20" t="s">
        <v>1981</v>
      </c>
      <c r="E99" s="20" t="s">
        <v>1946</v>
      </c>
      <c r="F99" s="20" t="s">
        <v>1947</v>
      </c>
      <c r="G99" s="20" t="s">
        <v>1881</v>
      </c>
      <c r="H99" s="20" t="s">
        <v>1868</v>
      </c>
      <c r="I99" s="20" t="s">
        <v>2131</v>
      </c>
      <c r="J99" s="20" t="s">
        <v>1701</v>
      </c>
      <c r="K99" s="20" t="s">
        <v>1895</v>
      </c>
    </row>
    <row r="100" spans="1:11" ht="42.75" hidden="1" customHeight="1">
      <c r="A100" s="20"/>
      <c r="B100" s="22" t="s">
        <v>1454</v>
      </c>
      <c r="C100" s="21" t="s">
        <v>1722</v>
      </c>
      <c r="D100" s="20" t="s">
        <v>1981</v>
      </c>
      <c r="E100" s="20" t="s">
        <v>2132</v>
      </c>
      <c r="F100" s="20" t="s">
        <v>2133</v>
      </c>
      <c r="G100" s="20" t="s">
        <v>1881</v>
      </c>
      <c r="H100" s="20" t="s">
        <v>1868</v>
      </c>
      <c r="I100" s="20" t="s">
        <v>2134</v>
      </c>
      <c r="J100" s="20" t="s">
        <v>1701</v>
      </c>
      <c r="K100" s="20" t="s">
        <v>1895</v>
      </c>
    </row>
    <row r="101" spans="1:11" ht="42.75" hidden="1" customHeight="1">
      <c r="A101" s="20"/>
      <c r="B101" s="22" t="s">
        <v>1454</v>
      </c>
      <c r="C101" s="21" t="s">
        <v>1722</v>
      </c>
      <c r="D101" s="20" t="s">
        <v>1981</v>
      </c>
      <c r="E101" s="20" t="s">
        <v>2135</v>
      </c>
      <c r="F101" s="20" t="s">
        <v>2136</v>
      </c>
      <c r="G101" s="20" t="s">
        <v>1881</v>
      </c>
      <c r="H101" s="20" t="s">
        <v>1868</v>
      </c>
      <c r="I101" s="20" t="s">
        <v>2137</v>
      </c>
      <c r="J101" s="20" t="s">
        <v>1701</v>
      </c>
      <c r="K101" s="20" t="s">
        <v>1895</v>
      </c>
    </row>
    <row r="102" spans="1:11" ht="27" hidden="1" customHeight="1">
      <c r="A102" s="20"/>
      <c r="B102" s="20" t="s">
        <v>1454</v>
      </c>
      <c r="C102" s="21" t="s">
        <v>1722</v>
      </c>
      <c r="D102" s="20" t="s">
        <v>2003</v>
      </c>
      <c r="E102" s="20" t="s">
        <v>2004</v>
      </c>
      <c r="F102" s="20" t="s">
        <v>2005</v>
      </c>
      <c r="G102" s="20" t="s">
        <v>1871</v>
      </c>
      <c r="H102" s="20" t="s">
        <v>1868</v>
      </c>
      <c r="I102" s="20" t="s">
        <v>2002</v>
      </c>
      <c r="J102" s="20" t="s">
        <v>1701</v>
      </c>
      <c r="K102" s="20" t="s">
        <v>1895</v>
      </c>
    </row>
  </sheetData>
  <autoFilter ref="A1:K102" xr:uid="{FA3177F1-72B5-44E4-8C6E-C3F3F7FCC166}">
    <filterColumn colId="0">
      <filters>
        <filter val="GRI 303-3"/>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2026-06-18T12:24:43Z</dcterms:created>
  <dcterms:modified xsi:type="dcterms:W3CDTF">2026-10-09T02:45:32Z</dcterms:modified>
  <cp:category/>
  <cp:contentStatus/>
</cp:coreProperties>
</file>